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 02\Documents\Program_Projects\Project\estudo_faturas_municipios\templates\"/>
    </mc:Choice>
  </mc:AlternateContent>
  <xr:revisionPtr revIDLastSave="0" documentId="13_ncr:1_{451DD439-FFFA-41C7-A949-D2E99CF7392F}" xr6:coauthVersionLast="47" xr6:coauthVersionMax="47" xr10:uidLastSave="{00000000-0000-0000-0000-000000000000}"/>
  <bookViews>
    <workbookView xWindow="-120" yWindow="-120" windowWidth="20730" windowHeight="11040" tabRatio="500" firstSheet="1" activeTab="4" xr2:uid="{00000000-000D-0000-FFFF-FFFF00000000}"/>
  </bookViews>
  <sheets>
    <sheet name="Sheet2" sheetId="1" state="hidden" r:id="rId1"/>
    <sheet name="B3" sheetId="2" r:id="rId2"/>
    <sheet name="B1" sheetId="3" r:id="rId3"/>
    <sheet name="B4A Ilum. Pública" sheetId="4" r:id="rId4"/>
    <sheet name="A4 VERDE" sheetId="5" r:id="rId5"/>
    <sheet name="Dimensionamento Prévio UFVs" sheetId="6" r:id="rId6"/>
    <sheet name="pastepage" sheetId="7" state="hidden" r:id="rId7"/>
    <sheet name="ANÁLISE CONSUMO A4 VERDE X ACL" sheetId="8" state="hidden" r:id="rId8"/>
    <sheet name="ANÁLISE DEMANDA CONTRATADA A4" sheetId="9" state="hidden" r:id="rId9"/>
    <sheet name="DEMANDA CONTRATADA E NÃO UTILIZ" sheetId="10" state="hidden" r:id="rId10"/>
    <sheet name="DEMANDA CONTRATADA ULTRAPASSADA" sheetId="11" state="hidden" r:id="rId11"/>
  </sheets>
  <definedNames>
    <definedName name="_xlnm._FilterDatabase" localSheetId="0" hidden="1">Sheet2!$D$5:$D$629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5" l="1"/>
  <c r="AU18" i="5"/>
  <c r="BI18" i="5"/>
  <c r="A36" i="11"/>
  <c r="A35" i="10"/>
  <c r="E49" i="9"/>
  <c r="E36" i="9"/>
  <c r="E37" i="9" s="1"/>
  <c r="CF35" i="9"/>
  <c r="CE35" i="9"/>
  <c r="CD35" i="9"/>
  <c r="CA35" i="9"/>
  <c r="BX35" i="9"/>
  <c r="BW35" i="9"/>
  <c r="BV35" i="9"/>
  <c r="BS35" i="9"/>
  <c r="BR35" i="9"/>
  <c r="BP35" i="9"/>
  <c r="BO35" i="9"/>
  <c r="BN35" i="9"/>
  <c r="BK35" i="9"/>
  <c r="BH35" i="9"/>
  <c r="CH35" i="9" s="1"/>
  <c r="BG35" i="9"/>
  <c r="CG35" i="9" s="1"/>
  <c r="BF35" i="9"/>
  <c r="BE35" i="9"/>
  <c r="BD35" i="9"/>
  <c r="BC35" i="9"/>
  <c r="CC35" i="9" s="1"/>
  <c r="BB35" i="9"/>
  <c r="CB35" i="9" s="1"/>
  <c r="BA35" i="9"/>
  <c r="AZ35" i="9"/>
  <c r="BZ35" i="9" s="1"/>
  <c r="AY35" i="9"/>
  <c r="BY35" i="9" s="1"/>
  <c r="AX35" i="9"/>
  <c r="AW35" i="9"/>
  <c r="AV35" i="9"/>
  <c r="AU35" i="9"/>
  <c r="BU35" i="9" s="1"/>
  <c r="AT35" i="9"/>
  <c r="BT35" i="9" s="1"/>
  <c r="AS35" i="9"/>
  <c r="AR35" i="9"/>
  <c r="AQ35" i="9"/>
  <c r="BQ35" i="9" s="1"/>
  <c r="AP35" i="9"/>
  <c r="AO35" i="9"/>
  <c r="AN35" i="9"/>
  <c r="AM35" i="9"/>
  <c r="BM35" i="9" s="1"/>
  <c r="AL35" i="9"/>
  <c r="BL35" i="9" s="1"/>
  <c r="AK35" i="9"/>
  <c r="AJ35" i="9"/>
  <c r="BJ35" i="9" s="1"/>
  <c r="AI35" i="9"/>
  <c r="BI35" i="9" s="1"/>
  <c r="F35" i="9"/>
  <c r="H35" i="9" s="1"/>
  <c r="CG34" i="9"/>
  <c r="CD34" i="9"/>
  <c r="CB34" i="9"/>
  <c r="BY34" i="9"/>
  <c r="BV34" i="9"/>
  <c r="BT34" i="9"/>
  <c r="BQ34" i="9"/>
  <c r="BN34" i="9"/>
  <c r="BL34" i="9"/>
  <c r="BI34" i="9"/>
  <c r="BH34" i="9"/>
  <c r="CH34" i="9" s="1"/>
  <c r="BG34" i="9"/>
  <c r="BF34" i="9"/>
  <c r="CF34" i="9" s="1"/>
  <c r="BE34" i="9"/>
  <c r="CE34" i="9" s="1"/>
  <c r="BD34" i="9"/>
  <c r="BC34" i="9"/>
  <c r="CC34" i="9" s="1"/>
  <c r="BB34" i="9"/>
  <c r="BA34" i="9"/>
  <c r="CA34" i="9" s="1"/>
  <c r="AZ34" i="9"/>
  <c r="BZ34" i="9" s="1"/>
  <c r="AY34" i="9"/>
  <c r="AX34" i="9"/>
  <c r="BX34" i="9" s="1"/>
  <c r="AW34" i="9"/>
  <c r="BW34" i="9" s="1"/>
  <c r="AV34" i="9"/>
  <c r="AU34" i="9"/>
  <c r="BU34" i="9" s="1"/>
  <c r="AT34" i="9"/>
  <c r="AS34" i="9"/>
  <c r="BS34" i="9" s="1"/>
  <c r="AR34" i="9"/>
  <c r="BR34" i="9" s="1"/>
  <c r="AQ34" i="9"/>
  <c r="AP34" i="9"/>
  <c r="BP34" i="9" s="1"/>
  <c r="AO34" i="9"/>
  <c r="BO34" i="9" s="1"/>
  <c r="AN34" i="9"/>
  <c r="AM34" i="9"/>
  <c r="BM34" i="9" s="1"/>
  <c r="AL34" i="9"/>
  <c r="AK34" i="9"/>
  <c r="BK34" i="9" s="1"/>
  <c r="AJ34" i="9"/>
  <c r="BJ34" i="9" s="1"/>
  <c r="AI34" i="9"/>
  <c r="G34" i="9"/>
  <c r="F34" i="9"/>
  <c r="CH33" i="9"/>
  <c r="CE33" i="9"/>
  <c r="CB33" i="9"/>
  <c r="BZ33" i="9"/>
  <c r="BW33" i="9"/>
  <c r="BV33" i="9"/>
  <c r="BT33" i="9"/>
  <c r="BR33" i="9"/>
  <c r="BO33" i="9"/>
  <c r="BL33" i="9"/>
  <c r="BJ33" i="9"/>
  <c r="BH33" i="9"/>
  <c r="BG33" i="9"/>
  <c r="CG33" i="9" s="1"/>
  <c r="BF33" i="9"/>
  <c r="CF33" i="9" s="1"/>
  <c r="BE33" i="9"/>
  <c r="BD33" i="9"/>
  <c r="CD33" i="9" s="1"/>
  <c r="BC33" i="9"/>
  <c r="CC33" i="9" s="1"/>
  <c r="BB33" i="9"/>
  <c r="BA33" i="9"/>
  <c r="CA33" i="9" s="1"/>
  <c r="AZ33" i="9"/>
  <c r="AY33" i="9"/>
  <c r="BY33" i="9" s="1"/>
  <c r="AX33" i="9"/>
  <c r="BX33" i="9" s="1"/>
  <c r="AW33" i="9"/>
  <c r="AV33" i="9"/>
  <c r="AU33" i="9"/>
  <c r="BU33" i="9" s="1"/>
  <c r="AT33" i="9"/>
  <c r="AS33" i="9"/>
  <c r="BS33" i="9" s="1"/>
  <c r="AR33" i="9"/>
  <c r="AQ33" i="9"/>
  <c r="BQ33" i="9" s="1"/>
  <c r="AP33" i="9"/>
  <c r="BP33" i="9" s="1"/>
  <c r="AO33" i="9"/>
  <c r="AN33" i="9"/>
  <c r="BN33" i="9" s="1"/>
  <c r="AM33" i="9"/>
  <c r="BM33" i="9" s="1"/>
  <c r="AL33" i="9"/>
  <c r="AK33" i="9"/>
  <c r="BK33" i="9" s="1"/>
  <c r="AJ33" i="9"/>
  <c r="AI33" i="9"/>
  <c r="BI33" i="9" s="1"/>
  <c r="H33" i="9"/>
  <c r="F33" i="9"/>
  <c r="CH32" i="9"/>
  <c r="CF32" i="9"/>
  <c r="CC32" i="9"/>
  <c r="BZ32" i="9"/>
  <c r="BX32" i="9"/>
  <c r="BU32" i="9"/>
  <c r="BR32" i="9"/>
  <c r="BP32" i="9"/>
  <c r="BM32" i="9"/>
  <c r="BJ32" i="9"/>
  <c r="BH32" i="9"/>
  <c r="BG32" i="9"/>
  <c r="CG32" i="9" s="1"/>
  <c r="BF32" i="9"/>
  <c r="BE32" i="9"/>
  <c r="CE32" i="9" s="1"/>
  <c r="BD32" i="9"/>
  <c r="CD32" i="9" s="1"/>
  <c r="BC32" i="9"/>
  <c r="BB32" i="9"/>
  <c r="CB32" i="9" s="1"/>
  <c r="BA32" i="9"/>
  <c r="CA32" i="9" s="1"/>
  <c r="AZ32" i="9"/>
  <c r="AY32" i="9"/>
  <c r="BY32" i="9" s="1"/>
  <c r="AX32" i="9"/>
  <c r="AW32" i="9"/>
  <c r="BW32" i="9" s="1"/>
  <c r="AV32" i="9"/>
  <c r="BV32" i="9" s="1"/>
  <c r="AU32" i="9"/>
  <c r="AT32" i="9"/>
  <c r="BT32" i="9" s="1"/>
  <c r="AS32" i="9"/>
  <c r="BS32" i="9" s="1"/>
  <c r="AR32" i="9"/>
  <c r="AQ32" i="9"/>
  <c r="BQ32" i="9" s="1"/>
  <c r="AP32" i="9"/>
  <c r="AO32" i="9"/>
  <c r="BO32" i="9" s="1"/>
  <c r="AN32" i="9"/>
  <c r="BN32" i="9" s="1"/>
  <c r="AM32" i="9"/>
  <c r="AL32" i="9"/>
  <c r="BL32" i="9" s="1"/>
  <c r="AK32" i="9"/>
  <c r="BK32" i="9" s="1"/>
  <c r="AJ32" i="9"/>
  <c r="AI32" i="9"/>
  <c r="BI32" i="9" s="1"/>
  <c r="F32" i="9"/>
  <c r="H32" i="9" s="1"/>
  <c r="CF31" i="9"/>
  <c r="CD31" i="9"/>
  <c r="CA31" i="9"/>
  <c r="BX31" i="9"/>
  <c r="BV31" i="9"/>
  <c r="BS31" i="9"/>
  <c r="BP31" i="9"/>
  <c r="BN31" i="9"/>
  <c r="BK31" i="9"/>
  <c r="BH31" i="9"/>
  <c r="CH31" i="9" s="1"/>
  <c r="BG31" i="9"/>
  <c r="CG31" i="9" s="1"/>
  <c r="BF31" i="9"/>
  <c r="BE31" i="9"/>
  <c r="CE31" i="9" s="1"/>
  <c r="BD31" i="9"/>
  <c r="BC31" i="9"/>
  <c r="CC31" i="9" s="1"/>
  <c r="BB31" i="9"/>
  <c r="CB31" i="9" s="1"/>
  <c r="BA31" i="9"/>
  <c r="AZ31" i="9"/>
  <c r="BZ31" i="9" s="1"/>
  <c r="AY31" i="9"/>
  <c r="BY31" i="9" s="1"/>
  <c r="AX31" i="9"/>
  <c r="AW31" i="9"/>
  <c r="BW31" i="9" s="1"/>
  <c r="AV31" i="9"/>
  <c r="AU31" i="9"/>
  <c r="BU31" i="9" s="1"/>
  <c r="AT31" i="9"/>
  <c r="BT31" i="9" s="1"/>
  <c r="AS31" i="9"/>
  <c r="AR31" i="9"/>
  <c r="BR31" i="9" s="1"/>
  <c r="AQ31" i="9"/>
  <c r="BQ31" i="9" s="1"/>
  <c r="AP31" i="9"/>
  <c r="AO31" i="9"/>
  <c r="BO31" i="9" s="1"/>
  <c r="AN31" i="9"/>
  <c r="AM31" i="9"/>
  <c r="BM31" i="9" s="1"/>
  <c r="AL31" i="9"/>
  <c r="BL31" i="9" s="1"/>
  <c r="AK31" i="9"/>
  <c r="AJ31" i="9"/>
  <c r="BJ31" i="9" s="1"/>
  <c r="AI31" i="9"/>
  <c r="BI31" i="9" s="1"/>
  <c r="F31" i="9"/>
  <c r="G31" i="9" s="1"/>
  <c r="CG30" i="9"/>
  <c r="CD30" i="9"/>
  <c r="CB30" i="9"/>
  <c r="BY30" i="9"/>
  <c r="BX30" i="9"/>
  <c r="BV30" i="9"/>
  <c r="BT30" i="9"/>
  <c r="BQ30" i="9"/>
  <c r="BN30" i="9"/>
  <c r="BL30" i="9"/>
  <c r="BI30" i="9"/>
  <c r="BH30" i="9"/>
  <c r="CH30" i="9" s="1"/>
  <c r="BG30" i="9"/>
  <c r="BF30" i="9"/>
  <c r="CF30" i="9" s="1"/>
  <c r="BE30" i="9"/>
  <c r="CE30" i="9" s="1"/>
  <c r="BD30" i="9"/>
  <c r="BC30" i="9"/>
  <c r="CC30" i="9" s="1"/>
  <c r="BB30" i="9"/>
  <c r="BA30" i="9"/>
  <c r="CA30" i="9" s="1"/>
  <c r="AZ30" i="9"/>
  <c r="BZ30" i="9" s="1"/>
  <c r="AY30" i="9"/>
  <c r="AX30" i="9"/>
  <c r="AW30" i="9"/>
  <c r="BW30" i="9" s="1"/>
  <c r="AV30" i="9"/>
  <c r="AU30" i="9"/>
  <c r="BU30" i="9" s="1"/>
  <c r="AT30" i="9"/>
  <c r="AS30" i="9"/>
  <c r="BS30" i="9" s="1"/>
  <c r="AR30" i="9"/>
  <c r="BR30" i="9" s="1"/>
  <c r="AQ30" i="9"/>
  <c r="AP30" i="9"/>
  <c r="BP30" i="9" s="1"/>
  <c r="AO30" i="9"/>
  <c r="BO30" i="9" s="1"/>
  <c r="AN30" i="9"/>
  <c r="AM30" i="9"/>
  <c r="BM30" i="9" s="1"/>
  <c r="AL30" i="9"/>
  <c r="AK30" i="9"/>
  <c r="BK30" i="9" s="1"/>
  <c r="AJ30" i="9"/>
  <c r="BJ30" i="9" s="1"/>
  <c r="AI30" i="9"/>
  <c r="G30" i="9"/>
  <c r="F30" i="9"/>
  <c r="CH29" i="9"/>
  <c r="CE29" i="9"/>
  <c r="CD29" i="9"/>
  <c r="CB29" i="9"/>
  <c r="BZ29" i="9"/>
  <c r="BW29" i="9"/>
  <c r="BT29" i="9"/>
  <c r="BR29" i="9"/>
  <c r="BO29" i="9"/>
  <c r="BN29" i="9"/>
  <c r="BL29" i="9"/>
  <c r="BJ29" i="9"/>
  <c r="BH29" i="9"/>
  <c r="BG29" i="9"/>
  <c r="CG29" i="9" s="1"/>
  <c r="BF29" i="9"/>
  <c r="CF29" i="9" s="1"/>
  <c r="BE29" i="9"/>
  <c r="BD29" i="9"/>
  <c r="BC29" i="9"/>
  <c r="CC29" i="9" s="1"/>
  <c r="BB29" i="9"/>
  <c r="BA29" i="9"/>
  <c r="CA29" i="9" s="1"/>
  <c r="AZ29" i="9"/>
  <c r="AY29" i="9"/>
  <c r="BY29" i="9" s="1"/>
  <c r="AX29" i="9"/>
  <c r="BX29" i="9" s="1"/>
  <c r="AW29" i="9"/>
  <c r="AV29" i="9"/>
  <c r="BV29" i="9" s="1"/>
  <c r="AU29" i="9"/>
  <c r="BU29" i="9" s="1"/>
  <c r="AT29" i="9"/>
  <c r="AS29" i="9"/>
  <c r="BS29" i="9" s="1"/>
  <c r="AR29" i="9"/>
  <c r="AQ29" i="9"/>
  <c r="BQ29" i="9" s="1"/>
  <c r="AP29" i="9"/>
  <c r="BP29" i="9" s="1"/>
  <c r="AO29" i="9"/>
  <c r="AN29" i="9"/>
  <c r="AM29" i="9"/>
  <c r="BM29" i="9" s="1"/>
  <c r="AL29" i="9"/>
  <c r="AK29" i="9"/>
  <c r="BK29" i="9" s="1"/>
  <c r="AJ29" i="9"/>
  <c r="AI29" i="9"/>
  <c r="BI29" i="9" s="1"/>
  <c r="G29" i="9"/>
  <c r="F29" i="9"/>
  <c r="CG28" i="9"/>
  <c r="CF28" i="9"/>
  <c r="CD28" i="9"/>
  <c r="CA28" i="9"/>
  <c r="BY28" i="9"/>
  <c r="BX28" i="9"/>
  <c r="BV28" i="9"/>
  <c r="BS28" i="9"/>
  <c r="BP28" i="9"/>
  <c r="BN28" i="9"/>
  <c r="BK28" i="9"/>
  <c r="BH28" i="9"/>
  <c r="BG28" i="9"/>
  <c r="BF28" i="9"/>
  <c r="BE28" i="9"/>
  <c r="CE28" i="9" s="1"/>
  <c r="BD28" i="9"/>
  <c r="BC28" i="9"/>
  <c r="CC28" i="9" s="1"/>
  <c r="BB28" i="9"/>
  <c r="CB28" i="9" s="1"/>
  <c r="BA28" i="9"/>
  <c r="AZ28" i="9"/>
  <c r="BZ28" i="9" s="1"/>
  <c r="AY28" i="9"/>
  <c r="AX28" i="9"/>
  <c r="AW28" i="9"/>
  <c r="BW28" i="9" s="1"/>
  <c r="AV28" i="9"/>
  <c r="AU28" i="9"/>
  <c r="AT28" i="9"/>
  <c r="BT28" i="9" s="1"/>
  <c r="AS28" i="9"/>
  <c r="AR28" i="9"/>
  <c r="BR28" i="9" s="1"/>
  <c r="AQ28" i="9"/>
  <c r="BQ28" i="9" s="1"/>
  <c r="AP28" i="9"/>
  <c r="AO28" i="9"/>
  <c r="BO28" i="9" s="1"/>
  <c r="AN28" i="9"/>
  <c r="AM28" i="9"/>
  <c r="BM28" i="9" s="1"/>
  <c r="AL28" i="9"/>
  <c r="BL28" i="9" s="1"/>
  <c r="AK28" i="9"/>
  <c r="AJ28" i="9"/>
  <c r="BJ28" i="9" s="1"/>
  <c r="AI28" i="9"/>
  <c r="BI28" i="9" s="1"/>
  <c r="F28" i="9"/>
  <c r="G28" i="9" s="1"/>
  <c r="CG27" i="9"/>
  <c r="CF27" i="9"/>
  <c r="CD27" i="9"/>
  <c r="CB27" i="9"/>
  <c r="BY27" i="9"/>
  <c r="BX27" i="9"/>
  <c r="BV27" i="9"/>
  <c r="BT27" i="9"/>
  <c r="BQ27" i="9"/>
  <c r="BP27" i="9"/>
  <c r="BN27" i="9"/>
  <c r="BL27" i="9"/>
  <c r="BI27" i="9"/>
  <c r="BH27" i="9"/>
  <c r="CH27" i="9" s="1"/>
  <c r="BG27" i="9"/>
  <c r="BF27" i="9"/>
  <c r="BE27" i="9"/>
  <c r="CE27" i="9" s="1"/>
  <c r="BD27" i="9"/>
  <c r="BC27" i="9"/>
  <c r="CC27" i="9" s="1"/>
  <c r="BB27" i="9"/>
  <c r="BA27" i="9"/>
  <c r="CA27" i="9" s="1"/>
  <c r="AZ27" i="9"/>
  <c r="BZ27" i="9" s="1"/>
  <c r="AY27" i="9"/>
  <c r="AX27" i="9"/>
  <c r="AW27" i="9"/>
  <c r="BW27" i="9" s="1"/>
  <c r="AV27" i="9"/>
  <c r="AU27" i="9"/>
  <c r="BU27" i="9" s="1"/>
  <c r="AT27" i="9"/>
  <c r="AS27" i="9"/>
  <c r="BS27" i="9" s="1"/>
  <c r="AR27" i="9"/>
  <c r="BR27" i="9" s="1"/>
  <c r="AQ27" i="9"/>
  <c r="AP27" i="9"/>
  <c r="AO27" i="9"/>
  <c r="BO27" i="9" s="1"/>
  <c r="AN27" i="9"/>
  <c r="AM27" i="9"/>
  <c r="BM27" i="9" s="1"/>
  <c r="AL27" i="9"/>
  <c r="AK27" i="9"/>
  <c r="BK27" i="9" s="1"/>
  <c r="AJ27" i="9"/>
  <c r="BJ27" i="9" s="1"/>
  <c r="AI27" i="9"/>
  <c r="G27" i="9"/>
  <c r="F27" i="9"/>
  <c r="CH26" i="9"/>
  <c r="CE26" i="9"/>
  <c r="CD26" i="9"/>
  <c r="CB26" i="9"/>
  <c r="BZ26" i="9"/>
  <c r="BW26" i="9"/>
  <c r="BT26" i="9"/>
  <c r="BR26" i="9"/>
  <c r="BO26" i="9"/>
  <c r="BN26" i="9"/>
  <c r="BL26" i="9"/>
  <c r="BJ26" i="9"/>
  <c r="BH26" i="9"/>
  <c r="BG26" i="9"/>
  <c r="CG26" i="9" s="1"/>
  <c r="BF26" i="9"/>
  <c r="CF26" i="9" s="1"/>
  <c r="BE26" i="9"/>
  <c r="BD26" i="9"/>
  <c r="BC26" i="9"/>
  <c r="CC26" i="9" s="1"/>
  <c r="BB26" i="9"/>
  <c r="BA26" i="9"/>
  <c r="CA26" i="9" s="1"/>
  <c r="AZ26" i="9"/>
  <c r="AY26" i="9"/>
  <c r="BY26" i="9" s="1"/>
  <c r="AX26" i="9"/>
  <c r="BX26" i="9" s="1"/>
  <c r="AW26" i="9"/>
  <c r="AV26" i="9"/>
  <c r="BV26" i="9" s="1"/>
  <c r="AU26" i="9"/>
  <c r="BU26" i="9" s="1"/>
  <c r="AT26" i="9"/>
  <c r="AS26" i="9"/>
  <c r="BS26" i="9" s="1"/>
  <c r="AR26" i="9"/>
  <c r="AQ26" i="9"/>
  <c r="BQ26" i="9" s="1"/>
  <c r="AP26" i="9"/>
  <c r="BP26" i="9" s="1"/>
  <c r="AO26" i="9"/>
  <c r="AN26" i="9"/>
  <c r="AM26" i="9"/>
  <c r="BM26" i="9" s="1"/>
  <c r="AL26" i="9"/>
  <c r="AK26" i="9"/>
  <c r="BK26" i="9" s="1"/>
  <c r="AJ26" i="9"/>
  <c r="AI26" i="9"/>
  <c r="BI26" i="9" s="1"/>
  <c r="G26" i="9"/>
  <c r="F26" i="9"/>
  <c r="CH25" i="9"/>
  <c r="CF25" i="9"/>
  <c r="CC25" i="9"/>
  <c r="BZ25" i="9"/>
  <c r="BX25" i="9"/>
  <c r="BU25" i="9"/>
  <c r="BT25" i="9"/>
  <c r="BR25" i="9"/>
  <c r="BP25" i="9"/>
  <c r="BM25" i="9"/>
  <c r="BJ25" i="9"/>
  <c r="BH25" i="9"/>
  <c r="BG25" i="9"/>
  <c r="CG25" i="9" s="1"/>
  <c r="BF25" i="9"/>
  <c r="BE25" i="9"/>
  <c r="CE25" i="9" s="1"/>
  <c r="BD25" i="9"/>
  <c r="CD25" i="9" s="1"/>
  <c r="BC25" i="9"/>
  <c r="BB25" i="9"/>
  <c r="CB25" i="9" s="1"/>
  <c r="BA25" i="9"/>
  <c r="CA25" i="9" s="1"/>
  <c r="AZ25" i="9"/>
  <c r="AY25" i="9"/>
  <c r="BY25" i="9" s="1"/>
  <c r="AX25" i="9"/>
  <c r="AW25" i="9"/>
  <c r="BW25" i="9" s="1"/>
  <c r="AV25" i="9"/>
  <c r="BV25" i="9" s="1"/>
  <c r="AU25" i="9"/>
  <c r="AT25" i="9"/>
  <c r="AS25" i="9"/>
  <c r="BS25" i="9" s="1"/>
  <c r="AR25" i="9"/>
  <c r="AQ25" i="9"/>
  <c r="BQ25" i="9" s="1"/>
  <c r="AP25" i="9"/>
  <c r="AO25" i="9"/>
  <c r="BO25" i="9" s="1"/>
  <c r="AN25" i="9"/>
  <c r="BN25" i="9" s="1"/>
  <c r="AM25" i="9"/>
  <c r="AL25" i="9"/>
  <c r="BL25" i="9" s="1"/>
  <c r="AK25" i="9"/>
  <c r="BK25" i="9" s="1"/>
  <c r="AJ25" i="9"/>
  <c r="AI25" i="9"/>
  <c r="BI25" i="9" s="1"/>
  <c r="F25" i="9"/>
  <c r="H25" i="9" s="1"/>
  <c r="CH24" i="9"/>
  <c r="CF24" i="9"/>
  <c r="CD24" i="9"/>
  <c r="CA24" i="9"/>
  <c r="BX24" i="9"/>
  <c r="BV24" i="9"/>
  <c r="BS24" i="9"/>
  <c r="BR24" i="9"/>
  <c r="BP24" i="9"/>
  <c r="BN24" i="9"/>
  <c r="BK24" i="9"/>
  <c r="BH24" i="9"/>
  <c r="BG24" i="9"/>
  <c r="CG24" i="9" s="1"/>
  <c r="BF24" i="9"/>
  <c r="BE24" i="9"/>
  <c r="CE24" i="9" s="1"/>
  <c r="BD24" i="9"/>
  <c r="BC24" i="9"/>
  <c r="CC24" i="9" s="1"/>
  <c r="BB24" i="9"/>
  <c r="CB24" i="9" s="1"/>
  <c r="BA24" i="9"/>
  <c r="AZ24" i="9"/>
  <c r="BZ24" i="9" s="1"/>
  <c r="AY24" i="9"/>
  <c r="BY24" i="9" s="1"/>
  <c r="AX24" i="9"/>
  <c r="AW24" i="9"/>
  <c r="BW24" i="9" s="1"/>
  <c r="AV24" i="9"/>
  <c r="AU24" i="9"/>
  <c r="BU24" i="9" s="1"/>
  <c r="AT24" i="9"/>
  <c r="BT24" i="9" s="1"/>
  <c r="AS24" i="9"/>
  <c r="AR24" i="9"/>
  <c r="AQ24" i="9"/>
  <c r="BQ24" i="9" s="1"/>
  <c r="AP24" i="9"/>
  <c r="AO24" i="9"/>
  <c r="BO24" i="9" s="1"/>
  <c r="AN24" i="9"/>
  <c r="AM24" i="9"/>
  <c r="BM24" i="9" s="1"/>
  <c r="AL24" i="9"/>
  <c r="BL24" i="9" s="1"/>
  <c r="AK24" i="9"/>
  <c r="AJ24" i="9"/>
  <c r="BJ24" i="9" s="1"/>
  <c r="AI24" i="9"/>
  <c r="BI24" i="9" s="1"/>
  <c r="F24" i="9"/>
  <c r="G24" i="9" s="1"/>
  <c r="CG23" i="9"/>
  <c r="CF23" i="9"/>
  <c r="CD23" i="9"/>
  <c r="CB23" i="9"/>
  <c r="BY23" i="9"/>
  <c r="BV23" i="9"/>
  <c r="BT23" i="9"/>
  <c r="BQ23" i="9"/>
  <c r="BP23" i="9"/>
  <c r="BN23" i="9"/>
  <c r="BL23" i="9"/>
  <c r="BI23" i="9"/>
  <c r="BH23" i="9"/>
  <c r="CH23" i="9" s="1"/>
  <c r="BG23" i="9"/>
  <c r="BF23" i="9"/>
  <c r="BE23" i="9"/>
  <c r="CE23" i="9" s="1"/>
  <c r="BD23" i="9"/>
  <c r="BC23" i="9"/>
  <c r="CC23" i="9" s="1"/>
  <c r="BB23" i="9"/>
  <c r="BA23" i="9"/>
  <c r="CA23" i="9" s="1"/>
  <c r="AZ23" i="9"/>
  <c r="BZ23" i="9" s="1"/>
  <c r="AY23" i="9"/>
  <c r="AX23" i="9"/>
  <c r="BX23" i="9" s="1"/>
  <c r="AW23" i="9"/>
  <c r="BW23" i="9" s="1"/>
  <c r="AV23" i="9"/>
  <c r="AU23" i="9"/>
  <c r="BU23" i="9" s="1"/>
  <c r="AT23" i="9"/>
  <c r="AS23" i="9"/>
  <c r="BS23" i="9" s="1"/>
  <c r="AR23" i="9"/>
  <c r="BR23" i="9" s="1"/>
  <c r="AQ23" i="9"/>
  <c r="AP23" i="9"/>
  <c r="AO23" i="9"/>
  <c r="BO23" i="9" s="1"/>
  <c r="AN23" i="9"/>
  <c r="AM23" i="9"/>
  <c r="BM23" i="9" s="1"/>
  <c r="AL23" i="9"/>
  <c r="AK23" i="9"/>
  <c r="BK23" i="9" s="1"/>
  <c r="AJ23" i="9"/>
  <c r="BJ23" i="9" s="1"/>
  <c r="AI23" i="9"/>
  <c r="G23" i="9"/>
  <c r="F23" i="9"/>
  <c r="CH22" i="9"/>
  <c r="CE22" i="9"/>
  <c r="CD22" i="9"/>
  <c r="CB22" i="9"/>
  <c r="BZ22" i="9"/>
  <c r="BW22" i="9"/>
  <c r="BV22" i="9"/>
  <c r="BT22" i="9"/>
  <c r="BR22" i="9"/>
  <c r="BO22" i="9"/>
  <c r="BN22" i="9"/>
  <c r="BL22" i="9"/>
  <c r="BJ22" i="9"/>
  <c r="BH22" i="9"/>
  <c r="BG22" i="9"/>
  <c r="CG22" i="9" s="1"/>
  <c r="BF22" i="9"/>
  <c r="CF22" i="9" s="1"/>
  <c r="BE22" i="9"/>
  <c r="BD22" i="9"/>
  <c r="BC22" i="9"/>
  <c r="CC22" i="9" s="1"/>
  <c r="BB22" i="9"/>
  <c r="BA22" i="9"/>
  <c r="CA22" i="9" s="1"/>
  <c r="AZ22" i="9"/>
  <c r="AY22" i="9"/>
  <c r="BY22" i="9" s="1"/>
  <c r="AX22" i="9"/>
  <c r="BX22" i="9" s="1"/>
  <c r="AW22" i="9"/>
  <c r="AV22" i="9"/>
  <c r="AU22" i="9"/>
  <c r="BU22" i="9" s="1"/>
  <c r="AT22" i="9"/>
  <c r="AS22" i="9"/>
  <c r="BS22" i="9" s="1"/>
  <c r="AR22" i="9"/>
  <c r="AQ22" i="9"/>
  <c r="BQ22" i="9" s="1"/>
  <c r="AP22" i="9"/>
  <c r="BP22" i="9" s="1"/>
  <c r="AO22" i="9"/>
  <c r="AN22" i="9"/>
  <c r="AM22" i="9"/>
  <c r="BM22" i="9" s="1"/>
  <c r="AL22" i="9"/>
  <c r="AK22" i="9"/>
  <c r="BK22" i="9" s="1"/>
  <c r="AJ22" i="9"/>
  <c r="AI22" i="9"/>
  <c r="BI22" i="9" s="1"/>
  <c r="H22" i="9"/>
  <c r="F22" i="9"/>
  <c r="CH21" i="9"/>
  <c r="CF21" i="9"/>
  <c r="CC21" i="9"/>
  <c r="BZ21" i="9"/>
  <c r="BX21" i="9"/>
  <c r="BU21" i="9"/>
  <c r="BT21" i="9"/>
  <c r="BR21" i="9"/>
  <c r="BP21" i="9"/>
  <c r="BM21" i="9"/>
  <c r="BJ21" i="9"/>
  <c r="BH21" i="9"/>
  <c r="BG21" i="9"/>
  <c r="CG21" i="9" s="1"/>
  <c r="BF21" i="9"/>
  <c r="BE21" i="9"/>
  <c r="CE21" i="9" s="1"/>
  <c r="BD21" i="9"/>
  <c r="CD21" i="9" s="1"/>
  <c r="BC21" i="9"/>
  <c r="BB21" i="9"/>
  <c r="CB21" i="9" s="1"/>
  <c r="BA21" i="9"/>
  <c r="CA21" i="9" s="1"/>
  <c r="AZ21" i="9"/>
  <c r="AY21" i="9"/>
  <c r="BY21" i="9" s="1"/>
  <c r="AX21" i="9"/>
  <c r="AW21" i="9"/>
  <c r="BW21" i="9" s="1"/>
  <c r="AV21" i="9"/>
  <c r="BV21" i="9" s="1"/>
  <c r="AU21" i="9"/>
  <c r="AT21" i="9"/>
  <c r="AS21" i="9"/>
  <c r="BS21" i="9" s="1"/>
  <c r="AR21" i="9"/>
  <c r="AQ21" i="9"/>
  <c r="BQ21" i="9" s="1"/>
  <c r="AP21" i="9"/>
  <c r="AO21" i="9"/>
  <c r="BO21" i="9" s="1"/>
  <c r="AN21" i="9"/>
  <c r="BN21" i="9" s="1"/>
  <c r="AM21" i="9"/>
  <c r="AL21" i="9"/>
  <c r="BL21" i="9" s="1"/>
  <c r="AK21" i="9"/>
  <c r="BK21" i="9" s="1"/>
  <c r="AJ21" i="9"/>
  <c r="AI21" i="9"/>
  <c r="BI21" i="9" s="1"/>
  <c r="F21" i="9"/>
  <c r="G21" i="9" s="1"/>
  <c r="CF20" i="9"/>
  <c r="CD20" i="9"/>
  <c r="CA20" i="9"/>
  <c r="BX20" i="9"/>
  <c r="BV20" i="9"/>
  <c r="BS20" i="9"/>
  <c r="BP20" i="9"/>
  <c r="BN20" i="9"/>
  <c r="BH20" i="9"/>
  <c r="CH20" i="9" s="1"/>
  <c r="BG20" i="9"/>
  <c r="CG20" i="9" s="1"/>
  <c r="BF20" i="9"/>
  <c r="BE20" i="9"/>
  <c r="CE20" i="9" s="1"/>
  <c r="BD20" i="9"/>
  <c r="BC20" i="9"/>
  <c r="CC20" i="9" s="1"/>
  <c r="BB20" i="9"/>
  <c r="CB20" i="9" s="1"/>
  <c r="BA20" i="9"/>
  <c r="AZ20" i="9"/>
  <c r="BZ20" i="9" s="1"/>
  <c r="AY20" i="9"/>
  <c r="BY20" i="9" s="1"/>
  <c r="AX20" i="9"/>
  <c r="AW20" i="9"/>
  <c r="BW20" i="9" s="1"/>
  <c r="AV20" i="9"/>
  <c r="AU20" i="9"/>
  <c r="BU20" i="9" s="1"/>
  <c r="AT20" i="9"/>
  <c r="BT20" i="9" s="1"/>
  <c r="AS20" i="9"/>
  <c r="AR20" i="9"/>
  <c r="BR20" i="9" s="1"/>
  <c r="AQ20" i="9"/>
  <c r="BQ20" i="9" s="1"/>
  <c r="AP20" i="9"/>
  <c r="AO20" i="9"/>
  <c r="BO20" i="9" s="1"/>
  <c r="AN20" i="9"/>
  <c r="AM20" i="9"/>
  <c r="BM20" i="9" s="1"/>
  <c r="AL20" i="9"/>
  <c r="BL20" i="9" s="1"/>
  <c r="AK20" i="9"/>
  <c r="BK20" i="9" s="1"/>
  <c r="AJ20" i="9"/>
  <c r="BJ20" i="9" s="1"/>
  <c r="AI20" i="9"/>
  <c r="BI20" i="9" s="1"/>
  <c r="F20" i="9"/>
  <c r="G20" i="9" s="1"/>
  <c r="CF19" i="9"/>
  <c r="CE19" i="9"/>
  <c r="CD19" i="9"/>
  <c r="CB19" i="9"/>
  <c r="BY19" i="9"/>
  <c r="BX19" i="9"/>
  <c r="BW19" i="9"/>
  <c r="BV19" i="9"/>
  <c r="BT19" i="9"/>
  <c r="BP19" i="9"/>
  <c r="BO19" i="9"/>
  <c r="BN19" i="9"/>
  <c r="BL19" i="9"/>
  <c r="BI19" i="9"/>
  <c r="BH19" i="9"/>
  <c r="CH19" i="9" s="1"/>
  <c r="BG19" i="9"/>
  <c r="CG19" i="9" s="1"/>
  <c r="BF19" i="9"/>
  <c r="BE19" i="9"/>
  <c r="BD19" i="9"/>
  <c r="BC19" i="9"/>
  <c r="CC19" i="9" s="1"/>
  <c r="BB19" i="9"/>
  <c r="BA19" i="9"/>
  <c r="CA19" i="9" s="1"/>
  <c r="AZ19" i="9"/>
  <c r="BZ19" i="9" s="1"/>
  <c r="AY19" i="9"/>
  <c r="AX19" i="9"/>
  <c r="AW19" i="9"/>
  <c r="AV19" i="9"/>
  <c r="AU19" i="9"/>
  <c r="BU19" i="9" s="1"/>
  <c r="AT19" i="9"/>
  <c r="AS19" i="9"/>
  <c r="BS19" i="9" s="1"/>
  <c r="AR19" i="9"/>
  <c r="BR19" i="9" s="1"/>
  <c r="AQ19" i="9"/>
  <c r="BQ19" i="9" s="1"/>
  <c r="AP19" i="9"/>
  <c r="AO19" i="9"/>
  <c r="AN19" i="9"/>
  <c r="AM19" i="9"/>
  <c r="BM19" i="9" s="1"/>
  <c r="AL19" i="9"/>
  <c r="AK19" i="9"/>
  <c r="BK19" i="9" s="1"/>
  <c r="AJ19" i="9"/>
  <c r="BJ19" i="9" s="1"/>
  <c r="AI19" i="9"/>
  <c r="H19" i="9"/>
  <c r="F19" i="9"/>
  <c r="CH18" i="9"/>
  <c r="CD18" i="9"/>
  <c r="CC18" i="9"/>
  <c r="CB18" i="9"/>
  <c r="BZ18" i="9"/>
  <c r="BU18" i="9"/>
  <c r="BT18" i="9"/>
  <c r="BR18" i="9"/>
  <c r="BM18" i="9"/>
  <c r="BL18" i="9"/>
  <c r="BJ18" i="9"/>
  <c r="BH18" i="9"/>
  <c r="BG18" i="9"/>
  <c r="CG18" i="9" s="1"/>
  <c r="BF18" i="9"/>
  <c r="CF18" i="9" s="1"/>
  <c r="BE18" i="9"/>
  <c r="CE18" i="9" s="1"/>
  <c r="BD18" i="9"/>
  <c r="BC18" i="9"/>
  <c r="BB18" i="9"/>
  <c r="BA18" i="9"/>
  <c r="CA18" i="9" s="1"/>
  <c r="AZ18" i="9"/>
  <c r="AY18" i="9"/>
  <c r="BY18" i="9" s="1"/>
  <c r="AX18" i="9"/>
  <c r="BX18" i="9" s="1"/>
  <c r="AW18" i="9"/>
  <c r="BW18" i="9" s="1"/>
  <c r="AV18" i="9"/>
  <c r="BV18" i="9" s="1"/>
  <c r="AU18" i="9"/>
  <c r="AT18" i="9"/>
  <c r="AS18" i="9"/>
  <c r="BS18" i="9" s="1"/>
  <c r="AR18" i="9"/>
  <c r="AQ18" i="9"/>
  <c r="BQ18" i="9" s="1"/>
  <c r="AP18" i="9"/>
  <c r="BP18" i="9" s="1"/>
  <c r="AO18" i="9"/>
  <c r="BO18" i="9" s="1"/>
  <c r="AN18" i="9"/>
  <c r="BN18" i="9" s="1"/>
  <c r="AM18" i="9"/>
  <c r="AL18" i="9"/>
  <c r="AK18" i="9"/>
  <c r="BK18" i="9" s="1"/>
  <c r="AJ18" i="9"/>
  <c r="AI18" i="9"/>
  <c r="BI18" i="9" s="1"/>
  <c r="F18" i="9"/>
  <c r="H18" i="9" s="1"/>
  <c r="CH17" i="9"/>
  <c r="CF17" i="9"/>
  <c r="CA17" i="9"/>
  <c r="BZ17" i="9"/>
  <c r="BX17" i="9"/>
  <c r="BU17" i="9"/>
  <c r="BS17" i="9"/>
  <c r="BR17" i="9"/>
  <c r="BP17" i="9"/>
  <c r="BK17" i="9"/>
  <c r="BJ17" i="9"/>
  <c r="BH17" i="9"/>
  <c r="BG17" i="9"/>
  <c r="CG17" i="9" s="1"/>
  <c r="BF17" i="9"/>
  <c r="BE17" i="9"/>
  <c r="CE17" i="9" s="1"/>
  <c r="BD17" i="9"/>
  <c r="CD17" i="9" s="1"/>
  <c r="BC17" i="9"/>
  <c r="CC17" i="9" s="1"/>
  <c r="BB17" i="9"/>
  <c r="CB17" i="9" s="1"/>
  <c r="BA17" i="9"/>
  <c r="AZ17" i="9"/>
  <c r="AY17" i="9"/>
  <c r="BY17" i="9" s="1"/>
  <c r="AX17" i="9"/>
  <c r="AW17" i="9"/>
  <c r="BW17" i="9" s="1"/>
  <c r="AV17" i="9"/>
  <c r="BV17" i="9" s="1"/>
  <c r="AU17" i="9"/>
  <c r="AT17" i="9"/>
  <c r="BT17" i="9" s="1"/>
  <c r="AS17" i="9"/>
  <c r="AR17" i="9"/>
  <c r="AQ17" i="9"/>
  <c r="BQ17" i="9" s="1"/>
  <c r="AP17" i="9"/>
  <c r="AO17" i="9"/>
  <c r="BO17" i="9" s="1"/>
  <c r="AN17" i="9"/>
  <c r="BN17" i="9" s="1"/>
  <c r="AM17" i="9"/>
  <c r="BM17" i="9" s="1"/>
  <c r="AL17" i="9"/>
  <c r="BL17" i="9" s="1"/>
  <c r="AK17" i="9"/>
  <c r="AJ17" i="9"/>
  <c r="AI17" i="9"/>
  <c r="BI17" i="9" s="1"/>
  <c r="F17" i="9"/>
  <c r="G17" i="9" s="1"/>
  <c r="CG16" i="9"/>
  <c r="CF16" i="9"/>
  <c r="CD16" i="9"/>
  <c r="CC16" i="9"/>
  <c r="BY16" i="9"/>
  <c r="BX16" i="9"/>
  <c r="BV16" i="9"/>
  <c r="BU16" i="9"/>
  <c r="BS16" i="9"/>
  <c r="BR16" i="9"/>
  <c r="BP16" i="9"/>
  <c r="BH16" i="9"/>
  <c r="CH16" i="9" s="1"/>
  <c r="BG16" i="9"/>
  <c r="BF16" i="9"/>
  <c r="BE16" i="9"/>
  <c r="CE16" i="9" s="1"/>
  <c r="BD16" i="9"/>
  <c r="BC16" i="9"/>
  <c r="BB16" i="9"/>
  <c r="CB16" i="9" s="1"/>
  <c r="BA16" i="9"/>
  <c r="CA16" i="9" s="1"/>
  <c r="AZ16" i="9"/>
  <c r="BZ16" i="9" s="1"/>
  <c r="AY16" i="9"/>
  <c r="AX16" i="9"/>
  <c r="AW16" i="9"/>
  <c r="BW16" i="9" s="1"/>
  <c r="AV16" i="9"/>
  <c r="AU16" i="9"/>
  <c r="AT16" i="9"/>
  <c r="BT16" i="9" s="1"/>
  <c r="AS16" i="9"/>
  <c r="AR16" i="9"/>
  <c r="AQ16" i="9"/>
  <c r="BQ16" i="9" s="1"/>
  <c r="AP16" i="9"/>
  <c r="AO16" i="9"/>
  <c r="BO16" i="9" s="1"/>
  <c r="AN16" i="9"/>
  <c r="BN16" i="9" s="1"/>
  <c r="AM16" i="9"/>
  <c r="BM16" i="9" s="1"/>
  <c r="AL16" i="9"/>
  <c r="BL16" i="9" s="1"/>
  <c r="AK16" i="9"/>
  <c r="BK16" i="9" s="1"/>
  <c r="AJ16" i="9"/>
  <c r="BJ16" i="9" s="1"/>
  <c r="AI16" i="9"/>
  <c r="BI16" i="9" s="1"/>
  <c r="F16" i="9"/>
  <c r="H16" i="9" s="1"/>
  <c r="CG15" i="9"/>
  <c r="CE15" i="9"/>
  <c r="CD15" i="9"/>
  <c r="CC15" i="9"/>
  <c r="CB15" i="9"/>
  <c r="CA15" i="9"/>
  <c r="BV15" i="9"/>
  <c r="BT15" i="9"/>
  <c r="BQ15" i="9"/>
  <c r="BO15" i="9"/>
  <c r="BN15" i="9"/>
  <c r="BL15" i="9"/>
  <c r="BI15" i="9"/>
  <c r="BH15" i="9"/>
  <c r="CH15" i="9" s="1"/>
  <c r="BG15" i="9"/>
  <c r="BF15" i="9"/>
  <c r="CF15" i="9" s="1"/>
  <c r="BE15" i="9"/>
  <c r="BD15" i="9"/>
  <c r="BC15" i="9"/>
  <c r="BB15" i="9"/>
  <c r="BA15" i="9"/>
  <c r="AZ15" i="9"/>
  <c r="BZ15" i="9" s="1"/>
  <c r="AY15" i="9"/>
  <c r="BY15" i="9" s="1"/>
  <c r="AX15" i="9"/>
  <c r="BX15" i="9" s="1"/>
  <c r="AW15" i="9"/>
  <c r="BW15" i="9" s="1"/>
  <c r="AV15" i="9"/>
  <c r="AU15" i="9"/>
  <c r="BU15" i="9" s="1"/>
  <c r="AT15" i="9"/>
  <c r="AS15" i="9"/>
  <c r="BS15" i="9" s="1"/>
  <c r="AR15" i="9"/>
  <c r="BR15" i="9" s="1"/>
  <c r="AQ15" i="9"/>
  <c r="AP15" i="9"/>
  <c r="BP15" i="9" s="1"/>
  <c r="AO15" i="9"/>
  <c r="AN15" i="9"/>
  <c r="AM15" i="9"/>
  <c r="BM15" i="9" s="1"/>
  <c r="AL15" i="9"/>
  <c r="AK15" i="9"/>
  <c r="BK15" i="9" s="1"/>
  <c r="AJ15" i="9"/>
  <c r="BJ15" i="9" s="1"/>
  <c r="AI15" i="9"/>
  <c r="G15" i="9"/>
  <c r="F15" i="9"/>
  <c r="CH14" i="9"/>
  <c r="CE14" i="9"/>
  <c r="CD14" i="9"/>
  <c r="CC14" i="9"/>
  <c r="CB14" i="9"/>
  <c r="BZ14" i="9"/>
  <c r="BW14" i="9"/>
  <c r="BV14" i="9"/>
  <c r="BU14" i="9"/>
  <c r="BT14" i="9"/>
  <c r="BL14" i="9"/>
  <c r="BI14" i="9"/>
  <c r="BH14" i="9"/>
  <c r="BG14" i="9"/>
  <c r="CG14" i="9" s="1"/>
  <c r="BF14" i="9"/>
  <c r="CF14" i="9" s="1"/>
  <c r="BE14" i="9"/>
  <c r="BD14" i="9"/>
  <c r="BC14" i="9"/>
  <c r="BB14" i="9"/>
  <c r="BA14" i="9"/>
  <c r="CA14" i="9" s="1"/>
  <c r="AZ14" i="9"/>
  <c r="AY14" i="9"/>
  <c r="BY14" i="9" s="1"/>
  <c r="AX14" i="9"/>
  <c r="BX14" i="9" s="1"/>
  <c r="AW14" i="9"/>
  <c r="AV14" i="9"/>
  <c r="AU14" i="9"/>
  <c r="AT14" i="9"/>
  <c r="AS14" i="9"/>
  <c r="BS14" i="9" s="1"/>
  <c r="AR14" i="9"/>
  <c r="BR14" i="9" s="1"/>
  <c r="AQ14" i="9"/>
  <c r="BQ14" i="9" s="1"/>
  <c r="AP14" i="9"/>
  <c r="BP14" i="9" s="1"/>
  <c r="AO14" i="9"/>
  <c r="BO14" i="9" s="1"/>
  <c r="AN14" i="9"/>
  <c r="BN14" i="9" s="1"/>
  <c r="AM14" i="9"/>
  <c r="BM14" i="9" s="1"/>
  <c r="AL14" i="9"/>
  <c r="AK14" i="9"/>
  <c r="BK14" i="9" s="1"/>
  <c r="AJ14" i="9"/>
  <c r="BJ14" i="9" s="1"/>
  <c r="AI14" i="9"/>
  <c r="F14" i="9"/>
  <c r="H14" i="9" s="1"/>
  <c r="CH13" i="9"/>
  <c r="CG13" i="9"/>
  <c r="CE13" i="9"/>
  <c r="CC13" i="9"/>
  <c r="BZ13" i="9"/>
  <c r="BR13" i="9"/>
  <c r="BJ13" i="9"/>
  <c r="BI13" i="9"/>
  <c r="BH13" i="9"/>
  <c r="BG13" i="9"/>
  <c r="BF13" i="9"/>
  <c r="CF13" i="9" s="1"/>
  <c r="BE13" i="9"/>
  <c r="BD13" i="9"/>
  <c r="CD13" i="9" s="1"/>
  <c r="BC13" i="9"/>
  <c r="BB13" i="9"/>
  <c r="CB13" i="9" s="1"/>
  <c r="BA13" i="9"/>
  <c r="CA13" i="9" s="1"/>
  <c r="AZ13" i="9"/>
  <c r="AY13" i="9"/>
  <c r="BY13" i="9" s="1"/>
  <c r="AX13" i="9"/>
  <c r="BX13" i="9" s="1"/>
  <c r="AW13" i="9"/>
  <c r="BW13" i="9" s="1"/>
  <c r="AV13" i="9"/>
  <c r="BV13" i="9" s="1"/>
  <c r="AU13" i="9"/>
  <c r="BU13" i="9" s="1"/>
  <c r="AT13" i="9"/>
  <c r="BT13" i="9" s="1"/>
  <c r="AS13" i="9"/>
  <c r="BS13" i="9" s="1"/>
  <c r="AR13" i="9"/>
  <c r="AQ13" i="9"/>
  <c r="BQ13" i="9" s="1"/>
  <c r="AP13" i="9"/>
  <c r="BP13" i="9" s="1"/>
  <c r="AO13" i="9"/>
  <c r="BO13" i="9" s="1"/>
  <c r="AN13" i="9"/>
  <c r="BN13" i="9" s="1"/>
  <c r="AM13" i="9"/>
  <c r="BM13" i="9" s="1"/>
  <c r="AL13" i="9"/>
  <c r="BL13" i="9" s="1"/>
  <c r="AK13" i="9"/>
  <c r="BK13" i="9" s="1"/>
  <c r="AJ13" i="9"/>
  <c r="AI13" i="9"/>
  <c r="F13" i="9"/>
  <c r="H13" i="9" s="1"/>
  <c r="CG12" i="9"/>
  <c r="CF12" i="9"/>
  <c r="CE12" i="9"/>
  <c r="CC12" i="9"/>
  <c r="BY12" i="9"/>
  <c r="BX12" i="9"/>
  <c r="BU12" i="9"/>
  <c r="BP12" i="9"/>
  <c r="BM12" i="9"/>
  <c r="BI12" i="9"/>
  <c r="BH12" i="9"/>
  <c r="CH12" i="9" s="1"/>
  <c r="BG12" i="9"/>
  <c r="BF12" i="9"/>
  <c r="BE12" i="9"/>
  <c r="BD12" i="9"/>
  <c r="CD12" i="9" s="1"/>
  <c r="BC12" i="9"/>
  <c r="BB12" i="9"/>
  <c r="CB12" i="9" s="1"/>
  <c r="BA12" i="9"/>
  <c r="CA12" i="9" s="1"/>
  <c r="AZ12" i="9"/>
  <c r="BZ12" i="9" s="1"/>
  <c r="AY12" i="9"/>
  <c r="AX12" i="9"/>
  <c r="AW12" i="9"/>
  <c r="BW12" i="9" s="1"/>
  <c r="AV12" i="9"/>
  <c r="BV12" i="9" s="1"/>
  <c r="AU12" i="9"/>
  <c r="AT12" i="9"/>
  <c r="BT12" i="9" s="1"/>
  <c r="AS12" i="9"/>
  <c r="BS12" i="9" s="1"/>
  <c r="AR12" i="9"/>
  <c r="BR12" i="9" s="1"/>
  <c r="AQ12" i="9"/>
  <c r="BQ12" i="9" s="1"/>
  <c r="AP12" i="9"/>
  <c r="AO12" i="9"/>
  <c r="BO12" i="9" s="1"/>
  <c r="AN12" i="9"/>
  <c r="BN12" i="9" s="1"/>
  <c r="AM12" i="9"/>
  <c r="AL12" i="9"/>
  <c r="BL12" i="9" s="1"/>
  <c r="AK12" i="9"/>
  <c r="BK12" i="9" s="1"/>
  <c r="AJ12" i="9"/>
  <c r="BJ12" i="9" s="1"/>
  <c r="AI12" i="9"/>
  <c r="H12" i="9"/>
  <c r="F12" i="9"/>
  <c r="CD11" i="9"/>
  <c r="CC11" i="9"/>
  <c r="CA11" i="9"/>
  <c r="BZ11" i="9"/>
  <c r="BV11" i="9"/>
  <c r="BU11" i="9"/>
  <c r="BS11" i="9"/>
  <c r="BR11" i="9"/>
  <c r="BN11" i="9"/>
  <c r="BM11" i="9"/>
  <c r="BK11" i="9"/>
  <c r="BJ11" i="9"/>
  <c r="BH11" i="9"/>
  <c r="CH11" i="9" s="1"/>
  <c r="BG11" i="9"/>
  <c r="CG11" i="9" s="1"/>
  <c r="BF11" i="9"/>
  <c r="CF11" i="9" s="1"/>
  <c r="BE11" i="9"/>
  <c r="CE11" i="9" s="1"/>
  <c r="BD11" i="9"/>
  <c r="BC11" i="9"/>
  <c r="BB11" i="9"/>
  <c r="CB11" i="9" s="1"/>
  <c r="BA11" i="9"/>
  <c r="AZ11" i="9"/>
  <c r="AY11" i="9"/>
  <c r="BY11" i="9" s="1"/>
  <c r="AX11" i="9"/>
  <c r="BX11" i="9" s="1"/>
  <c r="AW11" i="9"/>
  <c r="BW11" i="9" s="1"/>
  <c r="AV11" i="9"/>
  <c r="AU11" i="9"/>
  <c r="AT11" i="9"/>
  <c r="BT11" i="9" s="1"/>
  <c r="AS11" i="9"/>
  <c r="AR11" i="9"/>
  <c r="AQ11" i="9"/>
  <c r="BQ11" i="9" s="1"/>
  <c r="AP11" i="9"/>
  <c r="BP11" i="9" s="1"/>
  <c r="AO11" i="9"/>
  <c r="BO11" i="9" s="1"/>
  <c r="AN11" i="9"/>
  <c r="AM11" i="9"/>
  <c r="AL11" i="9"/>
  <c r="BL11" i="9" s="1"/>
  <c r="AK11" i="9"/>
  <c r="AJ11" i="9"/>
  <c r="AI11" i="9"/>
  <c r="BI11" i="9" s="1"/>
  <c r="F11" i="9"/>
  <c r="G11" i="9" s="1"/>
  <c r="CG10" i="9"/>
  <c r="CF10" i="9"/>
  <c r="CB10" i="9"/>
  <c r="CA10" i="9"/>
  <c r="BY10" i="9"/>
  <c r="BX10" i="9"/>
  <c r="BT10" i="9"/>
  <c r="BS10" i="9"/>
  <c r="BQ10" i="9"/>
  <c r="BP10" i="9"/>
  <c r="BL10" i="9"/>
  <c r="BK10" i="9"/>
  <c r="BI10" i="9"/>
  <c r="BH10" i="9"/>
  <c r="CH10" i="9" s="1"/>
  <c r="BG10" i="9"/>
  <c r="BF10" i="9"/>
  <c r="BE10" i="9"/>
  <c r="CE10" i="9" s="1"/>
  <c r="BD10" i="9"/>
  <c r="CD10" i="9" s="1"/>
  <c r="BC10" i="9"/>
  <c r="CC10" i="9" s="1"/>
  <c r="BB10" i="9"/>
  <c r="BA10" i="9"/>
  <c r="AZ10" i="9"/>
  <c r="BZ10" i="9" s="1"/>
  <c r="AY10" i="9"/>
  <c r="AX10" i="9"/>
  <c r="AW10" i="9"/>
  <c r="BW10" i="9" s="1"/>
  <c r="AV10" i="9"/>
  <c r="BV10" i="9" s="1"/>
  <c r="AU10" i="9"/>
  <c r="BU10" i="9" s="1"/>
  <c r="AT10" i="9"/>
  <c r="AS10" i="9"/>
  <c r="AR10" i="9"/>
  <c r="BR10" i="9" s="1"/>
  <c r="AQ10" i="9"/>
  <c r="AP10" i="9"/>
  <c r="AO10" i="9"/>
  <c r="BO10" i="9" s="1"/>
  <c r="AN10" i="9"/>
  <c r="BN10" i="9" s="1"/>
  <c r="AM10" i="9"/>
  <c r="BM10" i="9" s="1"/>
  <c r="AL10" i="9"/>
  <c r="AK10" i="9"/>
  <c r="AJ10" i="9"/>
  <c r="BJ10" i="9" s="1"/>
  <c r="AI10" i="9"/>
  <c r="F10" i="9"/>
  <c r="G10" i="9" s="1"/>
  <c r="CH9" i="9"/>
  <c r="CG9" i="9"/>
  <c r="CE9" i="9"/>
  <c r="CD9" i="9"/>
  <c r="BZ9" i="9"/>
  <c r="BY9" i="9"/>
  <c r="BW9" i="9"/>
  <c r="BV9" i="9"/>
  <c r="BR9" i="9"/>
  <c r="BQ9" i="9"/>
  <c r="BO9" i="9"/>
  <c r="BN9" i="9"/>
  <c r="BJ9" i="9"/>
  <c r="BI9" i="9"/>
  <c r="BH9" i="9"/>
  <c r="BG9" i="9"/>
  <c r="BF9" i="9"/>
  <c r="CF9" i="9" s="1"/>
  <c r="BE9" i="9"/>
  <c r="BD9" i="9"/>
  <c r="BC9" i="9"/>
  <c r="CC9" i="9" s="1"/>
  <c r="BB9" i="9"/>
  <c r="CB9" i="9" s="1"/>
  <c r="BA9" i="9"/>
  <c r="CA9" i="9" s="1"/>
  <c r="AZ9" i="9"/>
  <c r="AY9" i="9"/>
  <c r="AX9" i="9"/>
  <c r="BX9" i="9" s="1"/>
  <c r="AW9" i="9"/>
  <c r="AV9" i="9"/>
  <c r="AU9" i="9"/>
  <c r="BU9" i="9" s="1"/>
  <c r="AT9" i="9"/>
  <c r="BT9" i="9" s="1"/>
  <c r="AS9" i="9"/>
  <c r="BS9" i="9" s="1"/>
  <c r="AR9" i="9"/>
  <c r="AQ9" i="9"/>
  <c r="AP9" i="9"/>
  <c r="BP9" i="9" s="1"/>
  <c r="AO9" i="9"/>
  <c r="AN9" i="9"/>
  <c r="AM9" i="9"/>
  <c r="BM9" i="9" s="1"/>
  <c r="AL9" i="9"/>
  <c r="BL9" i="9" s="1"/>
  <c r="AK9" i="9"/>
  <c r="BK9" i="9" s="1"/>
  <c r="AJ9" i="9"/>
  <c r="AI9" i="9"/>
  <c r="G9" i="9"/>
  <c r="F9" i="9"/>
  <c r="CF8" i="9"/>
  <c r="CE8" i="9"/>
  <c r="CC8" i="9"/>
  <c r="CB8" i="9"/>
  <c r="BX8" i="9"/>
  <c r="BW8" i="9"/>
  <c r="BU8" i="9"/>
  <c r="BT8" i="9"/>
  <c r="BP8" i="9"/>
  <c r="BO8" i="9"/>
  <c r="BM8" i="9"/>
  <c r="BL8" i="9"/>
  <c r="BH8" i="9"/>
  <c r="CH8" i="9" s="1"/>
  <c r="BG8" i="9"/>
  <c r="CG8" i="9" s="1"/>
  <c r="BF8" i="9"/>
  <c r="BE8" i="9"/>
  <c r="BD8" i="9"/>
  <c r="CD8" i="9" s="1"/>
  <c r="BC8" i="9"/>
  <c r="BB8" i="9"/>
  <c r="BA8" i="9"/>
  <c r="CA8" i="9" s="1"/>
  <c r="AZ8" i="9"/>
  <c r="BZ8" i="9" s="1"/>
  <c r="AY8" i="9"/>
  <c r="BY8" i="9" s="1"/>
  <c r="AX8" i="9"/>
  <c r="AW8" i="9"/>
  <c r="AV8" i="9"/>
  <c r="BV8" i="9" s="1"/>
  <c r="AU8" i="9"/>
  <c r="AT8" i="9"/>
  <c r="AS8" i="9"/>
  <c r="BS8" i="9" s="1"/>
  <c r="AR8" i="9"/>
  <c r="BR8" i="9" s="1"/>
  <c r="AQ8" i="9"/>
  <c r="BQ8" i="9" s="1"/>
  <c r="AP8" i="9"/>
  <c r="AO8" i="9"/>
  <c r="AN8" i="9"/>
  <c r="BN8" i="9" s="1"/>
  <c r="AM8" i="9"/>
  <c r="AL8" i="9"/>
  <c r="AK8" i="9"/>
  <c r="BK8" i="9" s="1"/>
  <c r="AJ8" i="9"/>
  <c r="BJ8" i="9" s="1"/>
  <c r="AI8" i="9"/>
  <c r="BI8" i="9" s="1"/>
  <c r="F8" i="9"/>
  <c r="H8" i="9" s="1"/>
  <c r="CH7" i="9"/>
  <c r="CD7" i="9"/>
  <c r="CC7" i="9"/>
  <c r="CA7" i="9"/>
  <c r="BZ7" i="9"/>
  <c r="BV7" i="9"/>
  <c r="BU7" i="9"/>
  <c r="BS7" i="9"/>
  <c r="BR7" i="9"/>
  <c r="BN7" i="9"/>
  <c r="BM7" i="9"/>
  <c r="BK7" i="9"/>
  <c r="BJ7" i="9"/>
  <c r="BH7" i="9"/>
  <c r="BG7" i="9"/>
  <c r="CG7" i="9" s="1"/>
  <c r="BF7" i="9"/>
  <c r="CF7" i="9" s="1"/>
  <c r="BE7" i="9"/>
  <c r="CE7" i="9" s="1"/>
  <c r="BD7" i="9"/>
  <c r="BC7" i="9"/>
  <c r="BB7" i="9"/>
  <c r="CB7" i="9" s="1"/>
  <c r="BA7" i="9"/>
  <c r="AZ7" i="9"/>
  <c r="AY7" i="9"/>
  <c r="BY7" i="9" s="1"/>
  <c r="AX7" i="9"/>
  <c r="BX7" i="9" s="1"/>
  <c r="AW7" i="9"/>
  <c r="BW7" i="9" s="1"/>
  <c r="AV7" i="9"/>
  <c r="AU7" i="9"/>
  <c r="AT7" i="9"/>
  <c r="BT7" i="9" s="1"/>
  <c r="AS7" i="9"/>
  <c r="AR7" i="9"/>
  <c r="AQ7" i="9"/>
  <c r="BQ7" i="9" s="1"/>
  <c r="AP7" i="9"/>
  <c r="BP7" i="9" s="1"/>
  <c r="AO7" i="9"/>
  <c r="BO7" i="9" s="1"/>
  <c r="AN7" i="9"/>
  <c r="AM7" i="9"/>
  <c r="AL7" i="9"/>
  <c r="BL7" i="9" s="1"/>
  <c r="AK7" i="9"/>
  <c r="AJ7" i="9"/>
  <c r="AI7" i="9"/>
  <c r="BI7" i="9" s="1"/>
  <c r="F7" i="9"/>
  <c r="H7" i="9" s="1"/>
  <c r="CG6" i="9"/>
  <c r="CF6" i="9"/>
  <c r="CB6" i="9"/>
  <c r="CA6" i="9"/>
  <c r="BY6" i="9"/>
  <c r="BX6" i="9"/>
  <c r="BT6" i="9"/>
  <c r="BS6" i="9"/>
  <c r="BQ6" i="9"/>
  <c r="BP6" i="9"/>
  <c r="BL6" i="9"/>
  <c r="BK6" i="9"/>
  <c r="BI6" i="9"/>
  <c r="BH6" i="9"/>
  <c r="CH6" i="9" s="1"/>
  <c r="BG6" i="9"/>
  <c r="BF6" i="9"/>
  <c r="BE6" i="9"/>
  <c r="CE6" i="9" s="1"/>
  <c r="BD6" i="9"/>
  <c r="CD6" i="9" s="1"/>
  <c r="BC6" i="9"/>
  <c r="CC6" i="9" s="1"/>
  <c r="BB6" i="9"/>
  <c r="BA6" i="9"/>
  <c r="AZ6" i="9"/>
  <c r="BZ6" i="9" s="1"/>
  <c r="AY6" i="9"/>
  <c r="AX6" i="9"/>
  <c r="AW6" i="9"/>
  <c r="BW6" i="9" s="1"/>
  <c r="AV6" i="9"/>
  <c r="BV6" i="9" s="1"/>
  <c r="AU6" i="9"/>
  <c r="BU6" i="9" s="1"/>
  <c r="AT6" i="9"/>
  <c r="AS6" i="9"/>
  <c r="AR6" i="9"/>
  <c r="BR6" i="9" s="1"/>
  <c r="AQ6" i="9"/>
  <c r="AP6" i="9"/>
  <c r="AO6" i="9"/>
  <c r="BO6" i="9" s="1"/>
  <c r="AN6" i="9"/>
  <c r="BN6" i="9" s="1"/>
  <c r="AM6" i="9"/>
  <c r="BM6" i="9" s="1"/>
  <c r="AL6" i="9"/>
  <c r="AK6" i="9"/>
  <c r="AJ6" i="9"/>
  <c r="BJ6" i="9" s="1"/>
  <c r="AI6" i="9"/>
  <c r="F6" i="9"/>
  <c r="H6" i="9" s="1"/>
  <c r="CH5" i="9"/>
  <c r="CG5" i="9"/>
  <c r="CE5" i="9"/>
  <c r="CD5" i="9"/>
  <c r="BZ5" i="9"/>
  <c r="BY5" i="9"/>
  <c r="BW5" i="9"/>
  <c r="BV5" i="9"/>
  <c r="BR5" i="9"/>
  <c r="BQ5" i="9"/>
  <c r="BO5" i="9"/>
  <c r="BN5" i="9"/>
  <c r="BJ5" i="9"/>
  <c r="BI5" i="9"/>
  <c r="BH5" i="9"/>
  <c r="BG5" i="9"/>
  <c r="BF5" i="9"/>
  <c r="CF5" i="9" s="1"/>
  <c r="BE5" i="9"/>
  <c r="BD5" i="9"/>
  <c r="BC5" i="9"/>
  <c r="CC5" i="9" s="1"/>
  <c r="BB5" i="9"/>
  <c r="CB5" i="9" s="1"/>
  <c r="BA5" i="9"/>
  <c r="CA5" i="9" s="1"/>
  <c r="AZ5" i="9"/>
  <c r="AY5" i="9"/>
  <c r="AX5" i="9"/>
  <c r="BX5" i="9" s="1"/>
  <c r="AW5" i="9"/>
  <c r="AV5" i="9"/>
  <c r="AU5" i="9"/>
  <c r="BU5" i="9" s="1"/>
  <c r="AT5" i="9"/>
  <c r="BT5" i="9" s="1"/>
  <c r="AS5" i="9"/>
  <c r="BS5" i="9" s="1"/>
  <c r="AR5" i="9"/>
  <c r="AQ5" i="9"/>
  <c r="AP5" i="9"/>
  <c r="BP5" i="9" s="1"/>
  <c r="AO5" i="9"/>
  <c r="AN5" i="9"/>
  <c r="AM5" i="9"/>
  <c r="BM5" i="9" s="1"/>
  <c r="AL5" i="9"/>
  <c r="BL5" i="9" s="1"/>
  <c r="AK5" i="9"/>
  <c r="BK5" i="9" s="1"/>
  <c r="AJ5" i="9"/>
  <c r="AI5" i="9"/>
  <c r="H5" i="9"/>
  <c r="F5" i="9"/>
  <c r="R89" i="8"/>
  <c r="R88" i="8"/>
  <c r="R87" i="8"/>
  <c r="S89" i="8" s="1"/>
  <c r="Q87" i="8"/>
  <c r="R86" i="8"/>
  <c r="Q86" i="8"/>
  <c r="R83" i="8"/>
  <c r="Q82" i="8"/>
  <c r="R82" i="8" s="1"/>
  <c r="R81" i="8"/>
  <c r="S83" i="8" s="1"/>
  <c r="Q81" i="8"/>
  <c r="BD74" i="8"/>
  <c r="BC74" i="8"/>
  <c r="BB74" i="8"/>
  <c r="BA74" i="8"/>
  <c r="AZ74" i="8"/>
  <c r="AY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BD73" i="8"/>
  <c r="BC73" i="8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BD72" i="8"/>
  <c r="BC72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BD71" i="8"/>
  <c r="BC71" i="8"/>
  <c r="BB71" i="8"/>
  <c r="BA71" i="8"/>
  <c r="AZ71" i="8"/>
  <c r="AY71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BD70" i="8"/>
  <c r="BC70" i="8"/>
  <c r="BB70" i="8"/>
  <c r="BA70" i="8"/>
  <c r="AZ70" i="8"/>
  <c r="AY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BD69" i="8"/>
  <c r="BC69" i="8"/>
  <c r="BB69" i="8"/>
  <c r="BA69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BD67" i="8"/>
  <c r="BC67" i="8"/>
  <c r="BB67" i="8"/>
  <c r="BA67" i="8"/>
  <c r="AZ67" i="8"/>
  <c r="AY67" i="8"/>
  <c r="AX67" i="8"/>
  <c r="AW67" i="8"/>
  <c r="AV67" i="8"/>
  <c r="AU67" i="8"/>
  <c r="AT67" i="8"/>
  <c r="AS67" i="8"/>
  <c r="AR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BD66" i="8"/>
  <c r="BC66" i="8"/>
  <c r="BB66" i="8"/>
  <c r="BA66" i="8"/>
  <c r="AZ66" i="8"/>
  <c r="AY66" i="8"/>
  <c r="AX66" i="8"/>
  <c r="AW66" i="8"/>
  <c r="AV66" i="8"/>
  <c r="AU66" i="8"/>
  <c r="AT66" i="8"/>
  <c r="AS66" i="8"/>
  <c r="AR66" i="8"/>
  <c r="AQ66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BD65" i="8"/>
  <c r="BC65" i="8"/>
  <c r="BB65" i="8"/>
  <c r="BA65" i="8"/>
  <c r="AZ65" i="8"/>
  <c r="AY65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BD64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BD63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BD62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BD61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BD60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BD59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F39" i="8" s="1"/>
  <c r="AJ44" i="8"/>
  <c r="AI44" i="8"/>
  <c r="AH44" i="8"/>
  <c r="AG44" i="8"/>
  <c r="AF44" i="8"/>
  <c r="AE44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O36" i="8" s="1"/>
  <c r="AN32" i="8"/>
  <c r="AM32" i="8"/>
  <c r="AL32" i="8"/>
  <c r="AK32" i="8"/>
  <c r="AJ32" i="8"/>
  <c r="AI32" i="8"/>
  <c r="AH32" i="8"/>
  <c r="AG32" i="8"/>
  <c r="AG36" i="8" s="1"/>
  <c r="AF32" i="8"/>
  <c r="AE32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BD28" i="8"/>
  <c r="BC28" i="8"/>
  <c r="BB28" i="8"/>
  <c r="BA28" i="8"/>
  <c r="AZ28" i="8"/>
  <c r="AY28" i="8"/>
  <c r="AX28" i="8"/>
  <c r="AW28" i="8"/>
  <c r="AW36" i="8" s="1"/>
  <c r="AV28" i="8"/>
  <c r="AU28" i="8"/>
  <c r="AT28" i="8"/>
  <c r="AS28" i="8"/>
  <c r="AR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BD7" i="8"/>
  <c r="BC7" i="8"/>
  <c r="BB7" i="8"/>
  <c r="BA7" i="8"/>
  <c r="AZ7" i="8"/>
  <c r="AY7" i="8"/>
  <c r="AY36" i="8" s="1"/>
  <c r="AX7" i="8"/>
  <c r="AX36" i="8" s="1"/>
  <c r="AW7" i="8"/>
  <c r="AV7" i="8"/>
  <c r="AU7" i="8"/>
  <c r="AT7" i="8"/>
  <c r="AS7" i="8"/>
  <c r="AR7" i="8"/>
  <c r="AQ7" i="8"/>
  <c r="AQ36" i="8" s="1"/>
  <c r="AP7" i="8"/>
  <c r="AP36" i="8" s="1"/>
  <c r="AO7" i="8"/>
  <c r="AN7" i="8"/>
  <c r="AM7" i="8"/>
  <c r="AL7" i="8"/>
  <c r="AK7" i="8"/>
  <c r="AJ7" i="8"/>
  <c r="AI7" i="8"/>
  <c r="AI36" i="8" s="1"/>
  <c r="AH7" i="8"/>
  <c r="AH36" i="8" s="1"/>
  <c r="AG7" i="8"/>
  <c r="AF7" i="8"/>
  <c r="AE7" i="8"/>
  <c r="BD6" i="8"/>
  <c r="BC6" i="8"/>
  <c r="BB6" i="8"/>
  <c r="BA6" i="8"/>
  <c r="BA36" i="8" s="1"/>
  <c r="AZ6" i="8"/>
  <c r="AY6" i="8"/>
  <c r="AX6" i="8"/>
  <c r="AW6" i="8"/>
  <c r="AV6" i="8"/>
  <c r="AU6" i="8"/>
  <c r="AT6" i="8"/>
  <c r="AS6" i="8"/>
  <c r="AS36" i="8" s="1"/>
  <c r="AR6" i="8"/>
  <c r="AQ6" i="8"/>
  <c r="AP6" i="8"/>
  <c r="AO6" i="8"/>
  <c r="AN6" i="8"/>
  <c r="AM6" i="8"/>
  <c r="AL6" i="8"/>
  <c r="AK6" i="8"/>
  <c r="AK36" i="8" s="1"/>
  <c r="AJ6" i="8"/>
  <c r="AI6" i="8"/>
  <c r="AH6" i="8"/>
  <c r="AG6" i="8"/>
  <c r="AF6" i="8"/>
  <c r="AE6" i="8"/>
  <c r="BD5" i="8"/>
  <c r="BD36" i="8" s="1"/>
  <c r="BC5" i="8"/>
  <c r="BC36" i="8" s="1"/>
  <c r="BB5" i="8"/>
  <c r="BB36" i="8" s="1"/>
  <c r="BA5" i="8"/>
  <c r="AZ5" i="8"/>
  <c r="AZ36" i="8" s="1"/>
  <c r="AY5" i="8"/>
  <c r="AX5" i="8"/>
  <c r="AW5" i="8"/>
  <c r="AV5" i="8"/>
  <c r="AV36" i="8" s="1"/>
  <c r="AU5" i="8"/>
  <c r="AU36" i="8" s="1"/>
  <c r="AT5" i="8"/>
  <c r="AT36" i="8" s="1"/>
  <c r="AS5" i="8"/>
  <c r="AR5" i="8"/>
  <c r="AR36" i="8" s="1"/>
  <c r="AQ5" i="8"/>
  <c r="AP5" i="8"/>
  <c r="AO5" i="8"/>
  <c r="AN5" i="8"/>
  <c r="AN36" i="8" s="1"/>
  <c r="AM5" i="8"/>
  <c r="AM36" i="8" s="1"/>
  <c r="AL5" i="8"/>
  <c r="AL36" i="8" s="1"/>
  <c r="AK5" i="8"/>
  <c r="AJ5" i="8"/>
  <c r="AJ36" i="8" s="1"/>
  <c r="AI5" i="8"/>
  <c r="AH5" i="8"/>
  <c r="AG5" i="8"/>
  <c r="AF5" i="8"/>
  <c r="AF36" i="8" s="1"/>
  <c r="AE5" i="8"/>
  <c r="AE36" i="8" s="1"/>
  <c r="B389" i="7"/>
  <c r="B388" i="7"/>
  <c r="B387" i="7"/>
  <c r="B386" i="7"/>
  <c r="B385" i="7"/>
  <c r="B384" i="7"/>
  <c r="B383" i="7"/>
  <c r="B382" i="7"/>
  <c r="B381" i="7"/>
  <c r="B380" i="7"/>
  <c r="B379" i="7"/>
  <c r="B378" i="7"/>
  <c r="B377" i="7"/>
  <c r="B376" i="7"/>
  <c r="B375" i="7"/>
  <c r="B374" i="7"/>
  <c r="B373" i="7"/>
  <c r="B372" i="7"/>
  <c r="B371" i="7"/>
  <c r="B370" i="7"/>
  <c r="B369" i="7"/>
  <c r="B368" i="7"/>
  <c r="B367" i="7"/>
  <c r="B366" i="7"/>
  <c r="B365" i="7"/>
  <c r="B364" i="7"/>
  <c r="B363" i="7"/>
  <c r="B362" i="7"/>
  <c r="B361" i="7"/>
  <c r="B360" i="7"/>
  <c r="B359" i="7"/>
  <c r="B358" i="7"/>
  <c r="B357" i="7"/>
  <c r="B356" i="7"/>
  <c r="B355" i="7"/>
  <c r="B354" i="7"/>
  <c r="B353" i="7"/>
  <c r="B352" i="7"/>
  <c r="B351" i="7"/>
  <c r="B350" i="7"/>
  <c r="B349" i="7"/>
  <c r="B348" i="7"/>
  <c r="B347" i="7"/>
  <c r="B346" i="7"/>
  <c r="B345" i="7"/>
  <c r="B344" i="7"/>
  <c r="B343" i="7"/>
  <c r="B342" i="7"/>
  <c r="B341" i="7"/>
  <c r="B340" i="7"/>
  <c r="B339" i="7"/>
  <c r="B338" i="7"/>
  <c r="B337" i="7"/>
  <c r="B336" i="7"/>
  <c r="B335" i="7"/>
  <c r="B334" i="7"/>
  <c r="B333" i="7"/>
  <c r="B332" i="7"/>
  <c r="B331" i="7"/>
  <c r="B330" i="7"/>
  <c r="B329" i="7"/>
  <c r="B328" i="7"/>
  <c r="B327" i="7"/>
  <c r="B326" i="7"/>
  <c r="B325" i="7"/>
  <c r="B324" i="7"/>
  <c r="B323" i="7"/>
  <c r="B322" i="7"/>
  <c r="B321" i="7"/>
  <c r="B320" i="7"/>
  <c r="B319" i="7"/>
  <c r="B318" i="7"/>
  <c r="B317" i="7"/>
  <c r="B316" i="7"/>
  <c r="B315" i="7"/>
  <c r="B314" i="7"/>
  <c r="B313" i="7"/>
  <c r="B312" i="7"/>
  <c r="B311" i="7"/>
  <c r="B310" i="7"/>
  <c r="B309" i="7"/>
  <c r="B308" i="7"/>
  <c r="B307" i="7"/>
  <c r="B306" i="7"/>
  <c r="B305" i="7"/>
  <c r="B304" i="7"/>
  <c r="B303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B288" i="7"/>
  <c r="B287" i="7"/>
  <c r="B286" i="7"/>
  <c r="B285" i="7"/>
  <c r="B284" i="7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31" i="6"/>
  <c r="D25" i="6"/>
  <c r="I23" i="6"/>
  <c r="I12" i="6"/>
  <c r="D5" i="6"/>
  <c r="D9" i="6" s="1"/>
  <c r="N4" i="6" s="1"/>
  <c r="I4" i="6"/>
  <c r="BI17" i="5"/>
  <c r="AU17" i="5"/>
  <c r="BI16" i="5"/>
  <c r="AU16" i="5"/>
  <c r="BI15" i="5"/>
  <c r="AU15" i="5"/>
  <c r="BI14" i="5"/>
  <c r="AU14" i="5"/>
  <c r="BI13" i="5"/>
  <c r="AU13" i="5"/>
  <c r="BI12" i="5"/>
  <c r="AU12" i="5"/>
  <c r="BI11" i="5"/>
  <c r="AU11" i="5"/>
  <c r="BI10" i="5"/>
  <c r="AU10" i="5"/>
  <c r="BI9" i="5"/>
  <c r="AU9" i="5"/>
  <c r="BI8" i="5"/>
  <c r="AU8" i="5"/>
  <c r="BI7" i="5"/>
  <c r="AU7" i="5"/>
  <c r="BI6" i="5"/>
  <c r="AU6" i="5"/>
  <c r="BI5" i="5"/>
  <c r="D32" i="6" s="1"/>
  <c r="AU5" i="5"/>
  <c r="D24" i="6" s="1"/>
  <c r="A1" i="5"/>
  <c r="U46" i="4"/>
  <c r="G46" i="4"/>
  <c r="F46" i="4"/>
  <c r="U45" i="4"/>
  <c r="F45" i="4"/>
  <c r="G45" i="4" s="1"/>
  <c r="U44" i="4"/>
  <c r="G44" i="4" s="1"/>
  <c r="F44" i="4"/>
  <c r="U43" i="4"/>
  <c r="G43" i="4" s="1"/>
  <c r="F43" i="4"/>
  <c r="U42" i="4"/>
  <c r="G42" i="4"/>
  <c r="F42" i="4"/>
  <c r="U41" i="4"/>
  <c r="F41" i="4"/>
  <c r="G41" i="4" s="1"/>
  <c r="U40" i="4"/>
  <c r="F40" i="4"/>
  <c r="G40" i="4" s="1"/>
  <c r="U39" i="4"/>
  <c r="G39" i="4" s="1"/>
  <c r="F39" i="4"/>
  <c r="U38" i="4"/>
  <c r="G38" i="4"/>
  <c r="F38" i="4"/>
  <c r="U37" i="4"/>
  <c r="F37" i="4"/>
  <c r="G37" i="4" s="1"/>
  <c r="U36" i="4"/>
  <c r="G36" i="4" s="1"/>
  <c r="F36" i="4"/>
  <c r="U35" i="4"/>
  <c r="G35" i="4" s="1"/>
  <c r="F35" i="4"/>
  <c r="U34" i="4"/>
  <c r="G34" i="4"/>
  <c r="F34" i="4"/>
  <c r="U33" i="4"/>
  <c r="F33" i="4"/>
  <c r="G33" i="4" s="1"/>
  <c r="U32" i="4"/>
  <c r="F32" i="4"/>
  <c r="G32" i="4" s="1"/>
  <c r="U31" i="4"/>
  <c r="G31" i="4" s="1"/>
  <c r="F31" i="4"/>
  <c r="U30" i="4"/>
  <c r="G30" i="4"/>
  <c r="F30" i="4"/>
  <c r="U29" i="4"/>
  <c r="F29" i="4"/>
  <c r="G29" i="4" s="1"/>
  <c r="U28" i="4"/>
  <c r="G28" i="4" s="1"/>
  <c r="F28" i="4"/>
  <c r="U27" i="4"/>
  <c r="G27" i="4" s="1"/>
  <c r="F27" i="4"/>
  <c r="U26" i="4"/>
  <c r="G26" i="4"/>
  <c r="F26" i="4"/>
  <c r="U25" i="4"/>
  <c r="F25" i="4"/>
  <c r="G25" i="4" s="1"/>
  <c r="U24" i="4"/>
  <c r="F24" i="4"/>
  <c r="G24" i="4" s="1"/>
  <c r="U23" i="4"/>
  <c r="G23" i="4" s="1"/>
  <c r="F23" i="4"/>
  <c r="U22" i="4"/>
  <c r="G22" i="4"/>
  <c r="F22" i="4"/>
  <c r="U21" i="4"/>
  <c r="F21" i="4"/>
  <c r="G21" i="4" s="1"/>
  <c r="U20" i="4"/>
  <c r="G20" i="4" s="1"/>
  <c r="F20" i="4"/>
  <c r="U19" i="4"/>
  <c r="G19" i="4" s="1"/>
  <c r="F19" i="4"/>
  <c r="U18" i="4"/>
  <c r="G18" i="4"/>
  <c r="F18" i="4"/>
  <c r="U17" i="4"/>
  <c r="F17" i="4"/>
  <c r="G17" i="4" s="1"/>
  <c r="U16" i="4"/>
  <c r="F16" i="4"/>
  <c r="G16" i="4" s="1"/>
  <c r="U15" i="4"/>
  <c r="G15" i="4" s="1"/>
  <c r="F15" i="4"/>
  <c r="U14" i="4"/>
  <c r="G14" i="4"/>
  <c r="F14" i="4"/>
  <c r="U13" i="4"/>
  <c r="F13" i="4"/>
  <c r="G13" i="4" s="1"/>
  <c r="U12" i="4"/>
  <c r="G12" i="4" s="1"/>
  <c r="F12" i="4"/>
  <c r="U11" i="4"/>
  <c r="G11" i="4" s="1"/>
  <c r="F11" i="4"/>
  <c r="U10" i="4"/>
  <c r="G10" i="4"/>
  <c r="F10" i="4"/>
  <c r="U9" i="4"/>
  <c r="F9" i="4"/>
  <c r="G9" i="4" s="1"/>
  <c r="U8" i="4"/>
  <c r="F8" i="4"/>
  <c r="G8" i="4" s="1"/>
  <c r="U7" i="4"/>
  <c r="G7" i="4" s="1"/>
  <c r="F7" i="4"/>
  <c r="U6" i="4"/>
  <c r="G6" i="4"/>
  <c r="F6" i="4"/>
  <c r="U5" i="4"/>
  <c r="F5" i="4"/>
  <c r="G5" i="4" s="1"/>
  <c r="A1" i="4"/>
  <c r="U5" i="3"/>
  <c r="G5" i="3" s="1"/>
  <c r="A1" i="3"/>
  <c r="G410" i="2"/>
  <c r="A1" i="2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I24" i="6" l="1"/>
  <c r="N14" i="6" s="1"/>
  <c r="D46" i="6"/>
  <c r="D29" i="6"/>
  <c r="N6" i="6" s="1"/>
  <c r="N22" i="6" s="1"/>
  <c r="H25" i="6"/>
  <c r="H26" i="6" s="1"/>
  <c r="G47" i="4"/>
  <c r="D13" i="6" s="1"/>
  <c r="H34" i="6"/>
  <c r="I32" i="6"/>
  <c r="N15" i="6" s="1"/>
  <c r="D36" i="6"/>
  <c r="N7" i="6" s="1"/>
  <c r="N23" i="6" s="1"/>
  <c r="D47" i="6"/>
  <c r="N20" i="6"/>
  <c r="AF37" i="8"/>
  <c r="I5" i="6"/>
  <c r="N12" i="6" s="1"/>
  <c r="H6" i="6"/>
  <c r="D44" i="6"/>
  <c r="N16" i="6" l="1"/>
  <c r="D45" i="6"/>
  <c r="D17" i="6"/>
  <c r="N5" i="6" s="1"/>
  <c r="I13" i="6"/>
  <c r="N13" i="6" s="1"/>
  <c r="N21" i="6" l="1"/>
  <c r="N24" i="6" s="1"/>
  <c r="N26" i="6" s="1"/>
  <c r="N8" i="6"/>
  <c r="D48" i="6"/>
  <c r="E45" i="6" s="1"/>
  <c r="E46" i="6" l="1"/>
  <c r="E44" i="6"/>
  <c r="E47" i="6"/>
  <c r="E48" i="6" l="1"/>
</calcChain>
</file>

<file path=xl/sharedStrings.xml><?xml version="1.0" encoding="utf-8"?>
<sst xmlns="http://schemas.openxmlformats.org/spreadsheetml/2006/main" count="6466" uniqueCount="2101">
  <si>
    <t>LOCAL</t>
  </si>
  <si>
    <t>ENDEREÇO</t>
  </si>
  <si>
    <t>UC</t>
  </si>
  <si>
    <t>CLASSIFICAÇÃO UC</t>
  </si>
  <si>
    <t>DEMANDA CONTRATADA (KW)</t>
  </si>
  <si>
    <t>MAIOR DEMANDA MEDIDA (KW)</t>
  </si>
  <si>
    <t>DEMANDA NÃO UTILIZADA (KW)</t>
  </si>
  <si>
    <t>CONSUMO HP (KWH)</t>
  </si>
  <si>
    <t>CONSUMO HFP/ÚNICO (KWH)</t>
  </si>
  <si>
    <t>Numero do PDF</t>
  </si>
  <si>
    <t>MÉDIA CONSUMO HP (KWH)</t>
  </si>
  <si>
    <t>MÉDIA CONSUMO HFP/ÚNICO (KWH)</t>
  </si>
  <si>
    <t>Classificação UC</t>
  </si>
  <si>
    <t>618UNICIPIO DE CAMPOS DOS GOYTACAZES</t>
  </si>
  <si>
    <t>RUA CAP, JULIO NOGUEIRA, 113, PRQ JDM CARIOCA, CAMPOS DOS GOYTACAZES, 28080-720</t>
  </si>
  <si>
    <t>A4 VERDE</t>
  </si>
  <si>
    <t>1744145913358_BILLING_BR_088882057006</t>
  </si>
  <si>
    <t>MUNICIPIO DE CAMPOS DOS GOYTACAZES</t>
  </si>
  <si>
    <t>RUA JOSE CARLOS P PINTO SN, HGG, CALABOUCO, CAMPOS DOS GOYTACAZES, 28083-102</t>
  </si>
  <si>
    <t>RUA ROCHA LEAO 2, CAJU, CAMPOS DOS GOYTACAZES, 28051-170</t>
  </si>
  <si>
    <t>ESTRADA DO ACUCAR 42 0, DONANA, CAMPOS DOS GOYTACAZES, 28110-000</t>
  </si>
  <si>
    <t>RUA SALDANHA MARINHO, 320, TURFE, CAMPOS DOS GOYTACAZES, 28010-272</t>
  </si>
  <si>
    <t>RUA LACERDA SOBRINHO, N 72, CENTRO, CAMPOS DOS GOYTACAZES, 28010-076</t>
  </si>
  <si>
    <t>1743708003275_BILLING_BR_088882057017</t>
  </si>
  <si>
    <t>R TEN ANTONIO JOAQUIM SN, PRQ STA HELENA, CAMPOS DOS GOYTACAZES, 28060-020</t>
  </si>
  <si>
    <t>B3</t>
  </si>
  <si>
    <t>1744145913370_BILLING_BR_088882057016</t>
  </si>
  <si>
    <t>RUA ROCHA LEAO S/N-CAJU, CAJU, CAMPOS DOS GOYTACAZES, 28051-170</t>
  </si>
  <si>
    <t>R ALFREDO CRESPO, 30, PRQ STO AMARO, CAMPOS DOS GOYTACAZES, 28030-045</t>
  </si>
  <si>
    <t>RUA SALVADOR SOLDADO ROSA, S/N - PRQ STA ROSA, CAMPOS DOS GOYTACAZES, 28085-340</t>
  </si>
  <si>
    <t>AV CAMPISTA, SN, SÃO FIDELIS, PRQ GUARUS, CAMPOS DOS GOYTACAZES, 28070-010</t>
  </si>
  <si>
    <t>AV JOSE ALVES DE AZEVEDO, 256, CENTRO, CAMPOS DOS GOYTACAZES, 28015-000</t>
  </si>
  <si>
    <t>1743708003415_BILLING_BR_088882057014</t>
  </si>
  <si>
    <t>RUA JOSE DO PATROCINIO SN, CENTRO CAMPOS DOS GOYTACAZES, 28020-740</t>
  </si>
  <si>
    <t>1744145913452_BILLING_BR_088882057009</t>
  </si>
  <si>
    <t>AV JOSE ALVES DE AZEVEDO, 257, CENTRO CAMPOS DOS GOYTACAZES, 28025-496</t>
  </si>
  <si>
    <t>AV PRESIDENTE VARGAS, 180, PECUARIA, CAMPOS DOS GOYTACAZES, 28053-100</t>
  </si>
  <si>
    <t>1743714114769_BILLING_BR_088882057010</t>
  </si>
  <si>
    <t>AV RUI BARBOSA, S/N, LAPA, CAMPOS DOS GOYTACAZES, 28013-000</t>
  </si>
  <si>
    <t>1743714114758_BILLING_BR_088882057005</t>
  </si>
  <si>
    <t>RUA SALVADOR CORREA, 21, CENTRO, CAMPOS DOS GOYTACAZES, 28035-310</t>
  </si>
  <si>
    <t>1743714114714_BILLING_BR_088882057007</t>
  </si>
  <si>
    <t>RUA MAL FLORIANO 271, CENTRO, CAMPOS DOS GOYTACAZES, 28010-161</t>
  </si>
  <si>
    <t>RUA GESTEIRA PASSOS S/N, CENTRO, CAMPOS DOS GOYTACAZES, 28010-470</t>
  </si>
  <si>
    <t>RUA BARAO DO AMAZONAS, SN, CENTRO, CAMPOS DOS GOYTACAZES, 28100-000</t>
  </si>
  <si>
    <t>P#A DA BANDEIRA, S/N, PELINCA, CAMPOS DOS GOYTACAZES, 28030-002</t>
  </si>
  <si>
    <t>R VOLUNTARIOS DE PATRIA 157, CENTRO, CAMPOS DOS GOYTACAZES, 28035-250</t>
  </si>
  <si>
    <t>1743708003416_BILLING_BR_088882057003</t>
  </si>
  <si>
    <t>RUA ROSSINI QUINTANILHA SN, PENHA, CAMPOS DOS GOYTACAZES, 28021-110</t>
  </si>
  <si>
    <t>1743708003276_BILLING_BR_088882057004</t>
  </si>
  <si>
    <t>AV PETROPOLIS SN, GUARUS, CAMPOS DOS GOYTACAZES, 28080-390</t>
  </si>
  <si>
    <t>AV 15 DE NOVEMBRO 70 82 0, CAJU, CAMPOS DOS GOYTACAZES, 28035-100</t>
  </si>
  <si>
    <t>1743708003292_BILLING_BR_088882057002</t>
  </si>
  <si>
    <t>RUA PONCIANO DE AZEREDO FURTADO 47, PRQ STO AMARO, CAMPOS DOS GOYTACAZES, 28030-045</t>
  </si>
  <si>
    <t>RUA CAP BERNARDES SN DORES DE MACABU CAMPOS DOS GOYTACAZES 28115-000</t>
  </si>
  <si>
    <t>1743708003416_BILLING_BR_088882057001</t>
  </si>
  <si>
    <t>RUA DR AD#O MANOEL PEREIRA NUNES, S/N PRQ MACIEL CAMPOS DOS GOYTACAZES 28013-473</t>
  </si>
  <si>
    <t>RUA MORISSON S/N-TOCOS TOCOS CAMPOS DOS GOYTACAZES 28100-000</t>
  </si>
  <si>
    <t>RUA NAZARIO PEREIRA GOMES SN FUNDAO CAMPOS DOS GOYTACAZES 28070-205</t>
  </si>
  <si>
    <t>EST TAGUARUCU - SN-CODIN CODIN CAMPOS DOS GOYTACAZES 28100-000</t>
  </si>
  <si>
    <t>RUA VISCONDE DO ITABORAI, 208 PARQUE ROSARIO CAMPOS DOS GOYTACAZES 28027-141</t>
  </si>
  <si>
    <t>Rua 21 de Abril, 789, CENTRO, CAMPOS DOS GOYTACAZES</t>
  </si>
  <si>
    <t>RUA LUIZ GONZAGA TINOCO, 135 PENHA CAMPOS DOS GOYTACAZES 28021-240</t>
  </si>
  <si>
    <t>RUA PROF CARMEM CARNEIRO S/N GUARUS CAMPOS DOS GOYTACAZES 28100-000</t>
  </si>
  <si>
    <t>PRA#A 5 DE JULHO, N 60 ESTA##O 0 PRQ LEOPOLDINA CAMPOS DOS GOYTACAZES 28035-250</t>
  </si>
  <si>
    <t>RUA MARIO DE MATOS GOULART N 110/112 PRQ SAO CAETANO CAMPOS DOS GOYTACAZES 28040-720</t>
  </si>
  <si>
    <t>RUA DOS GOITACAZES N 499, TURFE, CAMPOS DOS GOYTACAZES, 28013-266</t>
  </si>
  <si>
    <t>1743714115307_BILLING_BR_088882057012</t>
  </si>
  <si>
    <t>RUA MACHADO DE ASSIS 00000 49, CAMPOS DOS GOYTACAZES CENTRO RJ, CEP: 28027-040</t>
  </si>
  <si>
    <t>1743559404157_BILLING_BR_088881307702</t>
  </si>
  <si>
    <t>RUA 13 DE OUTUBRO 00000 66 E 68 CAMPOS DOS GOYTACAZES STO EDUARDO RJ CEP: 28000-001</t>
  </si>
  <si>
    <t>Estrada AMARAL PEIXOTO 00000 N 5 CAMPOS DOS GOYTACAZES MORRO DO COCO RJ CEP: 28000-001</t>
  </si>
  <si>
    <t>RUA VISCONDE DE ITABORAI 00000 80 CAMPOS DOS GOYTACAZES MORRO DO COCO RJ CEP: 28000-001</t>
  </si>
  <si>
    <t>AV ANTONIO 00000 L SILVEIRA 520 CAMPOS DOS GOYTACAZES MORRO DO COCO RJ CEP: 28000-001</t>
  </si>
  <si>
    <t>ESTRADA DO ACUCAR S/N -BX GRANDE, CAMPOS DOS GOYTACAZES MORRO DO COCO RJ CEP: 28000-001</t>
  </si>
  <si>
    <t>1743559404766_BILLING_BR_088881307741</t>
  </si>
  <si>
    <t>Municipio de Campos dos Goytacazes</t>
  </si>
  <si>
    <t>Centro Rua SALVADOR CORREIA 00021 21, Campos dos Goytacazes</t>
  </si>
  <si>
    <t>Centro Rua HELIO POVOA 00101 00101, Campos dos Goytacazes</t>
  </si>
  <si>
    <t>Morro do Coco ESTRADA CAMPOS ITAP FUNDAO 00000, Campos dos Goytacazes</t>
  </si>
  <si>
    <t>Morro do Coco ESTRADA DO ACUCAR SN-DONANA 00000, Campos dos Goytacazes</t>
  </si>
  <si>
    <t>Municipio de Campos dos Goytacazes, Centro</t>
  </si>
  <si>
    <t>Rua VIS DO RIO BRANCO 00236, 28000-001, Campos dos Goytacazes</t>
  </si>
  <si>
    <t>1743566559513_BILLING_BR_088881307738</t>
  </si>
  <si>
    <t>PRQ CALABOUCO Avenida JOSE CARLOS P PINTO 00080, Campos dos Goytacazes</t>
  </si>
  <si>
    <t>1743566559513_BILLING_BR_088881307734</t>
  </si>
  <si>
    <t>RUA PROJETADA E S/N-ACACIAS 00000 CAMPOS DOS GOYTACAZES MORRO DO COCO RJ CEP: 28000-001</t>
  </si>
  <si>
    <t>RUA PRINCIPAL 00000, 28020-866, Campos dos Goytacazes</t>
  </si>
  <si>
    <t>1743566559510_BILLING_BR_088881307739</t>
  </si>
  <si>
    <t>Avenida NSR DO CARMO - SN 00000, CAMPOS DOS GOYTACAZES MORRO DO COCO RJ, CEP: 28000-001</t>
  </si>
  <si>
    <t>1743566559511_BILLING_BR_088881307735</t>
  </si>
  <si>
    <t>TRV FREITAS 00000 BOMBA, CAMPOS DOS GOYTACAZES MORRO DO COCO RJ, CEP: 28027-314</t>
  </si>
  <si>
    <t>RUA IRMAOS EXPEDICIONARIOS 00000 00, CAMPOS DOS GOYTACAZES PRQ AURORA RJ, CEP: 28026-180</t>
  </si>
  <si>
    <t>RUA PROJETADA DONANA 00000 00000 XXX, CAMPOS DOS GOYTACAZES SATURNINO BRAGA RJ, CEP: 28010-000</t>
  </si>
  <si>
    <t>TRAV BARRETO GOITACAZES 00000, CAMPOS DOS GOYTACAZES MORRO DO COCO RJ, CEP: 28000-001</t>
  </si>
  <si>
    <t>ESTRADA MARTINHO 0 00000 XXXXX, CAMPOS DOS GOYTACAZES SAO MARTINHO RJ, CEP: 28100-000</t>
  </si>
  <si>
    <t>RUA GUIDO DE OLIVEIRA 00265 ESQUINA COM RUA NOVA OU ALECRI, CAMPOS DOS GOYTACAZES FAROL RJ, CEP: 28142-000</t>
  </si>
  <si>
    <t>PARQUE BELA VISTA-MORRO COCO 00000, CAMPOS DOS GOYTACAZES MORRO DO COCO RJ, CEP: 28000-001</t>
  </si>
  <si>
    <t>ROD CAMPO X VITORIA 00000 00000 SN KM 14, CAMPOS DOS GOYTACAZES MORRO DO COCO RJ, CEP: 28000-001</t>
  </si>
  <si>
    <t>RUA JOAO CABRAL NETO 00000 XX, CAMPOS DOS GOYTACAZES PONTA GROSSA RJ, CEP: 28021-570</t>
  </si>
  <si>
    <t>RODOVIA BR 0 101 00000 MORRO DO SAPE, CAMPOS DOS GOYTACAZES IBITIOCA RJ, CEP: 28010-010</t>
  </si>
  <si>
    <t>R JOSE MANOEL DA SILVA S/N 00000, CAMPOS DOS GOYTACAZES MORRO DO COCO RJ, CEP: 28000-001</t>
  </si>
  <si>
    <t>RUA EDMUNDO CHAGAS-CENTRO 00000, CAMPOS DOS GOYTACAZES MORRO DO COCO RJ, CEP: 28000-001</t>
  </si>
  <si>
    <t>Rua QUATRO 00000 00000 XXX, CAMPOS DOS GOYTACAZES DORES DE MACABU RJ, CEP: 28021-590</t>
  </si>
  <si>
    <t>RUA AMARAL PEIXOTO 00250 00250, CAMPOS DOS GOYTACAZES IBITIOCA RJ, CEP: 28000-001</t>
  </si>
  <si>
    <t>RUA CONS JOSE FERNANDES SN 00000, CAMPOS DOS GOYTACAZES MORRO DO COCO RJ, CEP: 28000-001</t>
  </si>
  <si>
    <t>Rua ELOI ORNELAS 00073 00073, CAMPOS DOS GOYTACAZES CAJU RJ, CEP: 28051-205</t>
  </si>
  <si>
    <t>RUA PRE EDGARD MACHADO 0 00000, CAMPOS DOS GOYTACAZES MORRO DO COCO RJ, CEP: 28000-001</t>
  </si>
  <si>
    <t>RUA ANTONIO LUIZ DA SILVEIRA 00000 00000 7 DISTRITO, CAMPOS DOS GOYTACAZES TRAVESSAO RJ, CEP: 28000-001</t>
  </si>
  <si>
    <t>RUA ANTONIO LUIZ DA SILVEIRA 00000 7 DISTRITO, CAMPOS DOS GOYTACAZES TRAVESSAO RJ, CEP: 28000-001</t>
  </si>
  <si>
    <t>RUA MARIA IZABEL CONCEICAO 00021 21, CAMPOS DOS GOYTACAZES TRAVESSAO RJ, CEP: 28000-001</t>
  </si>
  <si>
    <t>Rua DOS MEDEIROS KM KM 00000 13 PROX AO POSTO, CAMPOS DOS GOYTACAZES TRAVESSAO RJ, CEP: 28000-001</t>
  </si>
  <si>
    <t>Rodovia CAMPOS VITORIA 00000 00000 SN, CAMPOS DOS GOYTACAZES TRAVESSAO RJ, CEP: 28000-001</t>
  </si>
  <si>
    <t>RUA CAMPO 0 00000 XXXX, CAMPOS DOS GOYTACAZES VILA NOVA RJ, CEP: 28100-000</t>
  </si>
  <si>
    <t>R VALTEMAR F PIMENTEL SN 00000, CAMPOS DOS GOYTACAZES MORRO DO COCO RJ, CEP: 28000-001</t>
  </si>
  <si>
    <t>ADVALDO MACIEL 68 68 BL S, CAMPOS DOS GOYTACAZES PRQ GUARUS RJ, CEP: 28080-500</t>
  </si>
  <si>
    <t>RUA TCO CARDOSO 00091 00091, CAMPOS DOS GOYTACAZES BOUGANVILLE RJ, CEP: 28000-001</t>
  </si>
  <si>
    <t>ESTRADA DO CABRITO 00000, CAMPOS DOS GOYTACAZES MORRO DO COCO RJ, CEP: 28000-001</t>
  </si>
  <si>
    <t>EST CANAL DAS FLEXAS 0 00000 XX, CAMPOS DOS GOYTACAZES RETIRO RJ, CEP: 28000-001</t>
  </si>
  <si>
    <t>Morro do Coco Rua PINHEIRO MACHADO - SN 00000, Campos dos Goytacazes</t>
  </si>
  <si>
    <t>1743559404437_BILLING_BR_088881307731</t>
  </si>
  <si>
    <t>RUA RODRIGUES PEIXOTO 00000 91 CAMPOS DOS GOYTACAZES MORRO DO COCO RJ CEP: 28035-060</t>
  </si>
  <si>
    <t>Centro Rua DA LAGOA DOURADA 165 00165 CS 165, Campos dos Goytacazes</t>
  </si>
  <si>
    <t>1743559404592_BILLING_BR_088881307733</t>
  </si>
  <si>
    <t>Centro Rua BARONEZA DA LAGOA DOURADA 165, Campos dos Goytacazes</t>
  </si>
  <si>
    <t>STO EDUARDO Rua 13 DE OUTUBRO 00045 45, Campos dos Goytacazes</t>
  </si>
  <si>
    <t>RUA AQUIDABAN 00129, 28010-235, Campos dos Goytacazes</t>
  </si>
  <si>
    <t>1743566559510_BILLING_BR_088881307732</t>
  </si>
  <si>
    <t>Morro do Coco RUA NILO PESSANHA S/N, Campos dos Goytacazes</t>
  </si>
  <si>
    <t>1743559404596_BILLING_BR_088881307730</t>
  </si>
  <si>
    <t>Morro do Coco RUA DORES DE MACABU 00000, Campos dos Goytacazes</t>
  </si>
  <si>
    <t>Morro do Coco RUA CONS TOMAS COELHO, 00000 442, Campos dos Goytacazes</t>
  </si>
  <si>
    <t>PRQ GUARUS Rua DORILA PESSANHA GIMENES 00037, Campos dos Goytacazes</t>
  </si>
  <si>
    <t>Morro do Coco Rua FCO FARIA BARBOSA, 00000 200, Campos dos Goytacazes</t>
  </si>
  <si>
    <t>1743559404438_BILLING_BR_088881307726</t>
  </si>
  <si>
    <t>Farol AVE PINHEIRO MACHADO 00339 CS CALÇADAO, Campos dos Goytacazes</t>
  </si>
  <si>
    <t>1743566559513_BILLING_BR_088881307724</t>
  </si>
  <si>
    <t>Tapera AVE DR NILO PECANHA 00000 SL TERM ROD SHOPPING ES, Campos dos Goytacazes</t>
  </si>
  <si>
    <t>1743559404437_BILLING_BR_088881307729</t>
  </si>
  <si>
    <t>Itaoca MRR DO ITAOCA 00000, Campos dos Goytacazes</t>
  </si>
  <si>
    <t>Centro PCA DA BANDEIRA 00000, Campos dos Goytacazes</t>
  </si>
  <si>
    <t>Lagoa de Cima Estrada LAGOA DE CIMA 0 00000, Campos dos Goytacazes</t>
  </si>
  <si>
    <t>1743559404592_BILLING_BR_088881307727</t>
  </si>
  <si>
    <t>1 DE MAIO 0 39, 28000-001, Campos dos Goytacazes</t>
  </si>
  <si>
    <t>1743559404287_BILLING_BR_088881307720</t>
  </si>
  <si>
    <t>J PATROCINIO00154, 154, CENTRO 28000-001</t>
  </si>
  <si>
    <t>1743559404438_BILLING_BR_088881307721</t>
  </si>
  <si>
    <t>Rua SALDANHA MARINHO00000, 354, CENTRO 28010-272</t>
  </si>
  <si>
    <t>RUA JOSE DO PATROCINIO00102, 102, CENTRO 28010-385</t>
  </si>
  <si>
    <t>RUA BALTAZAR CARNEIRO00000, 90, CENTRO 28035-273</t>
  </si>
  <si>
    <t>RUA 1 DE MAIO00000, 43, CENTRO 28000-001</t>
  </si>
  <si>
    <t>RUA ANDRE LUIZ 00000, 52 54, J CARIOCA, MORRO DO COCO 28000-001</t>
  </si>
  <si>
    <t>Rua CASTELO BRANCO00000, 72, PRQ GUARUS 28040-405</t>
  </si>
  <si>
    <t>JOAO ALBERTO00065, 65, FDS PRQ GUARUS 28080-440</t>
  </si>
  <si>
    <t>RUA SZO ALBERTO00065, 65, PRQ GUARUS 28000-001</t>
  </si>
  <si>
    <t>RUA EWERTON PAES DA CUNHA 00000 SN CEP: 28015-510</t>
  </si>
  <si>
    <t>Donana Rua EDMUNDO CHAGAS 00000 116, Campos dos Goytacazes</t>
  </si>
  <si>
    <t>1743566559143_BILLING_BR_088881307722</t>
  </si>
  <si>
    <t>Centro Rua SIQUEIRA CAMPOS 00108, Campos dos Goytacazes</t>
  </si>
  <si>
    <t>Centro Rua 13 DE MAIO 00110 LJ 03, Campos dos Goytacazes</t>
  </si>
  <si>
    <t>7632052/55319944</t>
  </si>
  <si>
    <t>Centro Rua DR, LACERDA SOBRINHO 00110 LJ 6, Campos dos Goytacazes</t>
  </si>
  <si>
    <t>6468826/55320136</t>
  </si>
  <si>
    <t>Parque Santa Rosa Avenida STA ROSA 00000 ED PQ STA ROSA, Campos dos Goytacazes</t>
  </si>
  <si>
    <t>RUA DOS GOITACAZES 01161, CAMPOS DOS GOYTACAZES CENTRO RJ</t>
  </si>
  <si>
    <t>1743559404284_BILLING_BR_088881307723</t>
  </si>
  <si>
    <t>RUA AGROVILA DO ASSENTAMENTO SN, CAMPOS DOS GOYTACAZES MORRO DO COCO RJ</t>
  </si>
  <si>
    <t>ESTRADA DO LIMAO S/N, CAMPOS DOS GOYTACAZES MORRO DO COCO RJ</t>
  </si>
  <si>
    <t>AVE PETROPOLIS SN, CAMPOS DOS GOYTACAZES PRQ GUARUS RJ</t>
  </si>
  <si>
    <t>RUA GIL DE GOES 157, CAMPOS DOS GOYTACAZES MORRO DO COCO RJ</t>
  </si>
  <si>
    <t>RUA DOS GOYTACAZES, 00000 257 CAMPOS DOS GOYTACAZES MORRO DO COCO RJ CEP: 28000-001</t>
  </si>
  <si>
    <t>AVE BOA VISTA 00000 CAMPOS DOS GOYTACAZES FAROL SAO TOME RJ CEP: 28000-001</t>
  </si>
  <si>
    <t>RUA SALVADOR CORREA 00000 146 CAMPOS DOS GOYTACAZES MORRO DO COCO RJ CEP: 28000-001</t>
  </si>
  <si>
    <t>GIL DE GOES 00000 108 CAMPOS DOS GOYTACAZES CENTRO RJ CEP: 28000-001</t>
  </si>
  <si>
    <t>RUA VOLUNTÁRIOS DA PÁTRIA 00000 184 CAMPOS DOS GOYTACAZES MORRO DO COCO RJ CEP: 28000-001</t>
  </si>
  <si>
    <t>RUA GIL DE GOIS 00000 CS 157 CAMPOS DOS GOYTACAZES CENTRO RJ CEP: 28000-001</t>
  </si>
  <si>
    <t>AVE PRINCIPAL 00000 XXX CAMPOS DOS GOYTACAZES STA CRUZ RJ CEP: 28040-300</t>
  </si>
  <si>
    <t>TRV STO ELIAS 00043 CAMPOS DOS GOYTACAZES JARDIM CARIOCA RJ CEP: 28080-385</t>
  </si>
  <si>
    <t>RUA ANTONIO RIBEIRO MOCO 00072 CAMPOS DOS GOYTACAZES CENTRO RJ CEP: 28013-470</t>
  </si>
  <si>
    <t>Centro Rua CSL OTAVIANO 241 00241, Campos dos Goytacazes</t>
  </si>
  <si>
    <t>1743566559120_BILLING_BR_088881307719</t>
  </si>
  <si>
    <t>RUA JOAO BARRETO 00070, CAMPOS DOS GOYTACAZES PARQUE JOAO SEIXAS, RJ, CEP: 28027-070</t>
  </si>
  <si>
    <t>1743559404437_BILLING_BR_088881307718</t>
  </si>
  <si>
    <t>Avenida IPE 00000 CS IPE COM MACARANDUBA, CAMPOS DOS GOYTACAZES CHATUBA RJ, CEP: 28000-001</t>
  </si>
  <si>
    <t>PRUDENCIO BESSA 00123 123, CAMPOS DOS GOYTACAZES CENTRO RJ, CEP: 28026-100</t>
  </si>
  <si>
    <t>RD DP ALAIR FERREIRA , 00049 49 GOITACAZES, CAMPOS DOS GOYTACAZES GOITACAZES RJ, CEP: 28000-001</t>
  </si>
  <si>
    <t>AVENIDA OLAVO SALDANHA 00772 00772 PX CP BOLA, CAMPOS DOS GOYTACAZES BOUGANVILLE RJ, CEP: 28000-001</t>
  </si>
  <si>
    <t>RUA VIRGULINO F LAMPIAO 0 00000, CAMPOS DOS GOYTACAZES JOCKEY CLUB RJ, CEP: 28020-307</t>
  </si>
  <si>
    <t>AVENIDA OLAVO SALDANHA 00732 00732, CAMPOS DOS GOYTACAZES BOUGANVILLE RJ, CEP: 28000-001</t>
  </si>
  <si>
    <t>Rua G 00007 00007, CAMPOS DOS GOYTACAZES CODIN RJ, CEP: 28000-001</t>
  </si>
  <si>
    <t>Rua D 0 00000 OBRA SN, CAMPOS DOS GOYTACAZES PRQ NOVO ELDORADO RJ, CEP: 28026-580</t>
  </si>
  <si>
    <t>FUNDO MUNICIPAL DE ASSISTENCIA SOCIAL</t>
  </si>
  <si>
    <t>Rua CARLOS BRUNO 00115 N 115, CAMPOS DOS GOYTACAZES PRQ NOVO MUNDO RJ, CEP: 28085110</t>
  </si>
  <si>
    <t>4330644/60817480</t>
  </si>
  <si>
    <t>S MARINHO 00198 I9S, CAMPOS DOS GOYTACAZES CENTRO RJ, CEP: 28000-001</t>
  </si>
  <si>
    <t>RUA DO IPIRANGA 00116 116, CAMPOS DOS GOYTACAZES CENTRO RJ, CEP: 28015-055</t>
  </si>
  <si>
    <t>Rua ALBERTO TORRES 00371 00371 SL 1104, CAMPOS DOS GOYTACAZES BOUGANVILLE RJ, CEP: 28000-001</t>
  </si>
  <si>
    <t>RUA DO RIO BRANCO 218 00218 LT OBRA, CAMPOS DOS GOYTACAZES CENTRO RJ, CEP: 28026-620</t>
  </si>
  <si>
    <t>AV ALBERTO TORRES 00000 371 S/1111, CAMPOS DOS GOYTACAZES DONANA RJ, CEP: 28000-001</t>
  </si>
  <si>
    <t>Avenida ALBERTO TORRES 00371 00371 SL 1103, CAMPOS DOS GOYTACAZES CENTRO RJ, CEP: 28035-581</t>
  </si>
  <si>
    <t>RUA SETE CAPITAES 00046, CAMPOS DOS GOYTACAZES CENTRO RJ, CEP: 28030-470</t>
  </si>
  <si>
    <t>RUA TCO CARDOSO 00565, CAMPOS DOS GOYTACAZES BOUGANVILLE RJ, CEP: 28000-001</t>
  </si>
  <si>
    <t>RUA ALB TORRES 00000 371-SALA 1110, CAMPOS DOS GOYTACAZES DONANA RJ, CEP: 28000-001</t>
  </si>
  <si>
    <t>Rua SEN JOSE CARLOS P PINTO 00256 00256 CS, CAMPOS DOS GOYTACAZES PRQ CALABOUCO RJ, CEP: 28000-001</t>
  </si>
  <si>
    <t>6084369/59580280</t>
  </si>
  <si>
    <t>AVE ANTONIO L DA SILVEIRA 00000 L DA SILVEIRA 00000 SN, CAMPOS DOS GOYTACAZES MORRO DO COCO RJ, CEP: 28000-001</t>
  </si>
  <si>
    <t>MIGUEL HEREDIA 00100 100, CAMPOS DOS GOYTACAZES CENTRO RJ, CEP: 28000-001</t>
  </si>
  <si>
    <t>AVE SAO JOAO DA BARRA 00000 BL 14, CAMPOS DOS GOYTACAZES MATADOURO RJ, CEP: 28000-001</t>
  </si>
  <si>
    <t>EST CAMPOS VITORIA 40 00000 SN, CAMPOS DOS GOYTACAZES MORRO DO COCO RJ, CEP: 28000-001</t>
  </si>
  <si>
    <t>60207283/1452360</t>
  </si>
  <si>
    <t>Estrada CAMPOS ITAPERUNA 00000 XXX, CAMPOS DOS GOYTACAZES PRQ ALDEIA RJ, CEP: 28080-390</t>
  </si>
  <si>
    <t>ANDRE LUIZ 00059 59, CAMPOS DOS GOYTACAZES PRQ GUARUS RJ, CEP: 28000-001</t>
  </si>
  <si>
    <t>TRV STO ELIAS 00046, CAMPOS DOS GOYTACAZES JARDIM CARIOCA RJ, CEP: 28080-385</t>
  </si>
  <si>
    <t>TRAV STO ELIAS S/N, CAMPOS DOS GOYTACAZES MORRO DO COCO RJ, CEP: 28000-001</t>
  </si>
  <si>
    <t>RUA SANTO ANTONIO 00000 44-GUARUA, CAMPOS DOS GOYTACAZES MORRO DO COCO RJ, CEP: 28000-001</t>
  </si>
  <si>
    <t>AVENIDA PRF CARMEM CARNEIRO 507 00507, CAMPOS DOS GOYTACAZES BOUGANVILLE RJ, CEP: 28080-424</t>
  </si>
  <si>
    <t>AVE SAO JOAO DA BARRA 00000 BL 04, CAMPOS DOS GOYTACAZES MATADOURO RJ, CEP: 28000-001</t>
  </si>
  <si>
    <t>AVE SAO JOAO DA BARRA 00000 AP BL 09, CAMPOS DOS GOYTACAZES MATADOURO RJ, CEP: 28000-001</t>
  </si>
  <si>
    <t>AVE SAO JOAO DA BARRA 00000 BL 05, CAMPOS DOS GOYTACAZES MATADOURO RJ, CEP: 28000-001</t>
  </si>
  <si>
    <t>AVE SAO JOAO DA BARRA 00000 BL 06, CAMPOS DOS GOYTACAZES MATADOURO RJ, CEP: 28000-001</t>
  </si>
  <si>
    <t>AVE SAO JOAO DA BARRA 00000 BL 08, CAMPOS DOS GOYTACAZES MATADOURO RJ, CEP: 28000-001</t>
  </si>
  <si>
    <t>AVENIDA SAO JOAO DA BARRA 00000 00000 BL11, CAMPOS DOS GOYTACAZES MATADOURO RJ, CEP: 28000-001</t>
  </si>
  <si>
    <t>AVE SAO JOAO DA BARRA 00000 BL 07, CAMPOS DOS GOYTACAZES MATADOURO RJ, CEP: 28000-001</t>
  </si>
  <si>
    <t>AVE SAO JOAO DA BARRA 00000 BL 03, CAMPOS DOS GOYTACAZES MATADOURO RJ, CEP: 28000-001</t>
  </si>
  <si>
    <t>AVE SAO JOAO DA BARRA 00000 BL 01, CAMPOS DOS GOYTACAZES MATADOURO RJ, CEP: 28000-001</t>
  </si>
  <si>
    <t>AVE SAO JOAO DA BARRA 00000 BL 13, CAMPOS DOS GOYTACAZES MATADOURO RJ, CEP: 28000-001</t>
  </si>
  <si>
    <t>AVE SAO JOAO DA BARRA 00000 BL 12, CAMPOS DOS GOYTACAZES MATADOURO RJ, CEP: 28000-001</t>
  </si>
  <si>
    <t>AVE SAO JOAO DA BARRA 00000 BL 02, CAMPOS DOS GOYTACAZES MATADOURO RJ, CEP: 28000-001</t>
  </si>
  <si>
    <t>AVE SAO JOAO DA BARRA 00000 BL 10, CAMPOS DOS GOYTACAZES MATADOURO RJ, CEP: 28000-001</t>
  </si>
  <si>
    <t>PCA BAR DE ITAOCA 00000 RUA S PEDRO, CAMPOS DOS GOYTACAZES TURFE RJ, CEP: 28000-001</t>
  </si>
  <si>
    <t>21 ABRIL 122 cs 02, CAMPOS DOS GOYTACAZES CENTRO RJ, CEP: 28010170</t>
  </si>
  <si>
    <t>60817690/56694970</t>
  </si>
  <si>
    <t>Rua DOS GOITACAZES 00553 00553, CAMPOS DOS GOYTACAZES CENTRO RJ, CEP: 28013-266</t>
  </si>
  <si>
    <t>AVENIDA BEIRA DO VALAO 00000 149-PENHA, CAMPOS DOS GOYTACAZES MORRO DO COCO RJ, CEP: 28000-001</t>
  </si>
  <si>
    <t>RUA PROJETADA DONANA 0 00000, CAMPOS DOS GOYTACAZES DONANA RJ, CEP: 28000-001</t>
  </si>
  <si>
    <t>Bouganville Rua BSA DA LAGOA DOURADA 00197, Campos dos Goytacazes</t>
  </si>
  <si>
    <t>1743566559144_BILLING_BR_088881307716</t>
  </si>
  <si>
    <t>DIVERSOS LOGRADOUROS 00000 CAMPOS DOS GOYTACAZES MORRO DO COCO RJ CEP: 28000-001</t>
  </si>
  <si>
    <t>RUA ANTONIO C DOS SANTOS 00000 CS SN, CAMPOS DOS GOYTACAZES CONSELHEIRO JOSINO RJ, CEP: 28000-001</t>
  </si>
  <si>
    <t>1743559404284_BILLING_BR_088881307717</t>
  </si>
  <si>
    <t>SAO MARTINHO 00000, CAMPOS DOS GOYTACAZES SAO MARTINHO RJ, CEP: 28000-001</t>
  </si>
  <si>
    <t>Rua A 00000, CAMPOS DOS GOYTACAZES GOITACAZES RJ, CEP: 28000-001</t>
  </si>
  <si>
    <t>RUA BOA VISTA 00000 XXX, CAMPOS DOS GOYTACAZES FAROL SAO TOME RJ, CEP: 28000-001</t>
  </si>
  <si>
    <t>ROD FRANCISCO DE ASSIS 00000, CAMPOS DOS GOYTACAZES FAROL RJ, CEP: 28040-000</t>
  </si>
  <si>
    <t>Rua PRINCIPAL 00000 CEMITERIO, CAMPOS DOS GOYTACAZES DORES DE MACABU RJ, CEP: 28020-866</t>
  </si>
  <si>
    <t>Rua PRINCIPAL 00000 XXXX, CAMPOS DOS GOYTACAZES RIO PRETO RJ, CEP: 28020-866</t>
  </si>
  <si>
    <t>Rua ENG LUIZ CARLOS GOMES 00000 CS, CAMPOS DOS GOYTACAZES URURAI RJ, CEP: 28040-300</t>
  </si>
  <si>
    <t>RUA MANOEL PINTO MENEZES 00000 LT SN, CAMPOS DOS GOYTACAZES CAMPOS RJ, CEP: 28000-001</t>
  </si>
  <si>
    <t>Rua BR 614 101 LJ10 SHOPPING ESTRADA, CAMPOS DOS GOYTACAZES PRQ RODOVIARIO RJ, CEP: 28000-001</t>
  </si>
  <si>
    <t>Rua BR 00614 101 LJ36 SHOPPING ESTRADA, CAMPOS DOS GOYTACAZES PRQ RODOVIARIO RJ, CEP: 28030-012</t>
  </si>
  <si>
    <t>AVENIDA NILO PECANHA 00614 614 822 SER3, CAMPOS DOS GOYTACAZES PRQ RODOVIARIO RJ, CEP: 28030-035</t>
  </si>
  <si>
    <t>AVENIDA DR NILO PECANHA 00614 /822-LT12 USINA QUEIMADOS, CAMPOS DOS GOYTACAZES PRQ STO AMARO RJ, CEP: 28030-035</t>
  </si>
  <si>
    <t>Rua BARAO DE AMAZONAS 0, CAMPOS DOS GOYTACAZES CENTRO RJ, CEP: 28016-030</t>
  </si>
  <si>
    <t>TRV DOMINGOS SIQUEIRA 00000, CAMPOS DOS GOYTACAZES COQUEIRO DE TOCOS RJ, CEP: 28000-001</t>
  </si>
  <si>
    <t>RUA VIS DE ITABORAI 00000, CAMPOS DOS GOYTACAZES CENTRO RJ, CEP: 28027-142</t>
  </si>
  <si>
    <t>Rua VIS DE ITABORAI 00000 XX, CAMPOS DOS GOYTACAZES PRQ ROSARIO RJ, CEP: 28027-142</t>
  </si>
  <si>
    <t>PRAÇA AZEVEDO COUTINHO S/N, CAMPOS DOS GOYTACAZES MORRO DO COCO RJ, CEP: 28010-090</t>
  </si>
  <si>
    <t>MERCADO BOX 68, CAMPOS DOS GOYTACAZES CENTRO RJ, CEP: 28100-000</t>
  </si>
  <si>
    <t>RUA TTE CORONEL CARDOSO S/N, CAMPOS DOS GOYTACAZES MORRO DO COCO RJ, CEP: 28000-001</t>
  </si>
  <si>
    <t>AVE QUINZE DE NOVEMBRO S/N, CAMPOS DOS GOYTACAZES CAJU RJ, CEP: 28000-001</t>
  </si>
  <si>
    <t>RUA OPERARIO WALDIR MANHAES 00000 CS 193, CAMPOS DOS GOYTACAZES PRQ NOVO MUNDO RJ, CEP: 28085-495</t>
  </si>
  <si>
    <t>RUA LUIZ PESSANHA CRUZ 00127, CAMPOS DOS GOYTACAZES TRAVESSAO RJ, CEP: 28000-001</t>
  </si>
  <si>
    <t>RUA PRINCIPAL S/N, CAMPOS DOS GOYTACAZES MORRO DO COCO RJ, CEP: 28000-001</t>
  </si>
  <si>
    <t>AVE RUI BARBOSA XXXXX, CAMPOS DOS GOYTACAZES LAPA RJ, CEP: 28013-000</t>
  </si>
  <si>
    <t>AVE RUI BARBOSA XXXX, CAMPOS DOS GOYTACAZES LAPA RJ, CEP: 28013-000</t>
  </si>
  <si>
    <t>Praça DA REPUBLICA S/N, CAMPOS DOS GOYTACAZES MORRO DO COCO RJ, CEP: 28100-000</t>
  </si>
  <si>
    <t>Rua PRINCIPAL 00000, CAMPOS DOS GOYTACAZES VILA NOVA RJ, CEP: 28020-866</t>
  </si>
  <si>
    <t>Rua PITANGUEIRA SN, CAMPOS DOS GOYTACAZES STO AMARO RJ, CEP: 28000-001</t>
  </si>
  <si>
    <t>EST SAO BENEDITO LT LAGOA DE CIMA, CAMPOS DOS GOYTACAZES LAGOA DE CIMA RJ, CEP: 28040-590</t>
  </si>
  <si>
    <t>EST DA TOCAIA 00000 XXXX, CAMPOS DOS GOYTACAZES DONANA RJ, CEP: 28030-045</t>
  </si>
  <si>
    <t>B4 A Ilum, Pública</t>
  </si>
  <si>
    <t>1743566559144_BILLING_BR_088881307704,pdf</t>
  </si>
  <si>
    <t>ESTRADA DO RETIRO 00000 00000 XXXX, CAMPOS DOS GOYTACAZES RETIRO RJ, CEP: 28000-001</t>
  </si>
  <si>
    <t>RUA EDGARD ALVARENGA 0 00000, CAMPOS DOS GOYTACAZES PRQ TROPICAL RJ, CEP: 28022-720</t>
  </si>
  <si>
    <t>Avenida TARCISIO MIRANDA 0 00000 QD CANTEIRO, CAMPOS DOS GOYTACAZES PENHA RJ, CEP: 28000-001</t>
  </si>
  <si>
    <t>TRAVESSA QUINTANILHA 0 00000 XX, CAMPOS DOS GOYTACAZES PENHA RJ, CEP: 28000-001</t>
  </si>
  <si>
    <t>ESTRADA DO ACUCAR 0 00000 XXX, CAMPOS DOS GOYTACAZES DONANA RJ, CEP: 28022-560</t>
  </si>
  <si>
    <t>Rua PRINCIPAL 0 00000 XXX, CAMPOS DOS GOYTACAZES PENHA RJ, CEP: 28020-866</t>
  </si>
  <si>
    <t>Rua IVAN JABER 00000 00000 CS 185 00000 CS 185, CAMPOS DOS GOYTACAZES RES STO ANTONIO RJ, CEP: 28022-345</t>
  </si>
  <si>
    <t>PRACA MARIA LUCIA SN 00000, CAMPOS DOS GOYTACAZES MORRO DO COCO RJ, CEP: 28000-001</t>
  </si>
  <si>
    <t>PRACA PARQUE IMPERIAL 00000, CAMPOS DOS GOYTACAZES MORRO DO COCO RJ, CEP: 28000-001</t>
  </si>
  <si>
    <t>PRACA DO PQ CORRIENTES 00000, CAMPOS DOS GOYTACAZES MORRO DO COCO RJ, CEP: 28000-001</t>
  </si>
  <si>
    <t>Rodovia BR 00000 101 00000 00, CAMPOS DOS GOYTACAZES GUARUS RJ, CEP: 28000-001</t>
  </si>
  <si>
    <t>RUA CEL PACHE FARIA 00000 00, CAMPOS DOS GOYTACAZES NOVA BRASILIA RJ, CEP: 28055-230</t>
  </si>
  <si>
    <t>RUA WALDEMAR PRATA 00000 XX, CAMPOS DOS GOYTACAZES PRQ NOVA BRASILIA RJ, CEP: 28055-160</t>
  </si>
  <si>
    <t>RUA SOLAR DA BARONESA 00000 00000 XX, CAMPOS DOS GOYTACAZES PRQ ESPLANADA RJ, CEP: 28057-285</t>
  </si>
  <si>
    <t>AVENIDA PELINCA 0 00000 XXX, CAMPOS DOS GOYTACAZES CENTRO RJ, CEP: 28035-175</t>
  </si>
  <si>
    <t>AVE DR JOSE ALVES DE AZEVEDO 00422 FTE 422, CAMPOS DOS GOYTACAZES CENTRO RJ, CEP: 28000-001</t>
  </si>
  <si>
    <t>Avenida DR JOSE ALVES DE AZEVEDO 00000 00000, CAMPOS DOS GOYTACAZES PRQ RUI BARBOSA RJ, CEP: 28000-001</t>
  </si>
  <si>
    <t>Rua DR JOSE ALVES DE AZEVEDO 00000 00000 EM FTE BALCAO DE EMPREGO PMCG, CAMPOS DOS GOYTACAZES VILA NOVA RJ, CEP: 28010-272</t>
  </si>
  <si>
    <t>AVENIDA DR JOSE ALVES DE AZEVEDO 00000 00000 ES HABBIBS, CAMPOS DOS GOYTACAZES CENTRO RJ, CEP: 28000-001</t>
  </si>
  <si>
    <t>RUA 1 DE MAIO 0 00000 XXX, CAMPOS DOS GOYTACAZES CENTRO RJ, CEP: 28035-145</t>
  </si>
  <si>
    <t>PRACA ARGEMIRO VIANA 00000, CAMPOS DOS GOYTACAZES MORRO DO COCO RJ, CEP: 28000-001</t>
  </si>
  <si>
    <t>AVE JOSE ALVES DE AZEVEDO 00000 00, CAMPOS DOS GOYTACAZES CENTRO RJ, CEP: 28000-001</t>
  </si>
  <si>
    <t>Rua BSA DA LAGOA DOURADA 00000 00000 QD ES VL MARIA, CAMPOS DOS GOYTACAZES CENTRO RJ, CEP: 28000-001</t>
  </si>
  <si>
    <t>PRAÇA DR 00000 N PECANHA-J S BENEDIT, CAMPOS DOS GOYTACAZES MORRO DO COCO RJ, CEP: 28000-001</t>
  </si>
  <si>
    <t>PRAÇA SESQUICENTENARIO S/N 00000, CAMPOS DOS GOYTACAZES MORRO DO COCO RJ, CEP: 28000-001</t>
  </si>
  <si>
    <t>PRAÇA SANTO AMARO S/N 00000, CAMPOS DOS GOYTACAZES MORRO DO COCO RJ, CEP: 28000-001</t>
  </si>
  <si>
    <t>RUA JOFRE MAIA 00000, CAMPOS DOS GOYTACAZES HORTO RJ, CEP: 28015-390</t>
  </si>
  <si>
    <t>PCA STO AMARO 00000 CS, CAMPOS DOS GOYTACAZES DIST STO AMARO RJ, CEP: 28000-001</t>
  </si>
  <si>
    <t>PCA STO AMARO 00012 CS ATRAS DA IGREJA, CAMPOS DOS GOYTACAZES DIST STO AMARO RJ, CEP: 28000-001</t>
  </si>
  <si>
    <t>Rua DOS GOITACAZES 00002 00002, CAMPOS DOS GOYTACAZES LAPA RJ, CEP: 28000-001</t>
  </si>
  <si>
    <t>RUA DOS GOITACAZES 00000 00, CAMPOS DOS GOYTACAZES CENTRO RJ, CEP: 28000-001</t>
  </si>
  <si>
    <t>Rua RUI BARBOSA 00000 00000 QD FTE AO ITAU, CAMPOS DOS GOYTACAZES CENTRO RJ, CEP: 28013-000</t>
  </si>
  <si>
    <t>Avenida CAMPOS ITAPERUNA 00000 00000 ES POSTE AMPLA, CAMPOS DOS GOYTACAZES PRQ GUARUS RJ, CEP: 28000-001</t>
  </si>
  <si>
    <t>Rua GAL ESTILAC LEAL 00000 00000 PONTE, CAMPOS DOS GOYTACAZES PRQ STA HELENA RJ, CEP: 28000-001</t>
  </si>
  <si>
    <t>AVE FRANCISCO LAMEGO 00000, CAMPOS DOS GOYTACAZES GUARUS RJ, CEP: 28080-000</t>
  </si>
  <si>
    <t>AVENIDA TANCREDO NEVES 00000 00000, CAMPOS DOS GOYTACAZES GUARUS RJ, CEP: 28080-420</t>
  </si>
  <si>
    <t>Rodovia BR 00000 101 00000 000, CAMPOS DOS GOYTACAZES GUARUS RJ, CEP: 28000-001</t>
  </si>
  <si>
    <t>Rodovia BR 0 101 00000 00, CAMPOS DOS GOYTACAZES GUARUS RJ, CEP: 28000-001</t>
  </si>
  <si>
    <t>Rua B 00000 00000 SN, CAMPOS DOS GOYTACAZES PRQ ALDEIA RJ, CEP: 28020-670</t>
  </si>
  <si>
    <t>AVE FRANCISCO LAMEGO 00000 XXX, CAMPOS DOS GOYTACAZES GUARUS RJ, CEP: 28080-000</t>
  </si>
  <si>
    <t>AVE FRANCISCO LAMEGO 00000 XXXXX, CAMPOS DOS GOYTACAZES GUARUS RJ, CEP: 28080-000</t>
  </si>
  <si>
    <t>EST CAIXETA 00001, CAMPOS DOS GOYTACAZES CAIXETA RJ, CEP: 28000-001</t>
  </si>
  <si>
    <t>Rua ESTILAC LEAL 00000 00000 QD ANTIGO CAMPO PALEST, CAMPOS DOS GOYTACAZES PRQ VERA CRUZ RJ, CEP: 28060-030</t>
  </si>
  <si>
    <t>Avenida NITEROI 00000 00000 XXX, CAMPOS DOS GOYTACAZES GUARUS RJ, CEP: 28083-320</t>
  </si>
  <si>
    <t>Avenida NITEROI 00000 00000, CAMPOS DOS GOYTACAZES PRQ GUARUS RJ, CEP: 28085-175</t>
  </si>
  <si>
    <t>RUA NSR DO CARMO 00000 00000, CAMPOS DOS GOYTACAZES MORRO DO COCO RJ, CEP: 28000-001</t>
  </si>
  <si>
    <t>RUA 03 0 00000 XXX, CAMPOS DOS GOYTACAZES JARDIM BOA VISTA RJ, CEP: 28073-560</t>
  </si>
  <si>
    <t>RUA ALCIR FERREIRA 00000 00000 CIRCUITO DE IP I, CAMPOS DOS GOYTACAZES PRQ JARDIM CARIOCA RJ, CEP: 28055-070</t>
  </si>
  <si>
    <t>RUA FARMAC JORGE ROCHA 00000, CAMPOS DOS GOYTACAZES PRQ NOVO MUNDO RJ, CEP: 28000-001</t>
  </si>
  <si>
    <t>Rua SENADOR JOSE CARLOS PEREIRA PINTO 0 0, CAMPOS DOS GOYTACAZES CALABOUÇO RJ, CEP: 28000-001</t>
  </si>
  <si>
    <t>Avenida JOSE CARLOS PEREIRA PINTO 0 0, CAMPOS DOS GOYTACAZES CALABOUÇO RJ, CEP: 28000-001</t>
  </si>
  <si>
    <t>Avenida TANCREDO NEVES N 0, CAMPOS DOS GOYTACAZES PRQ ALVORADA RJ, CEP: 28000-001</t>
  </si>
  <si>
    <t>RUA JOSE H DE VASCONCELO 00000 00000 SN, CAMPOS DOS GOYTACAZES PECUARIA RJ, CEP: 28053-150</t>
  </si>
  <si>
    <t>AVE FRANCISCO LAMEGO 00000 XXXXXXX, CAMPOS DOS GOYTACAZES GUARUS RJ, CEP: 28080-000</t>
  </si>
  <si>
    <t>Rua DO COLEGIO SN PRACA STA CRUZ 00000, CAMPOS DOS GOYTACAZES STA CRUZ RJ, CEP: 28000-001</t>
  </si>
  <si>
    <t>DR SAMPAIO 00000 00000 PONTE, CAMPOS DOS GOYTACAZES CENTRO RJ, CEP: 28051-045</t>
  </si>
  <si>
    <t>AVE CENTRAL 00000 CS 00000, CAMPOS DOS GOYTACAZES STA CRUZ RJ, CEP: 28057-273</t>
  </si>
  <si>
    <t>Rua ALFREDO SIEBERATH - SN 00000, CAMPOS DOS GOYTACAZES MORRO DO COCO RJ, CEP: 28000-001</t>
  </si>
  <si>
    <t>PRAÇA DA IGREJA DO SACO 00000, CAMPOS DOS GOYTACAZES MORRO DO COCO RJ, CEP: 28000-001</t>
  </si>
  <si>
    <t>RUA SIQUEIRA CAMPOS 00042 QD PRACA DA RODOVIARIA, CAMPOS DOS GOYTACAZES CENTRO RJ, CEP: 28010-015</t>
  </si>
  <si>
    <t>AVENIDA JOSE ALVES DE AZEVEDO 0 00000 XXXX, CAMPOS DOS GOYTACAZES CENTRO RJ, CEP: 28035-612</t>
  </si>
  <si>
    <t>RUA MAL FLORIANO 00000, CAMPOS DOS GOYTACAZES CENTRO RJ, CEP: 28000-001</t>
  </si>
  <si>
    <t>AVE DEP ALAIR FERREIRA 00000, CAMPOS DOS GOYTACAZES BOA VISTA RJ, CEP: 28000-001</t>
  </si>
  <si>
    <t>Rua VIS DO RIO BRANCO 00000 00000 QD MD POSTE, CAMPOS DOS GOYTACAZES CENTRO RJ, CEP: 28000-001</t>
  </si>
  <si>
    <t>Avenida ALBERTO TORRES 00000 00000 CS FTE FORUM, CAMPOS DOS GOYTACAZES CENTRO RJ, CEP: 28000-001</t>
  </si>
  <si>
    <t>AVENIDA JOSE ALVES DE AZEVEDO 0 00000 XXXX, CAMPOS DOS GOYTACAZES CENTRO RJ, CEP: 28110-000</t>
  </si>
  <si>
    <t>AVENIDA JOSE ALVES DE AZEVEDO 0 00000 XXX, CAMPOS DOS GOYTACAZES CENTRO RJ, CEP: 28000-001</t>
  </si>
  <si>
    <t>AVE JOSE ALVES DE AZEVEDO 00000 XX, CAMPOS DOS GOYTACAZES CENTRO RJ, CEP: 28010-272</t>
  </si>
  <si>
    <t>PCA SAO SALVADOR 00000 XX, CAMPOS DOS GOYTACAZES CENTRO RJ, CEP: 28010-000</t>
  </si>
  <si>
    <t>PCA DE BOA VISTA GOITACAZES 00000, CAMPOS DOS GOYTACAZES MORRO DO COCO RJ, CEP: 28000-001</t>
  </si>
  <si>
    <t>AVENIDA VISC RIO BRANCO S/N 00000, CAMPOS DOS GOYTACAZES MORRO DO COCO RJ, CEP: 28000-001</t>
  </si>
  <si>
    <t>RUA MUSSUREPE 00021, CAMPOS DOS GOYTACAZES PRQ LEBRET RJ, CEP: 28070-385</t>
  </si>
  <si>
    <t>Avenida PRINCIPAL 00000 00000, CAMPOS DOS GOYTACAZES MORRO DO COCO RJ, CEP: 28020-866</t>
  </si>
  <si>
    <t>RUA PARAISO 0 00000 XXX, CAMPOS DOS GOYTACAZES PRQ LEBRET RJ, CEP: 28070-466</t>
  </si>
  <si>
    <t>AVE RIO GRANDE DO SUL 00000 XX, CAMPOS DOS GOYTACAZES PRQ CIDADE LUZ RJ, CEP: 28060-373</t>
  </si>
  <si>
    <t>AVENIDA ROSA 0 00000 XXX, CAMPOS DOS GOYTACAZES STA ROSA RJ, CEP: 28000-001</t>
  </si>
  <si>
    <t>RUA JULIO ARMON 00000, CAMPOS DOS GOYTACAZES MORRO DO COCO RJ, CEP: 28000-001</t>
  </si>
  <si>
    <t>TRV WILSON BATISTA 00030, CAMPOS DOS GOYTACAZES PRQ ALDEIA RJ, CEP: 28060-555</t>
  </si>
  <si>
    <t>PRAÇA DORES MACABU S/N, CAMPOS DOS GOYTACAZES MORRO DO COCO RJ, CEP: 28000-001</t>
  </si>
  <si>
    <t>Rua PRINCIPAL 00000, CAMPOS DOS GOYTACAZES RIO PRETO RJ, CEP: 28020-866</t>
  </si>
  <si>
    <t>Rua RIBEIRO DO AMARO 00000, CAMPOS DOS GOYTACAZES RIBEIRO DO AMARO RJ, CEP: 28000-001</t>
  </si>
  <si>
    <t>Rua PRINCIPAL ES SN PRACA RIO PRETO, CAMPOS DOS GOYTACAZES RIO PRETO RJ, CEP: 28000-001</t>
  </si>
  <si>
    <t>RUA OPERARIO JOAO BARROS 00001, CAMPOS DOS GOYTACAZES PRQ PRAZERES RJ, CEP: 28080-095</t>
  </si>
  <si>
    <t>EST ESPIRITO SANTINHO 00000 RJ 230, CAMPOS DOS GOYTACAZES ESPIRITO SANTINHO RJ, CEP: 28020-866</t>
  </si>
  <si>
    <t>AVE OLAVO SALDANHA 00000 00, CAMPOS DOS GOYTACAZES FAROL RJ, CEP: 28000-001</t>
  </si>
  <si>
    <t>ROD CAMPOS VITORIA 00000 B4A, CAMPOS DOS GOYTACAZES TRAVESSAO RJ, CEP: 28000-001</t>
  </si>
  <si>
    <t>ROD CAMPOS X VITORIA 00000 B4A, CAMPOS DOS GOYTACAZES AEROPORTO RJ, CEP: 28000-001</t>
  </si>
  <si>
    <t>AVENIDA OLAVO SALADANHA 00000 00000 CS SP POSTE 4, CAMPOS DOS GOYTACAZES FAROL RJ, CEP: 28000-001</t>
  </si>
  <si>
    <t>ROD CAMPOS VITORIA 00000 KM 10 B4A, CAMPOS DOS GOYTACAZES TRAVESSAO RJ, CEP: 28000-001</t>
  </si>
  <si>
    <t>ROD CAMPOS VITORIA 57004, CAMPOS DOS GOYTACAZES TRAVESSAO RJ, CEP: 28000-001</t>
  </si>
  <si>
    <t>RUA TEOTONIO F DE ARAUJO 00000, CAMPOS DOS GOYTACAZES ESPIRITO SANTINHO RJ, CEP: 28010-190</t>
  </si>
  <si>
    <t>PRAÇA DA IGREJA DO FAROL 00000, CAMPOS DOS GOYTACAZES MORRO DO COCO RJ, CEP: 28000-001</t>
  </si>
  <si>
    <t>ESTRADA PRINCIPAL 00001 00001, CAMPOS DOS GOYTACAZES CONSELHEIRO JOSINO RJ, CEP: 28000-001</t>
  </si>
  <si>
    <t>SANTA MARIA DE CAMPOS 00000, CAMPOS DOS GOYTACAZES MORRO DO COCO RJ, CEP: 28035-175</t>
  </si>
  <si>
    <t>RUA DO ALTO S/N - VILA NOVA 00000, CAMPOS DOS GOYTACAZES MORRO DO COCO RJ, CEP: 28000-001</t>
  </si>
  <si>
    <t>AVENIDA OLAVO SALDANHA 00000 00000 CS SP POSTE 3, CAMPOS DOS GOYTACAZES FAROL RJ, CEP: 28000-001</t>
  </si>
  <si>
    <t>RUA GENARIO BASTOS 00000 XXX, CAMPOS DOS GOYTACAZES PRQ STA ROSA RJ, CEP: 28085-290</t>
  </si>
  <si>
    <t>AVE FRANCISCO LAMEGO 00000 XX, CAMPOS DOS GOYTACAZES GUARUS RJ, CEP: 28080-000</t>
  </si>
  <si>
    <t>RUA ALCIR FERREIRA 00000 00000 CIRCUITO 02, CAMPOS DOS GOYTACAZES PRQ JARDIM CARIOCA RJ, CEP: 28055-070</t>
  </si>
  <si>
    <t>RUA ALCIR FERREIRA 00000 00000 CIRCUITO 03, CAMPOS DOS GOYTACAZES PRQ JARDIM CARIOCA RJ, CEP: 28000-001</t>
  </si>
  <si>
    <t>RUA ANTONIO BRAGA 0 00000, CAMPOS DOS GOYTACAZES PRQ STA ROSA RJ, CEP: 28000-001</t>
  </si>
  <si>
    <t>AVENIDA RUI BARBOSA S/N, 00000 0, CAMPOS DOS GOYTACAZES MORRO DO COCO RJ, CEP: 28000-001</t>
  </si>
  <si>
    <t>AVENIDA RUI BARBOSA S/N, 00000, CAMPOS DOS GOYTACAZES MORRO DO COCO RJ, CEP: 28000-001</t>
  </si>
  <si>
    <t>RUA AGOSTINHO 0 00000 XXXX, CAMPOS DOS GOYTACAZES FAROL SAO TOME RJ, CEP: 28057-273</t>
  </si>
  <si>
    <t>AVE OLAVO SALDANHA 00000, CAMPOS DOS GOYTACAZES FAROL RJ, CEP: 28000-001</t>
  </si>
  <si>
    <t>AVENIDA BOA VISTA 0 00000 XXXX, CAMPOS DOS GOYTACAZES XEXE RJ, CEP: 28000-001</t>
  </si>
  <si>
    <t>RUA BOA VISTA 00000 00000 XXX, CAMPOS DOS GOYTACAZES FAROL SAO TOME RJ, CEP: 28000-001</t>
  </si>
  <si>
    <t>AVE OLAVO SALDANHA 00000 CS SP POSTE 2, CAMPOS DOS GOYTACAZES FAROL RJ, CEP: 28000-001</t>
  </si>
  <si>
    <t>RUA MAL DEODORO 00128 00128, CAMPOS DOS GOYTACAZES CENTRO RJ, CEP: 28010-280</t>
  </si>
  <si>
    <t>PCA AMARO 00000 XXX, CAMPOS DOS GOYTACAZES XEXE RJ, CEP: 28000-001</t>
  </si>
  <si>
    <t>TRV FERNANDO NETO 00000, CAMPOS DOS GOYTACAZES FAROL SAO TOME RJ, CEP: 28013-650</t>
  </si>
  <si>
    <t>Avenida DEP ALAIR FERREIRA 00000, CAMPOS DOS GOYTACAZES CAMPOS RJ, CEP: 28035-035</t>
  </si>
  <si>
    <t>Rodovia DEP ALAIR FERREIRA 00000, CAMPOS DOS GOYTACAZES FAROL SAO TOME RJ, CEP: 28020-095</t>
  </si>
  <si>
    <t>Rua GOLFINHO 00000 00000 ES, CAMPOS DOS GOYTACAZES FAROL SAO TOME RJ, CEP: 28000-001</t>
  </si>
  <si>
    <t>RUA SALMAO 00000 ES 00000, CAMPOS DOS GOYTACAZES FAROL SAO TOME RJ, CEP: 28015-170</t>
  </si>
  <si>
    <t>RUA ANSELMO RANGEL SILVA 00120, CAMPOS DOS GOYTACAZES GOITACAZES RJ, CEP: 28000-001</t>
  </si>
  <si>
    <t>PONTA GROSSA DOS FIDALGOS 00000, CAMPOS DOS GOYTACAZES MORRO DO COCO RJ, CEP: 28000-001</t>
  </si>
  <si>
    <t>Avenida PR KENNEDY 00000 00000 FTE JOCKEY, CAMPOS DOS GOYTACAZES JOCKEY CLUB RJ, CEP: 28020-010</t>
  </si>
  <si>
    <t>EST DO CARVAO 00000, CAMPOS DOS GOYTACAZES CARVAO RJ, CEP: 28026-450</t>
  </si>
  <si>
    <t>DR ARTHUR BERNARDES 00000 00000 XX, CAMPOS DOS GOYTACAZES FLAMBOYANT RJ, CEP: 28015-325</t>
  </si>
  <si>
    <t>AVENIDA DR ARTHUR BERNARDES 00000 00000 XX, CAMPOS DOS GOYTACAZES PRQ FLAMBOYANT RJ, CEP: 28015-325</t>
  </si>
  <si>
    <t>AVENIDA DR ARTHUR BERNARDES 00000 00000 XXXX, CAMPOS DOS GOYTACAZES PRQ FLAMBOYANT RJ, CEP: 28015-325</t>
  </si>
  <si>
    <t>RUA ABELARDO MELO 00000, CAMPOS DOS GOYTACAZES JOCKEY RJ, CEP: 28020-205</t>
  </si>
  <si>
    <t>PRAÇA BAIXA GRANDE 00000, CAMPOS DOS GOYTACAZES MORRO DO COCO RJ, CEP: 28000-001</t>
  </si>
  <si>
    <t>PRACA TOCOS 00000, CAMPOS DOS GOYTACAZES MORRO DO COCO RJ, CEP: 28000-001</t>
  </si>
  <si>
    <t>RODOVIA BR 00153 216, CAMPOS DOS GOYTACAZES MUSSUREPE RJ, CEP: 28000-001</t>
  </si>
  <si>
    <t>AVE ALBERTO LAMEGO 00000, CAMPOS DOS GOYTACAZES HORTO RJ, CEP: 28000-001</t>
  </si>
  <si>
    <t>RUA PRINCIPAL 00000, CAMPOS DOS GOYTACAZES GUANDU RJ, CEP: 28020-866</t>
  </si>
  <si>
    <t>RUA GERALDO MIRANDA 00000, CAMPOS DOS GOYTACAZES RESIDE, DO JOCKEY II RJ, CEP: 28020-290</t>
  </si>
  <si>
    <t>RUA GERALDO DE MIRANDA 00000, CAMPOS DOS GOYTACAZES JOCKEY RJ, CEP: 28020-310</t>
  </si>
  <si>
    <t>RUA VALTER DIAS TERRA 0 92 B, CAMPOS DOS GOYTACAZES CENTRO RJ, CEP: 28000-001</t>
  </si>
  <si>
    <t>RUA DR BEDA 00000, CAMPOS DOS GOYTACAZES PARQUE ROSARIO RJ, CEP: 28000-001</t>
  </si>
  <si>
    <t>Avenida DR ARTHUR BERNARDES 00198, CAMPOS DOS GOYTACAZES CENTRO RJ, CEP: 28015-325</t>
  </si>
  <si>
    <t>EST PRINCIPAL 00000, CAMPOS DOS GOYTACAZES CONSELHEIRO JOSINO RJ, CEP: 28000-001</t>
  </si>
  <si>
    <t>RUA CARVALHO FILHO 0 00000 XXX, CAMPOS DOS GOYTACAZES IPS RJ, CEP: 28026-150</t>
  </si>
  <si>
    <t>PRAÇA DO PARQUE AURORA 00000, CAMPOS DOS GOYTACAZES MORRO DO COCO RJ, CEP: 28000-001</t>
  </si>
  <si>
    <t>Centro Rua TREZE DE MAIO 00179 00179 CS 185, Campos dos Goytacazes</t>
  </si>
  <si>
    <t>1743559403984_BILLING_BR_088881307701</t>
  </si>
  <si>
    <t>Municipio de Campos dos Goytacazez</t>
  </si>
  <si>
    <t>Centro Rua CORNELIO BASTOS 00000 41, Campos dos Goytacazes</t>
  </si>
  <si>
    <t>PRACA DE DONANA-DONANA 00000, CAMPOS DOS GOYTACAZES MORRO DO COCO RJ, CEP: 28000-001</t>
  </si>
  <si>
    <t>1743559404157_BILLING_BR_088881307700,pdf</t>
  </si>
  <si>
    <t>ESTRADA DO ACUCAR S/N-DONANA 00000, CAMPOS DOS GOYTACAZES MORRO DO COCO RJ, CEP: 28000-001</t>
  </si>
  <si>
    <t>AVENIDA PRESIDENTE KENNEDY S/N-P JOCKEY CLUB, CAMPOS DOS GOYTACAZES MORRO DO COCO RJ, CEP: 28000-001</t>
  </si>
  <si>
    <t>AVENIDA 24 DE OUTUBRO S/N, CAMPOS DOS GOYTACAZES MORRO DO COCO RJ, CEP: 28000-001</t>
  </si>
  <si>
    <t>ESTRADA ANTONIO MOACIR BATISTA 00039, CAMPOS DOS GOYTACAZES DONANA RJ, CEP: 28000-001</t>
  </si>
  <si>
    <t>RUA MENINO VALDEMIR MACHADO 00087, CAMPOS DOS GOYTACAZES CENTRO RJ, CEP: 28022-150</t>
  </si>
  <si>
    <t>56399410/3671936</t>
  </si>
  <si>
    <t>ESTRADA DO RETIRO 00000, CAMPOS DOS GOYTACAZES SAO MARTINHO RJ, CEP: 28000-001</t>
  </si>
  <si>
    <t>RUA PROJETADA 00000 25 VOLTA DO VEADO, CAMPOS DOS GOYTACAZES SAPUCAIA RJ, CEP: 28000-001</t>
  </si>
  <si>
    <t>RUA DEP ALAIR FERREIRA 00070, CAMPOS DOS GOYTACAZES DONANA RJ, CEP: 28000-001</t>
  </si>
  <si>
    <t>LOTEAMENTO 1 QD/4, CAMPOS DOS GOYTACAZES IMPERIAL RJ, CEP: 28000-001</t>
  </si>
  <si>
    <t>Rua DAS HORTENCIAS - PQ B VISTA, CAMPOS DOS GOYTACAZES DONANA RJ, CEP: 28022-030</t>
  </si>
  <si>
    <t>TRES VENDAS, CAMPOS DOS GOYTACAZES MORRO DO COCO RJ, CEP: 28000-001</t>
  </si>
  <si>
    <t>Rua WILSON AMARO DE FREITAS, CAMPOS DOS GOYTACAZES PRQ JULIAO NOGUEIRA RJ, CEP: 28053-210</t>
  </si>
  <si>
    <t>RUA WALTER SALES, CAMPOS DOS GOYTACAZES PRQ ESPLANADA RJ, CEP: 28053-075</t>
  </si>
  <si>
    <t>Rua WILSON AMARO DE FREITAS, CAMPOS DOS GOYTACAZES PRQ RODOVIARIO RJ, CEP: 28053-210</t>
  </si>
  <si>
    <t>Estrada LAGOA DE CIMA, CAMPOS DOS GOYTACAZES LAGOA DE CIMA RJ, CEP: 28000-001</t>
  </si>
  <si>
    <t>RUA EUDOXIO FALCAO, CAMPOS DOS GOYTACAZES DONANA RJ, CEP: 28000-001</t>
  </si>
  <si>
    <t>EST LAGOA DE CIMA, CAMPOS DOS GOYTACAZES LAGOA DE CIMA RJ, CEP: 28000-001</t>
  </si>
  <si>
    <t>RUA ROBERTO M MEDRADO, CAMPOS DOS GOYTACAZES PRQ ESPLANADA RJ, CEP: 28055-470</t>
  </si>
  <si>
    <t>LAGOA DE CIMA SN, CAMPOS DOS GOYTACAZES LAGOA DE CIMA RJ, CEP: 28000-001</t>
  </si>
  <si>
    <t>ESTRADA ALTO ELIZEU S/N, CAMPOS DOS GOYTACAZES MORRO DO COCO RJ, CEP: 28000-001</t>
  </si>
  <si>
    <t>PRAÇA LARGO DO GARCIA S/N, CAMPOS DOS GOYTACAZES MORRO DO COCO RJ, CEP: 28000-001</t>
  </si>
  <si>
    <t>RUA CEL PACHE FARIA, CAMPOS DOS GOYTACAZES NOVA BRASILIA RJ, CEP: 28055-230</t>
  </si>
  <si>
    <t>EST SAO FIDELIS S/N, CAMPOS DOS GOYTACAZES MORRO DO COCO RJ, CEP: 28000-001</t>
  </si>
  <si>
    <t>RUA ANT AZEVEDO S/N, CAMPOS DOS GOYTACAZES POCO GORDO RJ, CEP: 28000-001</t>
  </si>
  <si>
    <t>TTE CEL CARDOSO 00645, CAMPOS DOS GOYTACAZES CENTRO RJ, CEP: 28000-001</t>
  </si>
  <si>
    <t>RUA BRUNO DE AZEVEDO 55, CAMPOS DOS GOYTACAZES MORRO DO COCO RJ, CEP: 28035-045</t>
  </si>
  <si>
    <t>EST FAZENDA STA BARBARA S/N, CAMPOS DOS GOYTACAZES MORRO DO COCO RJ, CEP: 28000-001</t>
  </si>
  <si>
    <t>Rua PRINCIPAL 00005, CAMPOS DOS GOYTACAZES POCO GORDO RJ, CEP: 28020-866</t>
  </si>
  <si>
    <t>TTE CEL CARDOSO 00560, CAMPOS DOS GOYTACAZES CENTRO RJ, CEP: 28000-001</t>
  </si>
  <si>
    <t>MUNICÍPIO DE CAMPOS DOS GOYTACAZES</t>
  </si>
  <si>
    <t>TRV MINAS GERAIS 00013, PRQ CIDADE LUZ RJ, MUNICÍPIO DE CAMPOS DOS GOYTACAZES RJ, CEP: 28000-001</t>
  </si>
  <si>
    <t>SOUZA MOTA 00123 123 LADO, PRQ GUARUS RJ, MUNICÍPIO DE CAMPOS DOS GOYTACAZES RJ, CEP: 28060-010</t>
  </si>
  <si>
    <t>LINDOLFO FRAGA 00071 71, PRQ GUARUS RJ, MUNICÍPIO DE CAMPOS DOS GOYTACAZES RJ, CEP: 28060-040</t>
  </si>
  <si>
    <t>EST SAO FIDELIS S/N, MORRO DO COCO RJ, MUNICÍPIO DE CAMPOS DOS GOYTACAZES RJ, CEP: 28000-001</t>
  </si>
  <si>
    <t>RUA ALDENOR A DOS SANTOS 00000 CS 150, PRQ STA HELENA RJ, MUNICÍPIO DE CAMPOS DOS GOYTACAZES RJ, CEP: 28000-001</t>
  </si>
  <si>
    <t>RUA DA FARMACIA 00202, URURAI RJ, MUNICÍPIO DE CAMPOS DOS GOYTACAZES RJ, CEP: 28040-630</t>
  </si>
  <si>
    <t>BR 00000 101 00000 KM 35, CAXETA RJ, MUNICÍPIO DE CAMPOS DOS GOYTACAZES RJ, CEP: 28000-001</t>
  </si>
  <si>
    <t>RODOVIA AMARAL PEIXOTO KM 00000 30, DONANA RJ, MUNICÍPIO DE CAMPOS DOS GOYTACAZES RJ, CEP: 28000-001</t>
  </si>
  <si>
    <t>ARAUJO E SILVA 00087 87, PRQ GUARUS RJ, MUNICÍPIO DE CAMPOS DOS GOYTACAZES RJ, CEP: 28000-001</t>
  </si>
  <si>
    <t>ESTRADA CAMPOS ITAPERUNA S/N 00000, MORRO DO COCO RJ, CEP: 28000-001</t>
  </si>
  <si>
    <t>TRAVESSA BARTOLOMEU LIZANDRO 01116 01116, PRQ GUARUS RJ, CEP: 28000-001</t>
  </si>
  <si>
    <t>AVENIDA DEP BARTOLOMEU LIZANDRO 00000, JARDIM CARIOCA RJ, CEP: 28060-216</t>
  </si>
  <si>
    <t>AVE RUI BARBOSA 00553, LAPA RJ, CEP: 28000-001</t>
  </si>
  <si>
    <t>RUA DA IGREJA S/N - P GROSSA 00000, MORRO DO COCO RJ, CEP: 28000-001</t>
  </si>
  <si>
    <t>AVENIDA JOÃO CABRAL DE MELO NETO 00051 00051, JOCKEY CLUB RJ, CEP: 28020-010</t>
  </si>
  <si>
    <t>62575074/2540809</t>
  </si>
  <si>
    <t>AVENIDA PRESIDENTE KENEDY 00000 51 J CLUB, JOCKEY CLUB RJ, CEP: 28020-010</t>
  </si>
  <si>
    <t>EST DE CAMPO NOVO 00000, CAMPO NOVO RJ, CEP: 28000-001</t>
  </si>
  <si>
    <t>AVENIDA PRES KENNEDY 00000 47 FTE C 1, CENTRO RJ, CEP: 28020-010</t>
  </si>
  <si>
    <t>RUA DOMINGOS VIANA 00224 224, CENTRO RJ, CEP: 28000-001</t>
  </si>
  <si>
    <t>RUA ARIOSTO LANES RABELO 00165, CENTRO RJ, CEP: 28000-001</t>
  </si>
  <si>
    <t>ESTRADA DO CARVÃO 00000, DONANA RJ, CEP: 28026-450</t>
  </si>
  <si>
    <t>EST SEIS MARIAS 00000, MORRO DO COCO RJ, CEP: 28000-001</t>
  </si>
  <si>
    <t>RUA 1, ESC JARDIM BOA VISTA, TRAVESSÃO RJ, CEP: 28000-001</t>
  </si>
  <si>
    <t>RUA ACYR BELO DE CAMPOS 00000, PRQ ALVORADA RJ, CEP: 28000-001</t>
  </si>
  <si>
    <t>AVENIDA JOSÉ C P PINTO 00000, MORRO DO COCO RJ, CEP: 28000-001</t>
  </si>
  <si>
    <t>RODOVIA CAMPOS VITÓRIA 00000, CAMPOS RJ, CEP: 28000-001</t>
  </si>
  <si>
    <t>EST DO MACACO S/N, DORES DE MACABU RJ, CEP: 28000-001</t>
  </si>
  <si>
    <t>RUA ALVARO BATISTA 00000, TRAVESSÃO RJ, CEP: 28093-100</t>
  </si>
  <si>
    <t>RUA MENEZES 00000, BARRO BRANCO RJ, CEP: 28060-215</t>
  </si>
  <si>
    <t>AVENIDA JOSE CARLOS P PINTO 751 00751, PRQ CALABOUCO RJ, CEP: 28083-101</t>
  </si>
  <si>
    <t>ESTRADA DO LEITE SN SERRINHA, MORRO DO COCO RJ, CEP: 28000-001</t>
  </si>
  <si>
    <t>RUA JOSE V DE ALVARENGA, MORRO DO COCO RJ, CEP: 28083-120</t>
  </si>
  <si>
    <t>RUA JOHN DUNCAN S/N, MORRO DO COCO RJ, CEP: 28000-001</t>
  </si>
  <si>
    <t>RODOVIA CAMPOS VITORIA KM 00000 7, MORRO DO COCO RJ, CEP: 28000-001</t>
  </si>
  <si>
    <t>RUA STA ROSA 00039, PRQ GUARUS RJ, CEP: 28085-030</t>
  </si>
  <si>
    <t>AVE STA ROSA 00000 SN, STA ROSA RJ, CEP: 28085-030</t>
  </si>
  <si>
    <t>RUA ZUZA MOTA SN-PQ P VARGAS, MORRO DO COCO RJ, CEP: 28000-001</t>
  </si>
  <si>
    <t>RUA JUZ ANTONIO BRAGA 00000 00000 XXX, STA ROSA RJ, CEP: 28000-001</t>
  </si>
  <si>
    <t>RUA VIS DE ALVARENGA 00000 00000, PECUARIA RJ, CEP: 28000-001</t>
  </si>
  <si>
    <t>CONCEICAO DO IMBE 0 00000 CS SN, IMBE RJ, CEP: 28000-001</t>
  </si>
  <si>
    <t>ESTRADA CAMPOS/S FIDELIS SN 00000 0, DONANA RJ, CEP: 28000-001</t>
  </si>
  <si>
    <t>ESTRADA LAGOA DE CIMA 00000 00000, LAGOA DE CIMA RJ, CEP: 28000-001</t>
  </si>
  <si>
    <t>FAZENDA ALELUIA SN IMBE 00000, MORANGABA RJ, CEP: 28000-001</t>
  </si>
  <si>
    <t>ESTRADA LAGOA DE CIMA 00000 00000, MORRO DO COCO RJ, CEP: 28000-001</t>
  </si>
  <si>
    <t>EST MATA DA CRUZ 00000 XXX, MATA DA CRUZ RJ, CEP: 28020-866</t>
  </si>
  <si>
    <t>AV VISCONDE DE ALVARENGA S/N 00000 0, MORRO DO COCO RJ, CEP: 28000-001</t>
  </si>
  <si>
    <t>ESTRADA RIO PRETO 00000 00000 MORANG, LAGOA DE CIMA RJ, CEP: 28000-001</t>
  </si>
  <si>
    <t>FAZENDA CONCEIÇÃO DO IMBE 00000 0, MORRO DO COCO RJ, CEP: 28000-001</t>
  </si>
  <si>
    <t>AV, VISCONDE DE ALVARENGA SN 00000, MORRO DO COCO RJ, CEP: 28000-001</t>
  </si>
  <si>
    <t>RUA DO COLEGIO 00000 39, MORRO DO COCO RJ, CEP: 28050-270</t>
  </si>
  <si>
    <t>AVE 28 DE MARCO 00000 SN, CENTRO RJ, CEP: 28020-740</t>
  </si>
  <si>
    <t>RUA RAMIRO BRAGA 00000 4, MORRO DO COCO RJ, CEP: 28051-265</t>
  </si>
  <si>
    <t>EST A DA AREIA SN-A DA AREIA 00000, MORRO DO COCO RJ, CEP: 28000-001</t>
  </si>
  <si>
    <t>CHAVE DE 00000 PARAISO-18 DISTRITO, MORRO DO COCO RJ, CEP: 28000-001</t>
  </si>
  <si>
    <t>AVENIDA RUI BARBOSA S/N-LAPA 00000, MORRO DO COCO RJ, CEP: 28000-001</t>
  </si>
  <si>
    <t>AVENIDA SAO JOAO DA BARRA 00153 00153, MORRO DO COCO RJ, CEP: 28000-001</t>
  </si>
  <si>
    <t>PCA STO AMARO 00000, DIST STO AMARO RJ, CEP: 28000-001</t>
  </si>
  <si>
    <t>RUA ANTONIO R MOCO 00000 11 CENTRO, MORRO DO COCO RJ, CEP: 28000-001</t>
  </si>
  <si>
    <t>RUA MARECHAL FLORIANO 00281 281, CENTRO RJ, CEP: 28010-161</t>
  </si>
  <si>
    <t>RUA MAL DEODORO 00176, CENTRO RJ, CEP: 28010-280</t>
  </si>
  <si>
    <t>RODOVIA DEP ALAIR FERREIRA 00000 259, PRQ PRADO RJ, CEP: 28000-001</t>
  </si>
  <si>
    <t>ESTRADA DE PALMARES S/N 00000, MORRO DO COCO RJ, CEP: 28000-001</t>
  </si>
  <si>
    <t>DR LACERDA SOBRINHO 00114 114, CENTRO RJ, CEP: 28000-001</t>
  </si>
  <si>
    <t>TTE CEL CARDOSO 00647 647, CENTRO RJ, CEP: 28000-001</t>
  </si>
  <si>
    <t>RUA DAS FLORES S/N -MURUNDU 00000, MORRO DO COCO RJ, CEP: 28000-001</t>
  </si>
  <si>
    <t>ESTRADA DO ACUCAR S/N, 00000 0, MORRO DO COCO RJ, CEP: 28000-001</t>
  </si>
  <si>
    <t>ESTRADA DO ACUCAR 00000 00000 SN, CAMPO LIMPO RJ, CEP: 28022-560</t>
  </si>
  <si>
    <t>EST DA FIGUEIRA 0 00000, MORRO DO COCO RJ, CEP: 28000-001</t>
  </si>
  <si>
    <t>SANTO EDUARDO 00041 00041, PRQ GUARUS RJ, CEP: 28070-246</t>
  </si>
  <si>
    <t>RUA SAO PAULO 00000 SN, PRQ CIDADE LUZ RJ, CEP: 28060-490</t>
  </si>
  <si>
    <t>RUA MUNICIPAL 00010, PRQ LEBRET RJ, CEP: 28000-001</t>
  </si>
  <si>
    <t>R JOSE R PEREIRA 58, PRQ GUARUS RJ, CEP: 28060-280</t>
  </si>
  <si>
    <t>347491/62582774</t>
  </si>
  <si>
    <t>R CELSO DE SOUZA 149 00149, PRQ GUARUS RJ, CEP: 28060-300</t>
  </si>
  <si>
    <t>8068570/61251546</t>
  </si>
  <si>
    <t>EST SAO LUIZ DE MUTUCA 00000, MUTUCA RJ, CEP: 28000-001</t>
  </si>
  <si>
    <t>TRV BARTOLOMEU LIZANDRO 00000, PRQ GUARUS RJ, CEP: 28073-165</t>
  </si>
  <si>
    <t>AV PETROPOLIS 00000 41-GUARUS, DONANA RJ, CEP: 28070-505</t>
  </si>
  <si>
    <t>AV CAMPISTA 0 00000 XXX, PRQ GUARUS RJ, CEP: 28070-010</t>
  </si>
  <si>
    <t>RUA FRANCISCO LAMEGO S/N, MORRO DO COCO RJ, CEP: 28000-001</t>
  </si>
  <si>
    <t>RUA JOSE M DA C CAMPISTA S/N, MORRO DO COCO RJ, CEP: 28000-001</t>
  </si>
  <si>
    <t>RUA DA CAIXA DAGUA-URURAI 00000, MORRO DO COCO RJ, CEP: 28000-001</t>
  </si>
  <si>
    <t>R RIBEIRO DO AMARO SN-TRAVES 00000, MORRO DO COCO RJ, CEP: 28000-001</t>
  </si>
  <si>
    <t>ESTRADA PONTA DA LAMA S/N 00000, MORRO DO COCO RJ, CEP: 28000-001</t>
  </si>
  <si>
    <t>ESTRADA RIO PRETO - SN 00000, MORRO DO COCO RJ, CEP: 28000-001</t>
  </si>
  <si>
    <t>EST PONTA DA LAMA 0 00000 LT OBRA, PONTA DA LAMA RJ, CEP: 28040-000</t>
  </si>
  <si>
    <t>Rua BR 0 101 00000 KM 118, SERRINHA RJ, CEP: 28100-000</t>
  </si>
  <si>
    <t>AV MARIO DE ABREU SN-D MACAB 00000, MORRO DO COCO RJ, CEP: 28000-001</t>
  </si>
  <si>
    <t>Rua UM 0 00000 OBRA DA CRECHE, TAPERA RJ, CEP: 28000-001</t>
  </si>
  <si>
    <t>EST TAPERA 00000 XX, TAPERA RJ, CEP: 28020-230</t>
  </si>
  <si>
    <t>Rua ENG LUIZ CARLOS G DE CARVALHO 00020, URURAI RJ, CEP: 28040-300</t>
  </si>
  <si>
    <t>RUA DA BALANCA 00076 76, MORANGABA RJ, CEP: 28000-001</t>
  </si>
  <si>
    <t>Rua BR 00000 101 00000, URURAI RJ, CEP: 28010-360</t>
  </si>
  <si>
    <t>Estrada RIBEIRO COMPRIDO 00000 00000, IBITIOCA RJ, CEP: 28000-001</t>
  </si>
  <si>
    <t>EST BOM JESUS 00029, STO EDUARDO RJ, CEP: 28160-000</t>
  </si>
  <si>
    <t>AVE DR MARCIO DE ABREU 00000 00000 SN, DORES DE MACABU RJ, CEP: 28000-001</t>
  </si>
  <si>
    <t>RUA MARTE 00000, STA MARIA RJ, CEP: 28155-000</t>
  </si>
  <si>
    <t>ESTRADA CAMPOS/VITORIA S/N 00000, MORRO DO COCO RJ, CEP: 28000-001</t>
  </si>
  <si>
    <t>AV NILO PECANHA SN-VILA NOVA 00000, MORRO DO COCO RJ, CEP: 28000-001</t>
  </si>
  <si>
    <t>RUA PRINCIPAL SN SAPUCAIA 00000, MORRO DO COCO RJ, CEP: 28000-001</t>
  </si>
  <si>
    <t>RUA TEOTONIO F DE ARAUJO 00000, ESPIRITO SANTINHO RJ, CEP: 28000-001</t>
  </si>
  <si>
    <t>RUA TEOTONIO F DE ARAUJO 00000 00000, ESPIRITO SANTINHO RJ, CEP: 28010-190</t>
  </si>
  <si>
    <t>RUA TEOTONIO F DE ARAUJO 00115 00115, CONSELHEIRO JOSINO RJ, CEP: 28010-190</t>
  </si>
  <si>
    <t>ESTRADA PRINCIPAL 00000 00000 XX, CONSELHEIRO JOSINO RJ, CEP: 28000-001</t>
  </si>
  <si>
    <t>RUA AREIA BRANCA 00000, MORRO DO COCO RJ, CEP: 28000-001</t>
  </si>
  <si>
    <t>EST BOM JESUS STO EDUARDO SN 00000, MORRO DO COCO RJ, CEP: 28000-001</t>
  </si>
  <si>
    <t>PRAÇA DO SOL 00076 76, STA MARIA RJ, CEP: 28000-001</t>
  </si>
  <si>
    <t>PRAÇA DO SOL 76 00076 CS 01, STA MARIA RJ, CEP: 28155000</t>
  </si>
  <si>
    <t>RUA FIDELIS MAIA PEIXOTO 0 00000 OBRA, PRQ SARAIVA RJ, CEP: 28000-001</t>
  </si>
  <si>
    <t>ESTRADA DO CARVAO S/N, 00000 0, MORRO DO COCO RJ, CEP: 28000-001</t>
  </si>
  <si>
    <t>ESTRADA LINHA DO LIMAO S/N 00000, MORRO DO COCO RJ, CEP: 28000-001</t>
  </si>
  <si>
    <t>PCA SAO MARTINHO 00000, GOITACAZES RJ, CEP: 28000-001</t>
  </si>
  <si>
    <t>CAMPOS ALEGRE 00000, GOITACAZES RJ, CEP: 28000-001</t>
  </si>
  <si>
    <t>AVENIDA RAUL SOUTO MAIOR 00000 LM 2507, FAROL RJ, CEP: 28110-000</t>
  </si>
  <si>
    <t>RUA I 00000 LT 08 QD C, GOITACAZES RJ, CEP: 28000-001</t>
  </si>
  <si>
    <t>EST DO CABOIO 00000, CABOIO RJ, CEP: 28000-001</t>
  </si>
  <si>
    <t>RUA PROJETADA 00000 CS 00, FAROL RJ, CEP: 28000-001</t>
  </si>
  <si>
    <t>RUA DOM BONIFACIO PLUM SN, MORRO DO COCO RJ, CEP: 28000-001</t>
  </si>
  <si>
    <t>AVENIDA PINHEIRO MACHADO 00000, MORRO DO COCO RJ, CEP: 28000-001</t>
  </si>
  <si>
    <t>EST BREJO GRANDE 00000 LT SN, JACARANDA RJ, CEP: 28093-000</t>
  </si>
  <si>
    <t>R XINGU S/N FAROL DE S THOME, MORRO DO COCO RJ, CEP: 28000-001</t>
  </si>
  <si>
    <t>AV O SALDANHA S/N-F SAO TOME 00000, CAMPOS DOS GOYTACAZES MORRO DO COCO RJ, CEP: 28000-001</t>
  </si>
  <si>
    <t>ESTRADA FAROL SAO TOME S/N, 00000 0, CAMPOS DOS GOYTACAZES MORRO DO COCO RJ, CEP: 28000-001</t>
  </si>
  <si>
    <t>VILA DO SOL S/N-FARAL S TOME 00000, CAMPOS DOS GOYTACAZES MORRO DO COCO RJ, CEP: 28000-001</t>
  </si>
  <si>
    <t>ESTRADA SANTA MARIA S/N, 00000 0, CAMPOS DOS GOYTACAZES MORRO DO COCO RJ, CEP: 28000-001</t>
  </si>
  <si>
    <t>EST PRINCIPAL 113, BOM JESUS DO ITABAPOANA BELVEDERE RJ, CEP: 28360-000</t>
  </si>
  <si>
    <t>RUA PROJETADA 00050, CAMPOS DOS GOYTACAZES FAROL RJ, CEP: 28000-001</t>
  </si>
  <si>
    <t>TRV PRINCIPAL 00215, CAMPOS DOS GOYTACAZES MUNDEUS RJ, CEP: 28020-866</t>
  </si>
  <si>
    <t>AVENIDA GUILHERME MORISSON 00619 00619, CAMPOS DOS GOYTACAZES TOCOS RJ, CEP: 28000-001</t>
  </si>
  <si>
    <t>AVENIDA DEP ALAIR FERREIRA 00000 00000 CS ESCOLA M  ARLETE A A, CAMPOS DOS GOYTACAZES SATURNINO BRAGA RJ, CEP: 28000-001</t>
  </si>
  <si>
    <t>PCA SAO SEBASTIAO 00016, CAMPOS DOS GOYTACAZES SAO SEBASTIAO RJ, CEP: 28000-001</t>
  </si>
  <si>
    <t>RUA DA IGREIJA 00110 110, MORRO DO COCO RJ, CEP: 28000-001</t>
  </si>
  <si>
    <t>RUA DA IGREJA 00000 SN, MORRO DO COCO RJ, CEP: 28000-001</t>
  </si>
  <si>
    <t>ESTRADA BREJO GRANDE 00000 00000, BREJO GRANDE RJ, CEP: 28093-000</t>
  </si>
  <si>
    <t>R MARIA C PESSANHA SN MINEIR 00000, DONANA RJ, CEP: 28000-001</t>
  </si>
  <si>
    <t>AV DEP ALAIR FERREIRA 00000 00000 LT SN, SATURNINO BRAGA RJ, CEP: 28000-001</t>
  </si>
  <si>
    <t>RUA MARIA ISABEL GOMES 00000 00000 LT SN, MORRO DO COCO RJ, CEP: 28000-001</t>
  </si>
  <si>
    <t>R NOSSA SRA PENHA-M DO COCO 00000, MORRO DO COCO RJ, CEP: 28000-001</t>
  </si>
  <si>
    <t>ESTRADA DE MARRECAS S/N 00000, MORRO DO COCO RJ, CEP: 28000-001</t>
  </si>
  <si>
    <t>ESTRADA DA BABOSA S/N-BABOSA 00000, MORRO DO COCO RJ, CEP: 28000-001</t>
  </si>
  <si>
    <t>ESTRADA CANTO DO RIO S/N 00000, MORRO DO COCO RJ, CEP: 28000-001</t>
  </si>
  <si>
    <t>TRAVESSA NOGUEIRA 34 00034, BAIXA GRANDE RJ, CEP: 28140-000</t>
  </si>
  <si>
    <t>TRAV NOGUEIRA SN 00034, BAIXA GRANDE RJ, CEP: 28140-000</t>
  </si>
  <si>
    <t>TRAVESSA NOGUEIRA 0 00000, BAIXA GRANDE RJ, CEP: 28140-000</t>
  </si>
  <si>
    <t>RUA PRS RUTH RIBEIRO 00000 00, PRQ ELDORADO RJ, CEP: 28000-001</t>
  </si>
  <si>
    <t>RUA LUIZ ANTONIO BRAGA 78 00078, PRQ STA ROSA RJ, CEP: 28000-001</t>
  </si>
  <si>
    <t>ESTRADA RJ 00000 230 00000, ESP SANTINHO RJ, CEP: 28000-001</t>
  </si>
  <si>
    <t>RUA 24 00000 XX, PRQ STA ROSA RJ, CEP: 28085-500</t>
  </si>
  <si>
    <t>RUA PRS RUTH RIBEIRO 00000 00000 XXX, CODIN RJ, CEP: 28090-160</t>
  </si>
  <si>
    <t>Rua CARLOS BRUNO 00000 98, MORRO DO COCO RJ, CEP: 28085-110</t>
  </si>
  <si>
    <t>RUA JUZ ANTONIO BRAGA 00000, PRQ STA ROSA RJ, CEP: 28085-240</t>
  </si>
  <si>
    <t>PEDRA NEGRA-IBITIOCA 00000, MORRO DO COCO RJ, CEP: 28000-001</t>
  </si>
  <si>
    <t>RUA GUARUS S/N -PQ ELDORADO 00000, MORRO DO COCO RJ, CEP: 28070-350</t>
  </si>
  <si>
    <t>PIAO DE BAIXO MORRO DO COCO 00000, MORRO DO COCO RJ, CEP: 28000-001</t>
  </si>
  <si>
    <t>Rua PRINCIPAL - SN 00000, MORRO DO COCO RJ, CEP: 28000-001</t>
  </si>
  <si>
    <t>RUA NOVA AURORA 00350, PRQ GUARUS RJ, CEP: 28090-000</t>
  </si>
  <si>
    <t>Rua N 00000 00000 000, PRQ CODIN RJ, CEP: 28090-620</t>
  </si>
  <si>
    <t>RUA RETALHOS DE CETIM 00000 SN, PRQ ELDORADO RJ, CEP: 28090-000</t>
  </si>
  <si>
    <t>Rua MARIA GIZETE PONTES 0, PRQ ELDORADO RJ, CEP: 28000-001</t>
  </si>
  <si>
    <t>RUA DORES DE MACABU S/N 00000, MORRO DO COCO RJ, CEP: 28000-001</t>
  </si>
  <si>
    <t>PCA NSA SRA DA CONCEICAO S/N 00000, MORRO DO COCO RJ, CEP: 28175-000</t>
  </si>
  <si>
    <t>PRACA N SRA DA CONCEICAO S/N 00000, MORRO DO COCO RJ, CEP: 28000-001</t>
  </si>
  <si>
    <t>RUA VICENTE PELEGRINO 00000 198, TRAVESSAO RJ, CEP: 28175-000</t>
  </si>
  <si>
    <t>1451721/56399439</t>
  </si>
  <si>
    <t>RUA PROJETADA B 00000 XX, TRAVESSAO RJ, CEP: 28080-782</t>
  </si>
  <si>
    <t>EST CEREJEIRA 00000, DORES DE MACABU RJ, CEP: 28000-001</t>
  </si>
  <si>
    <t>SAO JOSE 00000 00000 7 DISTRITO, TRAVESSAO RJ, CEP: 28070-310</t>
  </si>
  <si>
    <t>RUA DJALMA LIMA 00000 00000, MORRO DO COCO RJ, CEP: 28080-020</t>
  </si>
  <si>
    <t>PRAÇA CELSO PECANHA S/N 00000, MORRO DO COCO RJ, CEP: 28000-001</t>
  </si>
  <si>
    <t>RUA PROJETADA S/N -TRAVESSAO 00000, MORRO DO COCO RJ, CEP: 28000-001</t>
  </si>
  <si>
    <t>BR 00000 101 KM 5-JARDIM BOA VISTA CAMPOS DOS GOYTACAZES MORRO DO COCO RJ CEP: 28000-001</t>
  </si>
  <si>
    <t>RUA DORILA PESSANHA GIMENES 0 00000 SN, CAMPOS DOS GOYTACAZES PRQ AEROPORTO RJ, CEP: 28093-070</t>
  </si>
  <si>
    <t>ESTRADA CAMPOS/VITORIA KM, 00000 6, CAMPOS DOS GOYTACAZES DONANA RJ, CEP: 28000-001</t>
  </si>
  <si>
    <t>RUA RAUL EMILIO 0 00000, CAMPOS DOS GOYTACAZES NOVA CANAA RJ, CEP: 28000-001</t>
  </si>
  <si>
    <t>RUA DEZ 00000 00000 ES S N, CAMPOS DOS GOYTACAZES NOVA CANAA RJ, CEP: 28000-001</t>
  </si>
  <si>
    <t>RUA MARTINHO G SANTA FE 00000 ESC MUN JD AEROPORTO, CAMPOS DOS GOYTACAZES PRQ GUARUS RJ, CEP: 28000-001</t>
  </si>
  <si>
    <t>ESTRADA DO FIO 00000 49 - KM 13, CAMPOS DOS GOYTACAZES DONANA RJ, CEP: 28000-001</t>
  </si>
  <si>
    <t>RUA MANOEL VIEIRA DA SILVA 00033 XXX, CAMPOS DOS GOYTACAZES TRAVESSAO RJ, CEP: 28000-001</t>
  </si>
  <si>
    <t>MARGEM DO ASFALTO KM 00000 15, CAMPOS DOS GOYTACAZES TRAVESSAO RJ, CEP: 28000-001</t>
  </si>
  <si>
    <t>EST PRINCIPAL 00000 CS KM 13 TRAVESSÃO, CAMPOS DOS GOYTACAZES TRAVESSAO RJ, CEP: 28000-001</t>
  </si>
  <si>
    <t>RUA B 00000 00000 XX, CAMPOS DOS GOYTACAZES TRAVESSAO RJ, CEP: 28020-670</t>
  </si>
  <si>
    <t>RUA ANTONIO CALADOS 0 00000 XX, CAMPOS DOS GOYTACAZES JOCKEY CLUB RJ, CEP: 28100-000</t>
  </si>
  <si>
    <t>AVENIDA PRINCIPAL 00000 00000, CAMPOS DOS GOYTACAZES MARTINS LAJE RJ, CEP: 28000-001</t>
  </si>
  <si>
    <t>AVE DR NEWTON GUARANA 00000, CAMPOS DOS GOYTACAZES PENHA RJ, CEP: 28021-245</t>
  </si>
  <si>
    <t>EST CAMBAIBA 00000, CAMPOS DOS GOYTACAZES CAMBAIBA RJ, CEP: 28021-455</t>
  </si>
  <si>
    <t>RUA 15 00000, CAMPOS DOS GOYTACAZES PARQUE NOVO JOCKEY RJ, CEP: 28000-001</t>
  </si>
  <si>
    <t>RUA PROJETADA DONANA 0 00000, CAMPOS DOS GOYTACAZES PENHA RJ, CEP: 28100-000</t>
  </si>
  <si>
    <t>RUA ANTONIO CALADOS 0 00000 LT SN, CAMPOS DOS GOYTACAZES JOCKEY CLUB RJ, CEP: 28000-001</t>
  </si>
  <si>
    <t>RUA 16 00000 00000 XX, CAMPOS DOS GOYTACAZES NOVO JOCKEY RJ, CEP: 28020-835</t>
  </si>
  <si>
    <t>RUA MANOEL GOMES SILVA 00000 23, CAMPOS DOS GOYTACAZES CENTRO RJ, CEP: 28000-001</t>
  </si>
  <si>
    <t>RUA GLEBA 00000 10 00000, CAMPOS DOS GOYTACAZES JOCKEY CLUB RJ, CEP: 28000-001</t>
  </si>
  <si>
    <t>ESTRADA CAMPO 00236 N DE CACIMBA 00236, CAMPOS DOS GOYTACAZES CAMPO NOVO RJ, CEP: 28000-001</t>
  </si>
  <si>
    <t>RUA PRINCIPAL S/N-VENDA NOVA 00000, CAMPOS DOS GOYTACAZES MORRO DO COCO RJ, CEP: 28000-001</t>
  </si>
  <si>
    <t>ESTRADA BALANCA RANGEL S/N, 00000 0, CAMPOS DOS GOYTACAZES MORRO DO COCO RJ, CEP: 28000-001</t>
  </si>
  <si>
    <t>RUA B 00000 00000, CAMPOS DOS GOYTACAZES PRQ JOAO MARIA RJ, CEP: 28020-670</t>
  </si>
  <si>
    <t>RUA DR MANOEL LANDIN 00000, CAMPOS DOS GOYTACAZES TURF CLUB RJ, CEP: 28024-020</t>
  </si>
  <si>
    <t>ESTRADA PRINCIPAL 00000 00000, CAMPOS DOS GOYTACAZES BEIRA DO TAI RJ, CEP: 28020-866</t>
  </si>
  <si>
    <t>CARDOSO MOREIRA 00000 361 LADO, CAMPOS DOS GOYTACAZES CENTRO RJ, CEP: 28000-001</t>
  </si>
  <si>
    <t>RUA MANOEL RIBEIRO 0 00000 CS FRNT, CAMPOS DOS GOYTACAZES SAO BENEDITO RJ, CEP: 28025-530</t>
  </si>
  <si>
    <t>EST RIO DO COLEGIO 0 00000 XX, CAMPOS DOS GOYTACAZES MUSSUREPE RJ, CEP: 28000-001</t>
  </si>
  <si>
    <t>TRAVESSA MARTINS S/N-PQ AURORA, CAMPOS DOS GOYTACAZES MORRO DO COCO RJ, CEP: 28025-355</t>
  </si>
  <si>
    <t>RUA DR BEDA S/N, CAMPOS DOS GOYTACAZES MORRO DO COCO RJ, CEP: 28000-001</t>
  </si>
  <si>
    <t>ESTRADA B DO TAI S/N -B DO TAI, CAMPOS DOS GOYTACAZES MORRO DO COCO RJ, CEP: 28000-001</t>
  </si>
  <si>
    <t>PONTO DE COQUEIRO 00000, CAMPOS DOS GOYTACAZES MORRO DO COCO RJ, CEP: 28000-001</t>
  </si>
  <si>
    <t>MARGEM DA LINHA S/N-GUANDU 00000, CAMPOS DOS GOYTACAZES MORRO DO COCO RJ, CEP: 28000-001</t>
  </si>
  <si>
    <t>Centro Rua VIS DO RIO BRANCO 00284, Campos dos Goytacazes</t>
  </si>
  <si>
    <t>1743566559120_BILLING_BR_088881307703</t>
  </si>
  <si>
    <t>Municipio de Campos dos Goytacazes, Parque Santo Amaro</t>
  </si>
  <si>
    <t>R, Cel, Ponciano de Azevedo Furtado, 47, 28030-045, Campos dos Goytacazes</t>
  </si>
  <si>
    <t>1743559385347_BILLING_BR_088880057100</t>
  </si>
  <si>
    <t>RUA SALVADOR SOLDADO ROSA, S/N - PRQ STA ROSA, CAMPOS DOS GOYTACAZES 28085-340</t>
  </si>
  <si>
    <t>1741935622070_BILLING_BR_088882057016</t>
  </si>
  <si>
    <t>R TEN ANTONIO JOAQUIM SN PRQ STA HELENA CAMPOS DOS GOYTACAZES 28060-020</t>
  </si>
  <si>
    <t>RUA JOSE DO PATROCINIO SN, PARQUE ALZIRA VARGAS, CAMPOS DOS GOYTACAZES 28010-410</t>
  </si>
  <si>
    <t>R ALFREDO CRESPO 30, PRQ STO AMARO, CAMPOS DOS GOYTACAZES 28030-045</t>
  </si>
  <si>
    <t>RUA PATR#CIO MENEZES SN CAMPO DO GR#MIO CUSTODOPOLIS CAMPOS DOS GOYTACAZES 28085-070</t>
  </si>
  <si>
    <t>AV CAMPISTA,SN - S#O FIDELIS PRQ GUARUS CAMPOS DOS GOYTACAZES 28070-010</t>
  </si>
  <si>
    <t>BILLING_BR_088882057014_20250311094551</t>
  </si>
  <si>
    <t>RUA ANTONIO FELIX DE MIRANDA, 44, CENTRO, CAMPOS DOS GOYTACAZES, 28010-260</t>
  </si>
  <si>
    <t>BILLING_BR_088882057013_20250308041308</t>
  </si>
  <si>
    <t>AV JOSE ALVES DE AZEVEDO, 257, Campos dos Goytacazes</t>
  </si>
  <si>
    <t>1741935622509_BILLING_BR_088882057009</t>
  </si>
  <si>
    <t>RUA JOSE DO PATROCINIO SN, PARQUE ALZIRA VARGAS, CAMPOS DOS GOYTACAZES</t>
  </si>
  <si>
    <t>BILLING_BR_088882057005_20250311094457</t>
  </si>
  <si>
    <t>ROD S#RGIO VIANA BARROSO SN TOCOS, CAMPOS DOS GOYTACAZES</t>
  </si>
  <si>
    <t>BILLING_BR_088882057007_20250311094657</t>
  </si>
  <si>
    <t>RUA GESTEIRA PASSOS S/N CENTRO, CAMPOS DOS GOYTACAZES</t>
  </si>
  <si>
    <t>FUNDACAO TEATRO MUNICIPAL TRIANON</t>
  </si>
  <si>
    <t>RUA MAL FLORIANO 271 CENTRO, CAMPOS DOS GOYTACAZES</t>
  </si>
  <si>
    <t>RUA BARAO DO AMAZONAS, SN CENTRO, CAMPOS DOS GOYTACAZES</t>
  </si>
  <si>
    <t>FUNDACAO CULTURAL JORNALISTA OSWALDO LIM</t>
  </si>
  <si>
    <t>P#A DA BANDEIRA, S/N PELINCA, CAMPOS DOS GOYTACAZES</t>
  </si>
  <si>
    <t>BILLING_BR_088882057003_20250311094657</t>
  </si>
  <si>
    <t>RUA MORISSON S/N-TOCOS TOCOS, CAMPOS DOS GOYTACAZES</t>
  </si>
  <si>
    <t>BILLING_BR_088882057001_20250312045553</t>
  </si>
  <si>
    <t>RUA CAP BERNARDES SN DORES DE MACABU, CAMPOS DOS GOYTACAZES</t>
  </si>
  <si>
    <t>PRAÇA 5 DE JULHO, N 60 ESTAÇÃO 0 PRQ LEOPOLDINA, CAMPOS DOS GOYTACAZES</t>
  </si>
  <si>
    <t>RUA VISCONDE DO ITABORAI, 208 PARQUE ROSARIO, CAMPOS DOS GOYTACAZES</t>
  </si>
  <si>
    <t>RUA NAZARIO PEREIRA GOMES SN FUNDAO, CAMPOS DOS GOYTACAZES</t>
  </si>
  <si>
    <t>EST TAGUARUCU - SN-CODIN CODIN TERRA PROMETIDA, CAMPOS DOS GOYTACAZES</t>
  </si>
  <si>
    <t>RUA DR AD#O MANOEL PEREIRA NUNES, S/N PRQ MACIEL, CAMPOS DOS GOYTACAZES</t>
  </si>
  <si>
    <t>RUA MARIO DE MATOS GOULART N 110/112 PRQ SAO CAETANO, CAMPOS DOS GOYTACAZES</t>
  </si>
  <si>
    <t>AV MARIO M ANDRADE PRQ AURORA, CAMPOS DOS GOYTACAZES</t>
  </si>
  <si>
    <t>RUA LUIZ GONZAGA TINOCO, 135 PENHA, CAMPOS DOS GOYTACAZES</t>
  </si>
  <si>
    <t>RUA PROF CARMEM CARNEIRO S/N GUARUS, CAMPOS DOS GOYTACAZES</t>
  </si>
  <si>
    <t>TIPO DE FORNECIMENTO</t>
  </si>
  <si>
    <t>DISPONIBILIDADE MÍNIMA</t>
  </si>
  <si>
    <t>SALDO</t>
  </si>
  <si>
    <t>CONSUMO (KWH)</t>
  </si>
  <si>
    <t>NÚMERO PDF</t>
  </si>
  <si>
    <t>MÉDIA CONSUMO  (KWH)</t>
  </si>
  <si>
    <t>MUNICIPIO DE PALHOCA</t>
  </si>
  <si>
    <t>CAETANO SILVEIRA DE MATTOS 2605 CX CD</t>
  </si>
  <si>
    <t>0000001783</t>
  </si>
  <si>
    <t>MONOFÁSICO</t>
  </si>
  <si>
    <t>Palhoça_Faturas-1.pdf: 105, 216, 326, 455 | Palhoça_Faturas-2.pdf: 67, 198, 323, 434 | Palhoça_Faturas-3.pdf: 106, 230, 352, 486</t>
  </si>
  <si>
    <t>AUGUSTO HAEMING 56 ESCOLA PROFISSIONAL</t>
  </si>
  <si>
    <t>0000002305</t>
  </si>
  <si>
    <t>TRIFÁSICO</t>
  </si>
  <si>
    <t>Palhoça_Faturas-1.pdf: 100, 210, 321, 449 | Palhoça_Faturas-2.pdf: 61, 193, 318, 429 | Palhoça_Faturas-3.pdf: 99, 224, 347, 479</t>
  </si>
  <si>
    <t>EVALDO CARLOS BAASCH S/N</t>
  </si>
  <si>
    <t>0000008419</t>
  </si>
  <si>
    <t>Palhoça_Faturas-3.pdf: 236, 359</t>
  </si>
  <si>
    <t>JOSE AFONSO HARGER 184 CONSELHO TUTELAR</t>
  </si>
  <si>
    <t>0000008524</t>
  </si>
  <si>
    <t>Palhoça_Faturas-1.pdf: 1, 109, 220, 349, 460 | Palhoça_Faturas-2.pdf: 89, 217, 328, 441 | Palhoça_Faturas-3.pdf: 112, 235, 358</t>
  </si>
  <si>
    <t>JOSE AFONSO HARGER 250 CX 01 - CONSELHO TUTELAR</t>
  </si>
  <si>
    <t>0000008559</t>
  </si>
  <si>
    <t>THEODORO HALMING ABRIGO PEQUENO CIDADAO</t>
  </si>
  <si>
    <t>0000008834</t>
  </si>
  <si>
    <t>Palhoça_Faturas-1.pdf: 96, 206, 317, 446 | Palhoça_Faturas-2.pdf: 57, 189, 314, 425 | Palhoça_Faturas-3.pdf: 93, 220, 344, 475</t>
  </si>
  <si>
    <t>IRMO SCHEIDT 45 CAPS II</t>
  </si>
  <si>
    <t>0000011940</t>
  </si>
  <si>
    <t>Palhoça_Faturas-1.pdf: 85, 194, 305, 434 | Palhoça_Faturas-2.pdf: 45, 177, 302, 413 | Palhoça_Faturas-3.pdf: 79, 208, 332, 462</t>
  </si>
  <si>
    <t>CEL BERNARDINO MACHADO 419 CONSELHO TUTELAR PROTECAO</t>
  </si>
  <si>
    <t>0000012165</t>
  </si>
  <si>
    <t>Palhoça_Faturas-1.pdf: 5, 113, 224, 352, 463 | Palhoça_Faturas-2.pdf: 93, 221, 332, 445 | Palhoça_Faturas-3.pdf: 116, 239, 362</t>
  </si>
  <si>
    <t>JOSE SALVADOR DINIZ 152 CASA</t>
  </si>
  <si>
    <t>0000805556</t>
  </si>
  <si>
    <t>Palhoça_Faturas-1.pdf: 73, 182, 293, 422 | Palhoça_Faturas-2.pdf: 33, 165, 290, 401 | Palhoça_Faturas-3.pdf: 64, 196, 320, 449</t>
  </si>
  <si>
    <t>JOAO PEREIRA DOS SANTOS 99</t>
  </si>
  <si>
    <t>0000805661</t>
  </si>
  <si>
    <t>31 DE MARCO GINASIO DE ESPORTES</t>
  </si>
  <si>
    <t>0001586360</t>
  </si>
  <si>
    <t>INDIANA 86 CAPS - AD</t>
  </si>
  <si>
    <t>0003866777</t>
  </si>
  <si>
    <t>BIFÁSICO</t>
  </si>
  <si>
    <t>Palhoça_Faturas-1.pdf: 87, 197, 308, 437 | Palhoça_Faturas-2.pdf: 48, 180, 305, 415 | Palhoça_Faturas-3.pdf: 82, 211, 335, 465</t>
  </si>
  <si>
    <t>RAULINA ANGELICA WENGARTNER 42 ABRIGO NOVA DIRECAO</t>
  </si>
  <si>
    <t>0005370930</t>
  </si>
  <si>
    <t>Palhoça_Faturas-1.pdf: 96, 206, 318, 446 | Palhoça_Faturas-2.pdf: 58, 189, 314, 425 | Palhoça_Faturas-3.pdf: 93, 220, 344, 475</t>
  </si>
  <si>
    <t>EMIDIO G MEDICI 38</t>
  </si>
  <si>
    <t>0006090923</t>
  </si>
  <si>
    <t>Palhoça_Faturas-3.pdf: 240, 363</t>
  </si>
  <si>
    <t>JACOB VILLAIN FILHO CEI JOSE MIGUEL FERREIRA</t>
  </si>
  <si>
    <t>0006865313</t>
  </si>
  <si>
    <t>Palhoça_Faturas-1.pdf: 25, 133, 244, 373, 484 | Palhoça_Faturas-2.pdf: 115, 241, 352, 470 | Palhoça_Faturas-3.pdf: 136, 260, 386</t>
  </si>
  <si>
    <t>DOMINGOS DE SOUZA FILHO 914 CEI PAULO BRAULIO GOULART</t>
  </si>
  <si>
    <t>0009267395</t>
  </si>
  <si>
    <t>Palhoça_Faturas-1.pdf: 27, 135, 246, 376, 487 | Palhoça_Faturas-2.pdf: 118, 244, 354, 473 | Palhoça_Faturas-3.pdf: 138, 262, 389</t>
  </si>
  <si>
    <t>N SRA DO ROSARIO C E ARGEMIRA DE F FARIAS DA SILVEIRA</t>
  </si>
  <si>
    <t>0009988653</t>
  </si>
  <si>
    <t>Palhoça_Faturas-1.pdf: 29, 137, 248, 377, 488 | Palhoça_Faturas-2.pdf: 119, 245, 356, 474 | Palhoça_Faturas-3.pdf: 140, 264, 391</t>
  </si>
  <si>
    <t>N SRA DO ROSARIO 78 CASA DE CULTURA - SE</t>
  </si>
  <si>
    <t>0009989382</t>
  </si>
  <si>
    <t>Palhoça_Faturas-1.pdf: 103, 214, 324, 345, 453 | Palhoça_Faturas-2.pdf: 65, 196, 321, 432 | Palhoça_Faturas-3.pdf: 103, 228, 483</t>
  </si>
  <si>
    <t>JOSE COSME PAMPLONA 76 CEI INTERACAO</t>
  </si>
  <si>
    <t>0010761476</t>
  </si>
  <si>
    <t>Palhoça_Faturas-1.pdf: 141, 252, 381, 492 | Palhoça_Faturas-2.pdf: 123, 249, 360, 478 | Palhoça_Faturas-3.pdf: 144, 268, 394</t>
  </si>
  <si>
    <t>JOSE LINHARES CEI CAMINHO DO SABER</t>
  </si>
  <si>
    <t>0011376533</t>
  </si>
  <si>
    <t>Palhoça_Faturas-1.pdf: 22, 130, 241, 370, 481 | Palhoça_Faturas-2.pdf: 112, 238, 349, 467 | Palhoça_Faturas-3.pdf: 133, 257, 383</t>
  </si>
  <si>
    <t>GOVERNADOR PEDRO IVO CAMPOS 229 CRAS - BREJARU - ASSIS SOCIAL</t>
  </si>
  <si>
    <t>0011377769</t>
  </si>
  <si>
    <t>Palhoça_Faturas-1.pdf: 98, 208, 319, 347, 448 | Palhoça_Faturas-2.pdf: 59, 191, 316, 427 | Palhoça_Faturas-3.pdf: 95, 222</t>
  </si>
  <si>
    <t>GERMANO SPRICIGO CEI - PADRE REUS</t>
  </si>
  <si>
    <t>0012192355</t>
  </si>
  <si>
    <t>Palhoça_Faturas-1.pdf: 142, 253, 382, 493 | Palhoça_Faturas-2.pdf: 124, 250, 361, 479 | Palhoça_Faturas-3.pdf: 145, 269, 396</t>
  </si>
  <si>
    <t>EGIDIO MOREIRA C S I BARRA DO ARIRIU</t>
  </si>
  <si>
    <t>0012192371</t>
  </si>
  <si>
    <t>Palhoça_Faturas-1.pdf: 199, 340, 439 | Palhoça_Faturas-2.pdf: 50, 182, 307, 418 | Palhoça_Faturas-3.pdf: 84, 213, 337, 467</t>
  </si>
  <si>
    <t>CEL BERNARDINO MACHADO JUNTA MILITAR</t>
  </si>
  <si>
    <t>0012192517</t>
  </si>
  <si>
    <t>Palhoça_Faturas-1.pdf: 5, 113, 224, 353, 464 | Palhoça_Faturas-2.pdf: 93, 221, 332, 445 | Palhoça_Faturas-3.pdf: 116, 240, 363</t>
  </si>
  <si>
    <t>MONSENHOR ROBERTO LANDEL DE MOURA UNIDADE BASICA DE SAUDE DO BREJARU</t>
  </si>
  <si>
    <t>0012192673</t>
  </si>
  <si>
    <t>Palhoça_Faturas-1.pdf: 89, 198, 309, 438 | Palhoça_Faturas-2.pdf: 49, 181, 306, 417 | Palhoça_Faturas-3.pdf: 83, 212, 336, 466</t>
  </si>
  <si>
    <t>ANICETO ZACCHI</t>
  </si>
  <si>
    <t>0012192800</t>
  </si>
  <si>
    <t>Palhoça_Faturas-1.pdf: 6, 114, 225, 353, 464 | Palhoça_Faturas-2.pdf: 94, 222, 333, 446 | Palhoça_Faturas-3.pdf: 117, 240, 363</t>
  </si>
  <si>
    <t>EVALDO CARLOS BAASCH SECR DE ASSISTENCIA SOCIAL</t>
  </si>
  <si>
    <t>0012192886</t>
  </si>
  <si>
    <t>Palhoça_Faturas-1.pdf: 95, 205, 316, 445 | Palhoça_Faturas-2.pdf: 56, 188, 313, 424 | Palhoça_Faturas-3.pdf: 92, 219, 343, 474</t>
  </si>
  <si>
    <t>MONTE CAMBIRELLA ESCOLA PROF NERI BRASIL MARTINS</t>
  </si>
  <si>
    <t>0012192916</t>
  </si>
  <si>
    <t>Palhoça_Faturas-1.pdf: 29, 137, 248, 377, 488 | Palhoça_Faturas-2.pdf: 119, 245, 356, 474 | Palhoça_Faturas-3.pdf: 140, 264, 390</t>
  </si>
  <si>
    <t>ANICETO ZACCHI CRECHE VOVO DOLORES</t>
  </si>
  <si>
    <t>0012192924</t>
  </si>
  <si>
    <t>Palhoça_Faturas-1.pdf: 124, 235, 364, 475 | Palhoça_Faturas-2.pdf: 106, 232, 343, 461 | Palhoça_Faturas-3.pdf: 127, 250, 377</t>
  </si>
  <si>
    <t>NOSSA SENHORA FATIMA 0 ESCOLA NOSSA SEN DE FATIMA</t>
  </si>
  <si>
    <t>0012192932</t>
  </si>
  <si>
    <t>Palhoça_Faturas-1.pdf: 34, 142, 253, 383, 493 | Palhoça_Faturas-2.pdf: 124, 250, 361, 480 | Palhoça_Faturas-3.pdf: 145, 269, 396</t>
  </si>
  <si>
    <t>JACOB VILLAIN FILHO ER PROF DANIEL C WEINGARTNER</t>
  </si>
  <si>
    <t>0012192959</t>
  </si>
  <si>
    <t>Palhoça_Faturas-1.pdf: 26, 134, 245, 374, 485 | Palhoça_Faturas-2.pdf: 116, 242, 353, 471 | Palhoça_Faturas-3.pdf: 137, 261, 388</t>
  </si>
  <si>
    <t>31 DE MARCO UBS PONTE DO IMARUIM</t>
  </si>
  <si>
    <t>0012192991</t>
  </si>
  <si>
    <t>Palhoça_Faturas-1.pdf: 86, 195, 306, 435 | Palhoça_Faturas-2.pdf: 46, 178, 303, 414 | Palhoça_Faturas-3.pdf: 80, 209, 333, 463</t>
  </si>
  <si>
    <t>MANOEL LUIZ TEIXEIRA 389 CEI SNOOPY</t>
  </si>
  <si>
    <t>0012193017</t>
  </si>
  <si>
    <t>Palhoça_Faturas-1.pdf: 16, 123, 234, 364, 475 | Palhoça_Faturas-2.pdf: 105, 232, 343, 461 | Palhoça_Faturas-3.pdf: 126, 250, 377</t>
  </si>
  <si>
    <t>DA SAUDADE NECROTERIO MUNICIPAL</t>
  </si>
  <si>
    <t>0012193025</t>
  </si>
  <si>
    <t>Palhoça_Faturas-1.pdf: 10, 118, 229, 358, 469 | Palhoça_Faturas-2.pdf: 100, 226, 337, 450 | Palhoça_Faturas-3.pdf: 121, 245, 370</t>
  </si>
  <si>
    <t>STA TEREZINHA CEI MUNDO ENCANTADO</t>
  </si>
  <si>
    <t>0012193068</t>
  </si>
  <si>
    <t>Palhoça_Faturas-1.pdf: 33, 141, 252, 381, 492 | Palhoça_Faturas-2.pdf: 123, 249, 360, 478 | Palhoça_Faturas-3.pdf: 144, 268, 395</t>
  </si>
  <si>
    <t>BOM JESUS DE NAZARE CEI MEDIO ARIRIU</t>
  </si>
  <si>
    <t>0012193076</t>
  </si>
  <si>
    <t>Palhoça_Faturas-1.pdf: 27, 135, 246, 375, 486 | Palhoça_Faturas-2.pdf: 117, 243, 354, 472 | Palhoça_Faturas-3.pdf: 138, 262, 389</t>
  </si>
  <si>
    <t>BARAO DO RIO BRANCO GINASIO ESP MUNIC</t>
  </si>
  <si>
    <t>0012193084</t>
  </si>
  <si>
    <t>Palhoça_Faturas-1.pdf: 211, 322, 346, 450 | Palhoça_Faturas-2.pdf: 62, 194, 319, 430 | Palhoça_Faturas-3.pdf: 100, 225, 348, 480</t>
  </si>
  <si>
    <t>GERAL ALBARDAO ESCOLA MUN REUNIDA ALBARDAO</t>
  </si>
  <si>
    <t>0012193092</t>
  </si>
  <si>
    <t>Palhoça_Faturas-1.pdf: 31, 139, 250, 379, 490 | Palhoça_Faturas-2.pdf: 121, 247, 358, 476 | Palhoça_Faturas-3.pdf: 142, 266, 392</t>
  </si>
  <si>
    <t>TRES BARRAS E.R.PROF. JOSE DO NASCIMENTO</t>
  </si>
  <si>
    <t>0012193106</t>
  </si>
  <si>
    <t>Palhoça_Faturas-1.pdf: 31, 139, 250, 379, 490 | Palhoça_Faturas-2.pdf: 121, 247, 358, 476 | Palhoça_Faturas-3.pdf: 142, 266, 393</t>
  </si>
  <si>
    <t>MANOEL ALFREDO PEREIRA E R PROF OLGA CERINO</t>
  </si>
  <si>
    <t>0012193114</t>
  </si>
  <si>
    <t>Palhoça_Faturas-1.pdf: 32, 140, 251, 381, 491 | Palhoça_Faturas-2.pdf: 122, 248, 359, 478 | Palhoça_Faturas-3.pdf: 143, 267, 394</t>
  </si>
  <si>
    <t>600 E R PROF MARIA DOS S SILVA</t>
  </si>
  <si>
    <t>0012193130</t>
  </si>
  <si>
    <t>Palhoça_Faturas-1.pdf: 30, 138, 249, 378, 489 | Palhoça_Faturas-2.pdf: 120, 246, 357, 475 | Palhoça_Faturas-3.pdf: 141, 265, 391</t>
  </si>
  <si>
    <t>GERAL MORRETES DOIS E. ABÍLIO MANOEL DE ABREU</t>
  </si>
  <si>
    <t>0012193149</t>
  </si>
  <si>
    <t>Palhoça_Faturas-1.pdf: 32, 140, 251, 380, 491 | Palhoça_Faturas-2.pdf: 122, 248, 359, 477 | Palhoça_Faturas-3.pdf: 143, 267, 393</t>
  </si>
  <si>
    <t>N SRA DO ROSARIO CENTRO DE SAUDE ENSEADA</t>
  </si>
  <si>
    <t>0012193173</t>
  </si>
  <si>
    <t>Palhoça_Faturas-1.pdf: 203, 313, 443 | Palhoça_Faturas-2.pdf: 54, 186, 311, 421 | Palhoça_Faturas-3.pdf: 88, 217, 341, 471</t>
  </si>
  <si>
    <t>STO ANJO DA GUARDA 1832 CENTRO SAUDE GUARDA DO CUBATAO</t>
  </si>
  <si>
    <t>0012193190</t>
  </si>
  <si>
    <t>Palhoça_Faturas-1.pdf: 90, 200, 310, 440 | Palhoça_Faturas-2.pdf: 51, 183, 308, 418 | Palhoça_Faturas-3.pdf: 84, 213, 338, 468</t>
  </si>
  <si>
    <t>JOSE ANTONIO DE OLIVEIRA C E I CRIANCA FELIZ</t>
  </si>
  <si>
    <t>0012193203</t>
  </si>
  <si>
    <t>Palhoça_Faturas-1.pdf: 18, 126, 237, 367, 478 | Palhoça_Faturas-2.pdf: 108, 235, 346, 464 | Palhoça_Faturas-3.pdf: 129, 253, 380</t>
  </si>
  <si>
    <t>CEL BERNARDINO MACHADO 181 BOMBEIRO FUNDO MUNICIPAL</t>
  </si>
  <si>
    <t>0015577967</t>
  </si>
  <si>
    <t>Palhoça_Faturas-1.pdf: 72, 181, 292, 421 | Palhoça_Faturas-2.pdf: 32, 164, 289, 400 | Palhoça_Faturas-3.pdf: 63, 195, 319, 447</t>
  </si>
  <si>
    <t>GRACILIANO CARLOS QUADROS 180 CAPS INFANTIL</t>
  </si>
  <si>
    <t>0015612690</t>
  </si>
  <si>
    <t>Palhoça_Faturas-1.pdf: 86, 195, 307, 436 | Palhoça_Faturas-2.pdf: 47, 179, 304, 414 | Palhoça_Faturas-3.pdf: 80, 209, 334, 464</t>
  </si>
  <si>
    <t>23 DE MARCO COLEGIO ADRIANA WENGARTEN</t>
  </si>
  <si>
    <t>0018069601</t>
  </si>
  <si>
    <t>Palhoça_Faturas-1.pdf: 21, 129, 240, 369, 480 | Palhoça_Faturas-2.pdf: 111, 237, 348, 466 | Palhoça_Faturas-3.pdf: 132, 256, 382</t>
  </si>
  <si>
    <t>PREFEITO NELSON MARTINS 166 ESCOLA BASICA VIVIANE L Q COELHO</t>
  </si>
  <si>
    <t>0018110903</t>
  </si>
  <si>
    <t>Palhoça_Faturas-1.pdf: 17, 125, 236, 365, 476 | Palhoça_Faturas-2.pdf: 107, 233, 344, 462 | Palhoça_Faturas-3.pdf: 128, 252, 379</t>
  </si>
  <si>
    <t>1613 GE PROF MARIA L DE SOUZA</t>
  </si>
  <si>
    <t>0018516896</t>
  </si>
  <si>
    <t>Palhoça_Faturas-1.pdf: 29, 137, 248, 378, 488 | Palhoça_Faturas-2.pdf: 119, 245, 356, 475 | Palhoça_Faturas-3.pdf: 140, 264, 391</t>
  </si>
  <si>
    <t>CAETANO SILVEIRA 191 GRUPO ESCOLAR FREI DAMIAO</t>
  </si>
  <si>
    <t>0018594536</t>
  </si>
  <si>
    <t>Palhoça_Faturas-1.pdf: 22, 130, 241, 370, 481 | Palhoça_Faturas-2.pdf: 112, 238, 349, 467 | Palhoça_Faturas-3.pdf: 133, 257, 384</t>
  </si>
  <si>
    <t>RIO GRANDE G E TEREZINHA ESPINDOLA</t>
  </si>
  <si>
    <t>0018625474</t>
  </si>
  <si>
    <t>Palhoça_Faturas-1.pdf: 18, 126, 237, 366, 477 | Palhoça_Faturas-2.pdf: 108, 234, 345, 463 | Palhoça_Faturas-3.pdf: 129, 253, 379</t>
  </si>
  <si>
    <t>N SRA DO ROSARIO CEMITERIO</t>
  </si>
  <si>
    <t>0020015357</t>
  </si>
  <si>
    <t>Palhoça_Faturas-1.pdf: 230, 348 | Palhoça_Faturas-2.pdf: 451, 452, 453, 454, 455, 456 | Palhoça_Faturas-3.pdf: 122, 246, 371</t>
  </si>
  <si>
    <t>GERMANO SPRICIGO CAMPO DO GRECEA</t>
  </si>
  <si>
    <t>0020159294</t>
  </si>
  <si>
    <t>Palhoça_Faturas-1.pdf: 104, 215, 325, 343, 454 | Palhoça_Faturas-2.pdf: 66, 197, 322, 433 | Palhoça_Faturas-3.pdf: 104, 229, 351, 484</t>
  </si>
  <si>
    <t>DA SAUDADE CEMINTERIO</t>
  </si>
  <si>
    <t>0020271418</t>
  </si>
  <si>
    <t>FRANCISCO DE MELO CX 02 - UBS ARIRIU</t>
  </si>
  <si>
    <t>0021001775</t>
  </si>
  <si>
    <t>Palhoça_Faturas-1.pdf: 91, 201, 311, 440 | Palhoça_Faturas-2.pdf: 52, 183, 308, 419 | Palhoça_Faturas-3.pdf: 85, 214, 338, 468</t>
  </si>
  <si>
    <t>JOSE VALERIO DE SOUZA C E I SAO TOME</t>
  </si>
  <si>
    <t>0021585980</t>
  </si>
  <si>
    <t>Palhoça_Faturas-1.pdf: 23, 131, 242, 372, 483 | Palhoça_Faturas-2.pdf: 113, 240, 351, 469 | Palhoça_Faturas-3.pdf: 134, 258, 385</t>
  </si>
  <si>
    <t>IRMA DULCE C E I CRIANCA ESPERANCA</t>
  </si>
  <si>
    <t>0021656062</t>
  </si>
  <si>
    <t>Palhoça_Faturas-1.pdf: 19, 127, 238, 368, 479 | Palhoça_Faturas-2.pdf: 109, 236, 347, 465 | Palhoça_Faturas-3.pdf: 130, 254, 381</t>
  </si>
  <si>
    <t>VITOR MEIRELLES 527 CRECHE MUNICIPAL</t>
  </si>
  <si>
    <t>0021751642</t>
  </si>
  <si>
    <t>Palhoça_Faturas-1.pdf: 21, 129, 240, 369, 480 | Palhoça_Faturas-2.pdf: 111, 237, 348, 466 | Palhoça_Faturas-3.pdf: 132, 256, 383</t>
  </si>
  <si>
    <t>HELENO GARCIA 78</t>
  </si>
  <si>
    <t>0021833061</t>
  </si>
  <si>
    <t>Palhoça_Faturas-3.pdf: 117, 241, 364</t>
  </si>
  <si>
    <t>DOROTHEA OLINDA SCHLEMPER C.E.I VIDA MELHOR</t>
  </si>
  <si>
    <t>0022222694</t>
  </si>
  <si>
    <t>Palhoça_Faturas-1.pdf: 17, 125, 236, 365, 476 | Palhoça_Faturas-2.pdf: 107, 233, 344, 462 | Palhoça_Faturas-3.pdf: 128, 251, 378</t>
  </si>
  <si>
    <t>BR 101 ESCOLA ISOLADA RINCAO</t>
  </si>
  <si>
    <t>0022340670</t>
  </si>
  <si>
    <t>Palhoça_Faturas-1.pdf: 32, 140, 251, 380, 491 | Palhoça_Faturas-2.pdf: 122, 248, 359, 477 | Palhoça_Faturas-3.pdf: 143, 267, 394</t>
  </si>
  <si>
    <t>VER JACOB KNABBEN DA SILVA ESC NADJA C GUEDERT</t>
  </si>
  <si>
    <t>0022340689</t>
  </si>
  <si>
    <t>Palhoça_Faturas-1.pdf: 19, 127, 238, 367, 478 | Palhoça_Faturas-2.pdf: 109, 235, 346, 464 | Palhoça_Faturas-3.pdf: 130, 254, 381</t>
  </si>
  <si>
    <t>DAVINO JOSE CAMPOS GE PROF FRANCISCA R F COSTA</t>
  </si>
  <si>
    <t>0022340697</t>
  </si>
  <si>
    <t>Palhoça_Faturas-1.pdf: 28, 136, 247, 376, 487 | Palhoça_Faturas-2.pdf: 118, 244, 355, 473 | Palhoça_Faturas-3.pdf: 139, 263, 390</t>
  </si>
  <si>
    <t>DOMINGOS DE SOUZA FILHO E R PROF ISABEL DE PAULA</t>
  </si>
  <si>
    <t>0022340700</t>
  </si>
  <si>
    <t>Palhoça_Faturas-1.pdf: 28, 136, 247, 376, 487 | Palhoça_Faturas-2.pdf: 117, 243, 355, 473 | Palhoça_Faturas-3.pdf: 139, 263, 389</t>
  </si>
  <si>
    <t>ORLANDO CORREA BRUCHADO E.B LAURITA WAGNER DA SILVEIRA</t>
  </si>
  <si>
    <t>0022340727</t>
  </si>
  <si>
    <t>Palhoça_Faturas-1.pdf: 24, 132, 243, 373, 484 | Palhoça_Faturas-2.pdf: 114, 470, 481, 482 | Palhoça_Faturas-3.pdf: 135, 259, 386</t>
  </si>
  <si>
    <t>JOAO VERISSIMO MARTINS E ISOLADA SERTAO DO CAMPO</t>
  </si>
  <si>
    <t>0022350692</t>
  </si>
  <si>
    <t>Palhoça_Faturas-1.pdf: 31, 139, 250, 380, 490 | Palhoça_Faturas-2.pdf: 121, 247, 358, 477 | Palhoça_Faturas-3.pdf: 142, 266, 393</t>
  </si>
  <si>
    <t>CANINDE POSTO SALVA VIDA</t>
  </si>
  <si>
    <t>0022978993</t>
  </si>
  <si>
    <t>JOAO FEDOCA CENTRO DE RECICLAGEM DA PINHEIRA</t>
  </si>
  <si>
    <t>0023187710</t>
  </si>
  <si>
    <t>Palhoça_Faturas-1.pdf: 6, 114, 225, 354, 465 | Palhoça_Faturas-2.pdf: 94, 222, 333, 446 | Palhoça_Faturas-3.pdf: 117, 241, 364</t>
  </si>
  <si>
    <t>ACIOLI NUNES DOS SANTOS G E PROF EVANDA S J MACHADO</t>
  </si>
  <si>
    <t>0023301130</t>
  </si>
  <si>
    <t>Palhoça_Faturas-1.pdf: 19, 127, 238, 367, 478 | Palhoça_Faturas-2.pdf: 109, 235, 346, 464 | Palhoça_Faturas-3.pdf: 130, 254, 380</t>
  </si>
  <si>
    <t>OLGA DA SILVEIRA C S I PINHEIRA</t>
  </si>
  <si>
    <t>0023486105</t>
  </si>
  <si>
    <t>Palhoça_Faturas-1.pdf: 93, 203, 314, 443 | Palhoça_Faturas-2.pdf: 55, 187, 312, 422 | Palhoça_Faturas-3.pdf: 88, 217, 342, 472</t>
  </si>
  <si>
    <t>JOSE PORTO DOS SANTOS 54 ESCOLA PROFISSIONAL PONTO DO IMARUIM</t>
  </si>
  <si>
    <t>0023655713</t>
  </si>
  <si>
    <t>PE AURELIO GANZI CEI NOVA GERACAO</t>
  </si>
  <si>
    <t>0023982757</t>
  </si>
  <si>
    <t>Palhoça_Faturas-1.pdf: 30, 138, 249, 379, 489 | Palhoça_Faturas-2.pdf: 120, 246, 357, 476 | Palhoça_Faturas-3.pdf: 141, 265, 392</t>
  </si>
  <si>
    <t>MORRO DO GATO-PALH. E M MANOEL DA SILVA</t>
  </si>
  <si>
    <t>0024109518</t>
  </si>
  <si>
    <t>Palhoça_Faturas-1.pdf: 20, 128, 239, 368, 479 | Palhoça_Faturas-2.pdf: 110, 236, 347, 465 | Palhoça_Faturas-3.pdf: 131, 255, 381</t>
  </si>
  <si>
    <t>GERAL TERRA FRACA CEI PROF INES MARTA DA SILVA</t>
  </si>
  <si>
    <t>0024218201</t>
  </si>
  <si>
    <t>Palhoça_Faturas-1.pdf: 33, 141, 253, 382, 493 | Palhoça_Faturas-2.pdf: 123, 249, 360, 479 | Palhoça_Faturas-3.pdf: 144, 268, 395</t>
  </si>
  <si>
    <t>JOSE COSME PAMPLONA NEPS - NUCLEO EDUACACIONAL EM SAUDE</t>
  </si>
  <si>
    <t>0024701301</t>
  </si>
  <si>
    <t>Palhoça_Faturas-1.pdf: 94, 204, 314, 444 | Palhoça_Faturas-2.pdf: 55, 187, 312, 422 | Palhoça_Faturas-3.pdf: 89, 218, 342, 472</t>
  </si>
  <si>
    <t>7 DE SETEMBRO 106 SL 12 PROCON</t>
  </si>
  <si>
    <t>0024760901</t>
  </si>
  <si>
    <t>Palhoça_Faturas-1.pdf: 5, 113, 224, 353, 464 | Palhoça_Faturas-2.pdf: 93, 221, 332, 445 | Palhoça_Faturas-3.pdf: 116, 239, 362</t>
  </si>
  <si>
    <t>CEL BERNARDINO MACHADO 95 POLICLINICA - ANTIGO FORUM</t>
  </si>
  <si>
    <t>0025417232</t>
  </si>
  <si>
    <t>Palhoça_Faturas-1.pdf: 77, 183, 297, 426 | Palhoça_Faturas-2.pdf: 37, 169, 292, 402 | Palhoça_Faturas-3.pdf: 68, 197, 321, 451</t>
  </si>
  <si>
    <t>ANGELINO FRANCISCO DA SILVA C E I SANTA MARTA</t>
  </si>
  <si>
    <t>0025892909</t>
  </si>
  <si>
    <t>Palhoça_Faturas-1.pdf: 24, 132, 243, 372, 483 | Palhoça_Faturas-2.pdf: 114, 240, 351, 469 | Palhoça_Faturas-3.pdf: 135, 259, 386</t>
  </si>
  <si>
    <t>ESTACIO ESTANISLAU MARTINS POSTO SALVA VIDAS</t>
  </si>
  <si>
    <t>0026061210</t>
  </si>
  <si>
    <t>Palhoça_Faturas-1.pdf: 181, 292, 421 | Palhoça_Faturas-2.pdf: 32, 164, 289, 400 | Palhoça_Faturas-3.pdf: 63, 195, 319, 447</t>
  </si>
  <si>
    <t>ERNESTINA MARIA DA ROSA C E I NOVA ESPERANCA</t>
  </si>
  <si>
    <t>0026263930</t>
  </si>
  <si>
    <t>Palhoça_Faturas-1.pdf: 27, 135, 246, 375, 486 | Palhoça_Faturas-2.pdf: 117, 243, 354, 472 | Palhoça_Faturas-3.pdf: 138, 262, 388</t>
  </si>
  <si>
    <t>ROBERTO SELL 84 MERENDA ESCOLAR</t>
  </si>
  <si>
    <t>0026275709</t>
  </si>
  <si>
    <t>Palhoça_Faturas-1.pdf: 17, 125, 236, 366, 477 | Palhoça_Faturas-2.pdf: 107, 234, 345, 463 | Palhoça_Faturas-3.pdf: 128, 252</t>
  </si>
  <si>
    <t>FREI DAMIAO G E FREI DAMIAO</t>
  </si>
  <si>
    <t>0026341760</t>
  </si>
  <si>
    <t>Palhoça_Faturas-1.pdf: 22, 131, 241, 371, 482 | Palhoça_Faturas-2.pdf: 113, 239, 350, 468 | Palhoça_Faturas-3.pdf: 133, 257, 384</t>
  </si>
  <si>
    <t>ANTONIO MUNIZ DE ARAGAO 40 CEI REALIZAR</t>
  </si>
  <si>
    <t>0026623790</t>
  </si>
  <si>
    <t>Palhoça_Faturas-1.pdf: 16, 124, 235, 364, 475 | Palhoça_Faturas-2.pdf: 106, 232, 343, 461 | Palhoça_Faturas-3.pdf: 127, 251, 378</t>
  </si>
  <si>
    <t>ITANOIR ABELARDO DE FREITAS 863 UBS - CAMINHO NOVO POSTO DE SAUDE</t>
  </si>
  <si>
    <t>0026728916</t>
  </si>
  <si>
    <t>Palhoça_Faturas-1.pdf: 94, 204, 315, 444 | Palhoça_Faturas-2.pdf: 55, 187, 312, 423 | Palhoça_Faturas-3.pdf: 89, 218, 342, 472</t>
  </si>
  <si>
    <t>SAMUEL RAMON DOS SANTOS ROSA USB PASSAGEM DO MACIAMBU</t>
  </si>
  <si>
    <t>0027007619</t>
  </si>
  <si>
    <t>Palhoça_Faturas-1.pdf: 93, 203, 314, 443 | Palhoça_Faturas-2.pdf: 54, 186, 311, 422 | Palhoça_Faturas-3.pdf: 88, 217, 341, 471</t>
  </si>
  <si>
    <t>MODENA CEI BOLINHA DE SABAO</t>
  </si>
  <si>
    <t>0027060390</t>
  </si>
  <si>
    <t>Palhoça_Faturas-1.pdf: 15, 123, 234, 363, 474 | Palhoça_Faturas-2.pdf: 105, 231, 342, 460 | Palhoça_Faturas-3.pdf: 126, 250, 377</t>
  </si>
  <si>
    <t>DOS JACARANDAS Q 30 L 19 FR</t>
  </si>
  <si>
    <t>0027297234</t>
  </si>
  <si>
    <t>Palhoça_Faturas-1.pdf: 333</t>
  </si>
  <si>
    <t>ARCANJO CUNHA ESCOLA PREF REINOLDO WEINGARTNER</t>
  </si>
  <si>
    <t>0027541399</t>
  </si>
  <si>
    <t>Palhoça_Faturas-1.pdf: 18, 126, 237, 366, 477 | Palhoça_Faturas-2.pdf: 108, 234, 345, 463 | Palhoça_Faturas-3.pdf: 129, 252, 379</t>
  </si>
  <si>
    <t>ANTONIO VIEIRA 550 GINASIO JD EUCALIPTOS</t>
  </si>
  <si>
    <t>0027726194</t>
  </si>
  <si>
    <t>Palhoça_Faturas-1.pdf: 101, 211, 322, 450 | Palhoça_Faturas-2.pdf: 62, 194, 319, 430 | Palhoça_Faturas-3.pdf: 100, 225, 348, 480</t>
  </si>
  <si>
    <t>GERMANO SPRICIGO GINASIO DE ESPORTES</t>
  </si>
  <si>
    <t>0028061811</t>
  </si>
  <si>
    <t>Palhoça_Faturas-1.pdf: 104, 214, 325, 453 | Palhoça_Faturas-2.pdf: 65, 197, 322, 433 | Palhoça_Faturas-3.pdf: 103, 228, 351, 483</t>
  </si>
  <si>
    <t>PREFEITO NELSON MARTINS 50 GARAGEM MUNIC - SEC DE INFRA E</t>
  </si>
  <si>
    <t>0028202628</t>
  </si>
  <si>
    <t>Palhoça_Faturas-1.pdf: 8, 116, 227, 356, 467 | Palhoça_Faturas-2.pdf: 98, 224, 335, 448 | Palhoça_Faturas-3.pdf: 119, 243, 368</t>
  </si>
  <si>
    <t>JOSE MARIA DA LUZ 2747 SL 301 COMEDI EDUCACAO</t>
  </si>
  <si>
    <t>0028553005</t>
  </si>
  <si>
    <t>Palhoça_Faturas-1.pdf: 15, 122, 233, 362, 473 | Palhoça_Faturas-2.pdf: 104, 230, 341, 459 | Palhoça_Faturas-3.pdf: 125, 249, 375, 376</t>
  </si>
  <si>
    <t>JOSE MARIA DA LUZ 2747 SL 302 COMEDI EDUCACAO</t>
  </si>
  <si>
    <t>0028553030</t>
  </si>
  <si>
    <t>Palhoça_Faturas-1.pdf: 14, 122, 233, 363, 474 | Palhoça_Faturas-2.pdf: 104, 231, 342, 460 | Palhoça_Faturas-3.pdf: 125, 249, 375, 376</t>
  </si>
  <si>
    <t>ATILIO PEDRO PAGANI 1500 SL 10</t>
  </si>
  <si>
    <t>0028976321</t>
  </si>
  <si>
    <t>Palhoça_Faturas-1.pdf: 3, 111, 222, 351, 462 | Palhoça_Faturas-2.pdf: 91, 219, 330, 443 | Palhoça_Faturas-3.pdf: 114, 237, 360</t>
  </si>
  <si>
    <t>DA ASSOCIACAO 1 SALAO FESTAS - AREA LAZER</t>
  </si>
  <si>
    <t>0029013187</t>
  </si>
  <si>
    <t>Palhoça_Faturas-1.pdf: 101, 212, 323, 344, 451 | Palhoça_Faturas-2.pdf: 63, 195, 320, 431 | Palhoça_Faturas-3.pdf: 101, 226, 349, 481</t>
  </si>
  <si>
    <t>JOSE AFONSO HARGER 170 CAPSI</t>
  </si>
  <si>
    <t>0029261296</t>
  </si>
  <si>
    <t>Palhoça_Faturas-1.pdf: 77, 186, 298, 427 | Palhoça_Faturas-2.pdf: 38, 170, 295, 405 | Palhoça_Faturas-3.pdf: 71, 200, 324, 454</t>
  </si>
  <si>
    <t>PREFEITO NELSON MARTINS 50 SEC OBRAS GARAGEM MUNICIPAL</t>
  </si>
  <si>
    <t>0029397996</t>
  </si>
  <si>
    <t>DAS TIPUANAS CENTRO DE SAUDE MADRI</t>
  </si>
  <si>
    <t>0029441138</t>
  </si>
  <si>
    <t>Palhoça_Faturas-1.pdf: 88, 197, 309, 437 | Palhoça_Faturas-2.pdf: 48, 180, 305, 416 | Palhoça_Faturas-3.pdf: 82, 211, 335, 465</t>
  </si>
  <si>
    <t>N SRA DO ROSARIO 458</t>
  </si>
  <si>
    <t>0029587256</t>
  </si>
  <si>
    <t>Palhoça_Faturas-1.pdf: 93, 202, 313, 442 | Palhoça_Faturas-2.pdf: 54, 186, 311, 421 | Palhoça_Faturas-3.pdf: 87, 216, 341, 471</t>
  </si>
  <si>
    <t>HILZA TEREZINHA PAGANI 280 CENTRO ADMINISTRATIVO</t>
  </si>
  <si>
    <t>0029711976</t>
  </si>
  <si>
    <t>Palhoça_Faturas-1.pdf: 4, 111, 223 | Palhoça_Faturas-2.pdf: 92, 95, 96, 220, 331, 439, 440, 444 | Palhoça_Faturas-3.pdf: 115, 239, 362</t>
  </si>
  <si>
    <t>FRANCISCO MELO CENTRO DE SAUDE FORMIGA</t>
  </si>
  <si>
    <t>0029880433</t>
  </si>
  <si>
    <t>Palhoça_Faturas-1.pdf: 91, 200, 311, 441 | Palhoça_Faturas-2.pdf: 51, 184, 309, 419 | Palhoça_Faturas-3.pdf: 85, 214, 339, 469</t>
  </si>
  <si>
    <t>VALDEMAR VIEIRA 46 SL 01 ESCOLA PROFISSIONAL J ELDORADO</t>
  </si>
  <si>
    <t>0029904901</t>
  </si>
  <si>
    <t>Palhoça_Faturas-1.pdf: 102, 213, 323, 452 | Palhoça_Faturas-2.pdf: 64, 196, 321, 432 | Palhoça_Faturas-3.pdf: 102, 227, 350, 482</t>
  </si>
  <si>
    <t>JOSE MARIA DA LUZ 2759 SL 02 ARQ MUNIC</t>
  </si>
  <si>
    <t>0029931895</t>
  </si>
  <si>
    <t>PREFEITO NELSON MARTINS BEM ESTAR ANIMAL</t>
  </si>
  <si>
    <t>0029955352</t>
  </si>
  <si>
    <t>Palhoça_Faturas-1.pdf: 87, 196, 307, 436 | Palhoça_Faturas-2.pdf: 47, 179, 304, 415 | Palhoça_Faturas-3.pdf: 81, 210, 334, 464</t>
  </si>
  <si>
    <t>PEDRO THEISEN JUNIOR 936 ALMOXARIFADO CENTRAL DA SAUDE</t>
  </si>
  <si>
    <t>0030166736</t>
  </si>
  <si>
    <t>Palhoça_Faturas-1.pdf: 92, 202, 312, 442 | Palhoça_Faturas-2.pdf: 53, 185, 310, 420 | Palhoça_Faturas-3.pdf: 87, 216, 340, 470</t>
  </si>
  <si>
    <t>JOAO BORN 1830 ALMOX CENTRAL DE SAUDE II</t>
  </si>
  <si>
    <t>0031054982</t>
  </si>
  <si>
    <t>DA ASSOCIACAO VESTIARIO</t>
  </si>
  <si>
    <t>0031244226</t>
  </si>
  <si>
    <t>Palhoça_Faturas-1.pdf: 102, 212, 323, 344, 451 | Palhoça_Faturas-2.pdf: 63, 195, 320, 431 | Palhoça_Faturas-3.pdf: 101, 226, 349, 481</t>
  </si>
  <si>
    <t>7 DE SETEMBRO CX 01 GUARDA MUNICIPAL</t>
  </si>
  <si>
    <t>0031363977</t>
  </si>
  <si>
    <t>RAULINO STEINMETZ 1 NAEP - NUCLEO ATENDIMENTO ESPECIALIZADO</t>
  </si>
  <si>
    <t>0031468388</t>
  </si>
  <si>
    <t>Palhoça_Faturas-1.pdf: 15, 123, 234, 363, 474 | Palhoça_Faturas-2.pdf: 105, 231, 342, 460 | Palhoça_Faturas-3.pdf: 126, 249, 376</t>
  </si>
  <si>
    <t>NOSSA SENHORA DAS NEVES C E I - VO LAURA</t>
  </si>
  <si>
    <t>0032185223</t>
  </si>
  <si>
    <t>Palhoça_Faturas-1.pdf: 16, 124, 235, 365, 476 | Palhoça_Faturas-2.pdf: 106, 233, 344, 462 | Palhoça_Faturas-3.pdf: 127, 251, 378</t>
  </si>
  <si>
    <t>RIO GRANDE CENTRO DE SAUDE RIO GRANDE</t>
  </si>
  <si>
    <t>0032470742</t>
  </si>
  <si>
    <t>Palhoça_Faturas-1.pdf: 196, 308, 437 | Palhoça_Faturas-2.pdf: 48, 180, 305, 415 | Palhoça_Faturas-3.pdf: 81, 210, 335, 465</t>
  </si>
  <si>
    <t>FREI DAMIAO R L 1 C E I ULISSES GUIMARAES</t>
  </si>
  <si>
    <t>0040061916</t>
  </si>
  <si>
    <t>Palhoça_Faturas-1.pdf: 23, 131, 242, 371, 482 | Palhoça_Faturas-2.pdf: 112, 239, 350, 468 | Palhoça_Faturas-3.pdf: 134, 258, 384</t>
  </si>
  <si>
    <t>MANOEL DONATO GARCIA CRECHE PROINFANCIA VILA NOVA</t>
  </si>
  <si>
    <t>0040103716</t>
  </si>
  <si>
    <t>Palhoça_Faturas-1.pdf: 25, 133, 244, 374, 485 | Palhoça_Faturas-2.pdf: 115, 241, 352, 471 | Palhoça_Faturas-3.pdf: 136, 260, 387</t>
  </si>
  <si>
    <t>PASCOAL NAZZILI CRECHE BREJARU</t>
  </si>
  <si>
    <t>0040104194</t>
  </si>
  <si>
    <t>Palhoça_Faturas-1.pdf: 21, 129, 240, 370, 481 | Palhoça_Faturas-2.pdf: 111, 238, 349, 467 | Palhoça_Faturas-3.pdf: 132, 256, 383</t>
  </si>
  <si>
    <t>DAS PALMEIRAS 0 UBS FREI DAMIAO</t>
  </si>
  <si>
    <t>0040501533</t>
  </si>
  <si>
    <t>Palhoça_Faturas-1.pdf: 89, 199, 310, 439 | Palhoça_Faturas-2.pdf: 50, 182, 307, 417 | Palhoça_Faturas-3.pdf: 83, 212, 337, 467</t>
  </si>
  <si>
    <t>DAS PALMEIRAS 0 CADI - PROG APADRI INFANTIL</t>
  </si>
  <si>
    <t>0040546979</t>
  </si>
  <si>
    <t>Palhoça_Faturas-1.pdf: 23, 130, 242, 371, 482 | Palhoça_Faturas-2.pdf: 113, 239, 350, 468 | Palhoça_Faturas-3.pdf: 134, 258, 385</t>
  </si>
  <si>
    <t>ATILIO PEDRO PAGANI 280 SECRETARIA DE TRANSITO</t>
  </si>
  <si>
    <t>0040548742</t>
  </si>
  <si>
    <t>Palhoça_Faturas-1.pdf: 3, 112, 222, 351, 462 | Palhoça_Faturas-2.pdf: 91, 219, 330, 443 | Palhoça_Faturas-3.pdf: 114, 238, 361</t>
  </si>
  <si>
    <t>NEREU GUIZONE 0 CEI ROMEU E JULIETA</t>
  </si>
  <si>
    <t>0040588175</t>
  </si>
  <si>
    <t>Palhoça_Faturas-1.pdf: 25, 133, 244, 373, 484 | Palhoça_Faturas-2.pdf: 115, 241, 352, 470 | Palhoça_Faturas-3.pdf: 136, 260, 387</t>
  </si>
  <si>
    <t>VITOR MEIRELLES 0 CENTRO DE SAUDE ELDORADO</t>
  </si>
  <si>
    <t>0040588191</t>
  </si>
  <si>
    <t>Palhoça_Faturas-1.pdf: 89, 338, 339, 438 | Palhoça_Faturas-2.pdf: 49, 181, 306, 416 | Palhoça_Faturas-3.pdf: 83, 212, 336, 466</t>
  </si>
  <si>
    <t>ATILIO PEDRO PAGANI 1500 SL 06 B</t>
  </si>
  <si>
    <t>0040906649</t>
  </si>
  <si>
    <t>Palhoça_Faturas-1.pdf: 4, 112, 223, 352, 463 | Palhoça_Faturas-2.pdf: 92, 220, 331, 444 | Palhoça_Faturas-3.pdf: 115, 238, 361</t>
  </si>
  <si>
    <t>ATILIO PEDRO PAGANI 1500 SL 06 - EPAGRI</t>
  </si>
  <si>
    <t>0040906789</t>
  </si>
  <si>
    <t>Palhoça_Faturas-1.pdf: 7, 115, 226, 355, 466 | Palhoça_Faturas-2.pdf: 97, 223, 334, 447 | Palhoça_Faturas-3.pdf: 118, 242, 366</t>
  </si>
  <si>
    <t>PADRE JOAO BATISTA REUS 0 CENTRO DE CONV DO IDOSO LUZIA A HEIDERSC</t>
  </si>
  <si>
    <t>0041464321</t>
  </si>
  <si>
    <t>Palhoça_Faturas-1.pdf: 98, 208, 319, 447 | Palhoça_Faturas-2.pdf: 59, 191, 316, 427 | Palhoça_Faturas-3.pdf: 95, 222, 346, 477</t>
  </si>
  <si>
    <t>BARAO DO RIO BRANCO 763 CREAS</t>
  </si>
  <si>
    <t>0041747544</t>
  </si>
  <si>
    <t>Palhoça_Faturas-1.pdf: 95, 205, 316, 317 | Palhoça_Faturas-2.pdf: 57, 188, 313, 424 | Palhoça_Faturas-3.pdf: 92, 219, 343, 474</t>
  </si>
  <si>
    <t>ALCINO DOS NAVEGANTES MOREIRA 0 CEI MARICOTA</t>
  </si>
  <si>
    <t>0042029777</t>
  </si>
  <si>
    <t>Palhoça_Faturas-1.pdf: 24, 132, 243, 372, 483 | Palhoça_Faturas-2.pdf: 114, 240, 351, 469 | Palhoça_Faturas-3.pdf: 135, 259, 385</t>
  </si>
  <si>
    <t>N SRA DO ROSARIO CASA MORTUARIA ENSEADA BRITO</t>
  </si>
  <si>
    <t>0042569755</t>
  </si>
  <si>
    <t>Palhoça_Faturas-1.pdf: 11, 119, 230, 359, 470 | Palhoça_Faturas-2.pdf: 101, 227, 338, 451 | Palhoça_Faturas-3.pdf: 122, 246, 371</t>
  </si>
  <si>
    <t>HILZA TEREZINHA PAGANI 280 SL 05 EPAGRI</t>
  </si>
  <si>
    <t>0043168371</t>
  </si>
  <si>
    <t>PRESIDENTE GETULIO VARGAS 0 QUADRA DE ESPORTES</t>
  </si>
  <si>
    <t>0043239589</t>
  </si>
  <si>
    <t>Palhoça_Faturas-1.pdf: 213, 342, 346, 452 | Palhoça_Faturas-2.pdf: 64 | Palhoça_Faturas-3.pdf: 97, 98, 102, 105, 227, 350, 482</t>
  </si>
  <si>
    <t>ATILIO PEDRO PAGANI 300 POSTE CELESC SEMAFARO</t>
  </si>
  <si>
    <t>0043293168</t>
  </si>
  <si>
    <t>ENGIDIA DOVINA MARTINS PAINEL DE COMANDO ELEVATORIA</t>
  </si>
  <si>
    <t>0043483889</t>
  </si>
  <si>
    <t>Palhoça_Faturas-1.pdf: 334</t>
  </si>
  <si>
    <t>SIENA 0 SECRETARIA DA SAUDE</t>
  </si>
  <si>
    <t>0043506579</t>
  </si>
  <si>
    <t>Palhoça_Faturas-1.pdf: 88, 198</t>
  </si>
  <si>
    <t>BARAO DO RIO BRANCO 764 FT- CREAS</t>
  </si>
  <si>
    <t>0043573152</t>
  </si>
  <si>
    <t>ARCANJO CANDIDO DA SILVA 0 FT 1248 POSTO DE SAUDE P FORA</t>
  </si>
  <si>
    <t>0043630954</t>
  </si>
  <si>
    <t>Palhoça_Faturas-1.pdf: 92, 202, 313, 442 | Palhoça_Faturas-2.pdf: 53, 185, 310, 421 | Palhoça_Faturas-3.pdf: 87, 216, 340, 470</t>
  </si>
  <si>
    <t>GERMANO SPRICIGO 863 CRAS C NOVO CX 2</t>
  </si>
  <si>
    <t>0044081806</t>
  </si>
  <si>
    <t>Palhoça_Faturas-1.pdf: 99, 209, 320, 448 | Palhoça_Faturas-2.pdf: 60, 192, 317, 428 | Palhoça_Faturas-3.pdf: 96, 223, 346, 477</t>
  </si>
  <si>
    <t>WILSON ESPINDOLA 0 R L 2 PRACA DOS ADOLECENTES</t>
  </si>
  <si>
    <t>0044419394</t>
  </si>
  <si>
    <t>Palhoça_Faturas-1.pdf: 106, 217, 327, 456 | Palhoça_Faturas-2.pdf: 68, 199, 324, 435 | Palhoça_Faturas-3.pdf: 107, 231, 353, 487</t>
  </si>
  <si>
    <t>WALDEMAR GARCIA 0 CEI - ANJINHO DA GUARDA</t>
  </si>
  <si>
    <t>0044419440</t>
  </si>
  <si>
    <t>Palhoça_Faturas-1.pdf: 26, 134, 245, 374, 485 | Palhoça_Faturas-2.pdf: 116, 242, 353, 471 | Palhoça_Faturas-3.pdf: 137, 261, 387</t>
  </si>
  <si>
    <t>ALEIXO ALVES DE SOUZA 0 QD 37 EE 16 AV L- 1</t>
  </si>
  <si>
    <t>0044419688</t>
  </si>
  <si>
    <t>Palhoça_Faturas-1.pdf: 334 | Palhoça_Faturas-2.pdf: 71</t>
  </si>
  <si>
    <t>NELSON FLORIANO CAMPOS QD 52 L 15 EE 12</t>
  </si>
  <si>
    <t>0044420228</t>
  </si>
  <si>
    <t>Palhoça_Faturas-1.pdf: 333, 334</t>
  </si>
  <si>
    <t>ATILIO PEDRO PAGANI 1500 SL 02</t>
  </si>
  <si>
    <t>0044805707</t>
  </si>
  <si>
    <t>LADISLAU PEDRO MOREIRA 0 QD 15 LT 07- EE 22- ESTACAO ESGOTO SAMAE</t>
  </si>
  <si>
    <t>0044879670</t>
  </si>
  <si>
    <t>Palhoça_Faturas-1.pdf: 332</t>
  </si>
  <si>
    <t>CLAUDIO ESPINDOLA 0 QD 13 LT 06</t>
  </si>
  <si>
    <t>0044879719</t>
  </si>
  <si>
    <t>ALEIXO ALVES DE SOUZA QD 10 L 01 EE 27 ELEVATORIA ESGOTO</t>
  </si>
  <si>
    <t>0044879778</t>
  </si>
  <si>
    <t>VALTER AUGUSTINHO MARTINS SAMU</t>
  </si>
  <si>
    <t>0044880121</t>
  </si>
  <si>
    <t>Palhoça_Faturas-1.pdf: 107, 218, 328, 457 | Palhoça_Faturas-2.pdf: 69, 200, 325, 436 | Palhoça_Faturas-3.pdf: 108, 232, 354, 488</t>
  </si>
  <si>
    <t>MARIA ISOLINA DA SILVA 0 QD 25 LT 13 PRACA DOS IDOSOS</t>
  </si>
  <si>
    <t>0044880172</t>
  </si>
  <si>
    <t>SANTOS DUMONT</t>
  </si>
  <si>
    <t>0045366340</t>
  </si>
  <si>
    <t>Palhoça_Faturas-1.pdf: 86, 195, 307, 436 | Palhoça_Faturas-2.pdf: 47, 179, 304, 414 | Palhoça_Faturas-3.pdf: 80, 209, 333, 463</t>
  </si>
  <si>
    <t>PREFEITO REINOLDO ALVES SEMAFARO</t>
  </si>
  <si>
    <t>0045408957</t>
  </si>
  <si>
    <t>VIDEIRA 0 UBS VILA NOVA</t>
  </si>
  <si>
    <t>0045656080</t>
  </si>
  <si>
    <t>Palhoça_Faturas-1.pdf: 90, 199, 310, 439 | Palhoça_Faturas-2.pdf: 50, 182, 307, 417 | Palhoça_Faturas-3.pdf: 84, 213, 337, 467</t>
  </si>
  <si>
    <t>ROBERTO PARAGO POSTO DE SAUDE</t>
  </si>
  <si>
    <t>0046033388</t>
  </si>
  <si>
    <t>Palhoça_Faturas-1.pdf: 91, 201, 312, 441 | Palhoça_Faturas-2.pdf: 52, 184, 309, 419 | Palhoça_Faturas-3.pdf: 86, 215, 339, 469</t>
  </si>
  <si>
    <t>RIO GRANDE PONTO DE TAXI</t>
  </si>
  <si>
    <t>0046063783</t>
  </si>
  <si>
    <t>Palhoça_Faturas-1.pdf: 9, 117, 228, 357, 468 | Palhoça_Faturas-2.pdf: 99, 225, 336, 449 | Palhoça_Faturas-3.pdf: 120, 244, 369</t>
  </si>
  <si>
    <t>JOSE LUIZ MARTINS ARENA DE ESPORTES</t>
  </si>
  <si>
    <t>0046215397</t>
  </si>
  <si>
    <t>JOAO FRANCISCO BARCELOS JUNIOR QD 02 L 10 ESTACAO DE TRATAMENTO</t>
  </si>
  <si>
    <t>0046981464</t>
  </si>
  <si>
    <t>Palhoça_Faturas-1.pdf: 335 | Palhoça_Faturas-2.pdf: 70</t>
  </si>
  <si>
    <t>RAULINA ANGELICA WENGARTNER 220 SESP</t>
  </si>
  <si>
    <t>0047583918</t>
  </si>
  <si>
    <t>ATILIO PEDRO PAGANI 855 SL 401</t>
  </si>
  <si>
    <t>0047783615</t>
  </si>
  <si>
    <t>Palhoça_Faturas-1.pdf: 78, 193, 303, 432 | Palhoça_Faturas-2.pdf: 45, 177, 302, 412 | Palhoça_Faturas-3.pdf: 78, 207, 331, 461</t>
  </si>
  <si>
    <t>ATILIO PEDRO PAGANI 855 SL 411</t>
  </si>
  <si>
    <t>0047783623</t>
  </si>
  <si>
    <t>Palhoça_Faturas-1.pdf: 78, 193, 303, 427 | Palhoça_Faturas-2.pdf: 44, 176, 301, 412 | Palhoça_Faturas-3.pdf: 78, 207, 331, 461</t>
  </si>
  <si>
    <t>ATILIO PEDRO PAGANI 855 SL 402</t>
  </si>
  <si>
    <t>0047783682</t>
  </si>
  <si>
    <t>Palhoça_Faturas-1.pdf: 78, 192, 304, 432 | Palhoça_Faturas-2.pdf: 44, 176, 301, 411 | Palhoça_Faturas-3.pdf: 77, 206, 330, 460</t>
  </si>
  <si>
    <t>ATILIO PEDRO PAGANI 855 SL 412</t>
  </si>
  <si>
    <t>0047783712</t>
  </si>
  <si>
    <t>Palhoça_Faturas-1.pdf: 79, 192, 305, 433 | Palhoça_Faturas-2.pdf: 44, 176, 301, 411 | Palhoça_Faturas-3.pdf: 77, 206, 330, 460</t>
  </si>
  <si>
    <t>ATILIO PEDRO PAGANI 855 SL 403</t>
  </si>
  <si>
    <t>0047783720</t>
  </si>
  <si>
    <t>Palhoça_Faturas-1.pdf: 84, 192, 304, 433 | Palhoça_Faturas-2.pdf: 43, 175, 300, 411 | Palhoça_Faturas-3.pdf: 77, 206, 330, 460</t>
  </si>
  <si>
    <t>ATILIO PEDRO PAGANI 855 SL 413</t>
  </si>
  <si>
    <t>0047783747</t>
  </si>
  <si>
    <t>Palhoça_Faturas-1.pdf: 84, 191, 304, 433 | Palhoça_Faturas-2.pdf: 43, 175, 300, 410 | Palhoça_Faturas-3.pdf: 76, 205, 329, 459</t>
  </si>
  <si>
    <t>ATILIO PEDRO PAGANI 855 SL 404</t>
  </si>
  <si>
    <t>0047783755</t>
  </si>
  <si>
    <t>Palhoça_Faturas-1.pdf: 83, 191, 303, 434 | Palhoça_Faturas-2.pdf: 43, 173, 300, 410 | Palhoça_Faturas-3.pdf: 76, 205, 329, 459</t>
  </si>
  <si>
    <t>ATILIO PEDRO PAGANI 855 SL 414</t>
  </si>
  <si>
    <t>0047783801</t>
  </si>
  <si>
    <t>Palhoça_Faturas-1.pdf: 83, 191, 302, 432 | Palhoça_Faturas-2.pdf: 42, 175, 299, 410 | Palhoça_Faturas-3.pdf: 76, 205, 329, 459</t>
  </si>
  <si>
    <t>ATILIO PEDRO PAGANI 855 SL 405</t>
  </si>
  <si>
    <t>0047783828</t>
  </si>
  <si>
    <t>Palhoça_Faturas-1.pdf: 83, 190, 302, 431 | Palhoça_Faturas-2.pdf: 42, 174, 299, 409 | Palhoça_Faturas-3.pdf: 75, 204, 328, 458</t>
  </si>
  <si>
    <t>ATILIO PEDRO PAGANI 855 SL 415</t>
  </si>
  <si>
    <t>0047783852</t>
  </si>
  <si>
    <t>Palhoça_Faturas-1.pdf: 82, 190, 302, 431 | Palhoça_Faturas-2.pdf: 42, 174, 299, 409 | Palhoça_Faturas-3.pdf: 75, 204, 328, 458</t>
  </si>
  <si>
    <t>ATILIO PEDRO PAGANI 855 SL 406</t>
  </si>
  <si>
    <t>0047783860</t>
  </si>
  <si>
    <t>Palhoça_Faturas-1.pdf: 82, 190, 301, 431 | Palhoça_Faturas-2.pdf: 41, 174, 298, 409 | Palhoça_Faturas-3.pdf: 75, 204, 328, 458</t>
  </si>
  <si>
    <t>ATILIO PEDRO PAGANI 855 SL 416</t>
  </si>
  <si>
    <t>0047783879</t>
  </si>
  <si>
    <t>Palhoça_Faturas-1.pdf: 82, 189, 301, 430 | Palhoça_Faturas-2.pdf: 41, 173, 298, 408 | Palhoça_Faturas-3.pdf: 74, 203, 327, 457</t>
  </si>
  <si>
    <t>ATILIO PEDRO PAGANI 855 SL 407</t>
  </si>
  <si>
    <t>0047783887</t>
  </si>
  <si>
    <t>Palhoça_Faturas-1.pdf: 81, 189, 301, 430 | Palhoça_Faturas-2.pdf: 41, 173, 298, 408 | Palhoça_Faturas-3.pdf: 74, 203, 327, 457</t>
  </si>
  <si>
    <t>ATILIO PEDRO PAGANI 855 SL 417</t>
  </si>
  <si>
    <t>0047783917</t>
  </si>
  <si>
    <t>Palhoça_Faturas-1.pdf: 81, 189, 300, 430 | Palhoça_Faturas-2.pdf: 40, 172, 297, 408 | Palhoça_Faturas-3.pdf: 74, 203, 327, 457</t>
  </si>
  <si>
    <t>ATILIO PEDRO PAGANI 855 SL 408</t>
  </si>
  <si>
    <t>0047783933</t>
  </si>
  <si>
    <t>Palhoça_Faturas-1.pdf: 81, 188, 300, 429 | Palhoça_Faturas-2.pdf: 40, 172, 297, 407 | Palhoça_Faturas-3.pdf: 73, 201, 326, 456</t>
  </si>
  <si>
    <t>ATILIO PEDRO PAGANI 855 SL 418</t>
  </si>
  <si>
    <t>0047783941</t>
  </si>
  <si>
    <t>Palhoça_Faturas-1.pdf: 80, 188, 300, 429 | Palhoça_Faturas-2.pdf: 40, 172, 297, 407 | Palhoça_Faturas-3.pdf: 73, 202, 326, 456</t>
  </si>
  <si>
    <t>ATILIO PEDRO PAGANI 855 SL 409</t>
  </si>
  <si>
    <t>0047783968</t>
  </si>
  <si>
    <t>Palhoça_Faturas-1.pdf: 80, 188, 299, 429 | Palhoça_Faturas-2.pdf: 39, 171, 296, 407 | Palhoça_Faturas-3.pdf: 73, 202, 326, 456</t>
  </si>
  <si>
    <t>ATILIO PEDRO PAGANI 855 SL 419</t>
  </si>
  <si>
    <t>0047783976</t>
  </si>
  <si>
    <t>Palhoça_Faturas-1.pdf: 80, 187, 299, 428 | Palhoça_Faturas-2.pdf: 39, 171, 296, 406 | Palhoça_Faturas-3.pdf: 72, 202, 325, 455</t>
  </si>
  <si>
    <t>ATILIO PEDRO PAGANI 855 SL 420</t>
  </si>
  <si>
    <t>0047783992</t>
  </si>
  <si>
    <t>Palhoça_Faturas-1.pdf: 79, 187, 299, 428 | Palhoça_Faturas-2.pdf: 39, 171, 296, 406 | Palhoça_Faturas-3.pdf: 72, 201, 325, 455</t>
  </si>
  <si>
    <t>ATILIO PEDRO PAGANI 855 SL 410</t>
  </si>
  <si>
    <t>0047784000</t>
  </si>
  <si>
    <t>Palhoça_Faturas-1.pdf: 79, 187, 298, 428 | Palhoça_Faturas-2.pdf: 38, 170, 295, 406 | Palhoça_Faturas-3.pdf: 72, 201, 325, 455</t>
  </si>
  <si>
    <t>ROBERTO SELL PONTO DE TAXI</t>
  </si>
  <si>
    <t>0048290620</t>
  </si>
  <si>
    <t>GERANIO CREAS - BREJARU</t>
  </si>
  <si>
    <t>0048337481</t>
  </si>
  <si>
    <t>Palhoça_Faturas-1.pdf: 97, 207, 319, 447 | Palhoça_Faturas-2.pdf: 59, 190, 315, 426 | Palhoça_Faturas-3.pdf: 94, 221, 345, 476</t>
  </si>
  <si>
    <t>FREI DAMIAO ESCOLA PROFISSIONAL</t>
  </si>
  <si>
    <t>0048340121</t>
  </si>
  <si>
    <t>Palhoça_Faturas-1.pdf: 103, 213, 324, 344, 452 | Palhoça_Faturas-2.pdf: 64, 196, 321, 432 | Palhoça_Faturas-3.pdf: 102, 227, 350, 482</t>
  </si>
  <si>
    <t>PAULO JOSE DE SOUZA LD N 431 - ESCOLA PROF SAO SEBASTIAO</t>
  </si>
  <si>
    <t>0048364497</t>
  </si>
  <si>
    <t>Palhoça_Faturas-1.pdf: 20, 128, 239, 369, 480 | Palhoça_Faturas-2.pdf: 110, 237, 348, 466 | Palhoça_Faturas-3.pdf: 131, 255, 382</t>
  </si>
  <si>
    <t>DAS AGUIAS 231 SL03 E 04 SECRETARIA DES ECON SUSTENT</t>
  </si>
  <si>
    <t>0048371817</t>
  </si>
  <si>
    <t>Palhoça_Faturas-1.pdf: 108, 219, 329, 458 | Palhoça_Faturas-2.pdf: 201, 202, 326, 437 | Palhoça_Faturas-3.pdf: 109, 233, 355, 490</t>
  </si>
  <si>
    <t>EDGAR SCHEIDT QD 31 L 19 ELEVATORIA</t>
  </si>
  <si>
    <t>0048540937</t>
  </si>
  <si>
    <t>Palhoça_Faturas-1.pdf: 333, 335</t>
  </si>
  <si>
    <t>NERI DOS SANTOS QUADRA DE ESPORTE E CULTURA</t>
  </si>
  <si>
    <t>0048550479</t>
  </si>
  <si>
    <t>0048917020</t>
  </si>
  <si>
    <t>Palhoça_Faturas-2.pdf: 327, 438 | Palhoça_Faturas-3.pdf: 110, 234, 356, 492</t>
  </si>
  <si>
    <t>VILMA SCHMITT CASA LAR ACOLHIMENTOS DE CRIANCAS</t>
  </si>
  <si>
    <t>0048987370</t>
  </si>
  <si>
    <t>Palhoça_Faturas-1.pdf: 96, 206, 317, 445 | Palhoça_Faturas-2.pdf: 57, 189, 314, 425 | Palhoça_Faturas-3.pdf: 93, 220, 344, 475</t>
  </si>
  <si>
    <t>DOS ACORES POSTO DE SAUDE</t>
  </si>
  <si>
    <t>0049195850</t>
  </si>
  <si>
    <t>Palhoça_Faturas-1.pdf: 88, 197, 309, 438 | Palhoça_Faturas-2.pdf: 49, 181, 306, 416 | Palhoça_Faturas-3.pdf: 82, 211, 336, 466</t>
  </si>
  <si>
    <t>JOAO OLAVO DE SOUZA 170 CENTRO DE ESPECIALIDADES ODONTOLOGICAS</t>
  </si>
  <si>
    <t>0049325835</t>
  </si>
  <si>
    <t>Palhoça_Faturas-1.pdf: 85, 194, 306, 435 | Palhoça_Faturas-2.pdf: 46, 178, 303, 413 | Palhoça_Faturas-3.pdf: 79, 208, 332, 462</t>
  </si>
  <si>
    <t>NELSON BALTAZAR SCHUTZ 0 USB MEDIO ARIRIU</t>
  </si>
  <si>
    <t>0049554184</t>
  </si>
  <si>
    <t>Palhoça_Faturas-1.pdf: 92, 201, 312, 441 | Palhoça_Faturas-2.pdf: 53, 185, 310, 420 | Palhoça_Faturas-3.pdf: 86, 215, 340, 470</t>
  </si>
  <si>
    <t>PRES JOAO GOULART PONTO DE TAXI</t>
  </si>
  <si>
    <t>0049578458</t>
  </si>
  <si>
    <t>DOS ACORES CEI SAO SEBASTIAO</t>
  </si>
  <si>
    <t>0049634943</t>
  </si>
  <si>
    <t>Palhoça_Faturas-1.pdf: 20, 128, 239, 368, 479 | Palhoça_Faturas-2.pdf: 110, 236, 347, 465 | Palhoça_Faturas-3.pdf: 131, 255, 382</t>
  </si>
  <si>
    <t>BR 282 SEMAFARO - ROTULA DA BR 282</t>
  </si>
  <si>
    <t>0049874685</t>
  </si>
  <si>
    <t>ARIENA 111 CAPS II</t>
  </si>
  <si>
    <t>0050361080</t>
  </si>
  <si>
    <t>Palhoça_Faturas-1.pdf: 84, 193, 305, 434 | Palhoça_Faturas-2.pdf: 45, 177, 302, 412 | Palhoça_Faturas-3.pdf: 78, 207, 331, 461</t>
  </si>
  <si>
    <t>PREFEITO REINOLDO ALVES 41 SL 101 A</t>
  </si>
  <si>
    <t>0050506240</t>
  </si>
  <si>
    <t>Palhoça_Faturas-1.pdf: 97, 207, 318, 446 | Palhoça_Faturas-2.pdf: 58, 190, 315, 426 | Palhoça_Faturas-3.pdf: 94, 221, 345, 476</t>
  </si>
  <si>
    <t>ATILIO PEDRO PAGANI 855 PROCON - PALHOCA</t>
  </si>
  <si>
    <t>0050678482</t>
  </si>
  <si>
    <t>BIBI FERREIRA ELEVATORIA ESGOTO - EE06JDIII</t>
  </si>
  <si>
    <t>0051664825</t>
  </si>
  <si>
    <t>Palhoça_Faturas-1.pdf: 331</t>
  </si>
  <si>
    <t>PREFEITO REINOLDO ALVES 41 SL 101</t>
  </si>
  <si>
    <t>0051692659</t>
  </si>
  <si>
    <t>Palhoça_Faturas-1.pdf: 97, 207, 318, 447 | Palhoça_Faturas-2.pdf: 58, 190, 315, 426 | Palhoça_Faturas-3.pdf: 94, 221, 345, 476</t>
  </si>
  <si>
    <t>JOAO MANOEL DE JESUS 0 ASSITENCIA SOCIAL</t>
  </si>
  <si>
    <t>0052412064</t>
  </si>
  <si>
    <t>Palhoça_Faturas-1.pdf: 98, 208, 320, 448 | Palhoça_Faturas-2.pdf: 60, 191, 316, 427 | Palhoça_Faturas-3.pdf: 95, 223, 346, 477</t>
  </si>
  <si>
    <t>OSMAR SOTERO MARTINS 65 GALPAO 1</t>
  </si>
  <si>
    <t>0052948703</t>
  </si>
  <si>
    <t>Palhoça_Faturas-1.pdf: 14, 122, 233, 362, 473 | Palhoça_Faturas-2.pdf: 104, 230, 341, 459</t>
  </si>
  <si>
    <t>0053345085</t>
  </si>
  <si>
    <t>JOSE COSME PAMPLONA 0 ESCOLA GUILHERME WIERTHORN FILHO</t>
  </si>
  <si>
    <t>0054025807</t>
  </si>
  <si>
    <t>Palhoça_Faturas-1.pdf: 33, 142, 252, 382, 492 | Palhoça_Faturas-2.pdf: 124, 250, 361, 479 | Palhoça_Faturas-3.pdf: 145, 269, 395</t>
  </si>
  <si>
    <t>HENRIQUE JOSE DA SILVA 181 CEI MARIA JOSE DE MEDEIROS</t>
  </si>
  <si>
    <t>0054042051</t>
  </si>
  <si>
    <t>Palhoça_Faturas-1.pdf: 26, 134, 245, 375, 486 | Palhoça_Faturas-2.pdf: 116, 242, 353, 472 | Palhoça_Faturas-3.pdf: 137, 261, 388</t>
  </si>
  <si>
    <t>BERNARDO SCHEIDT 3057 SL 03</t>
  </si>
  <si>
    <t>0054043139</t>
  </si>
  <si>
    <t>BOM JESUS DE NAZARE SEMAFARO - NO VIADUTO BR 101</t>
  </si>
  <si>
    <t>0054916299</t>
  </si>
  <si>
    <t>STO ANJO DA GUARDA UNIDADE BASICA DE SAUDE</t>
  </si>
  <si>
    <t>0055367248</t>
  </si>
  <si>
    <t>Palhoça_Faturas-1.pdf: 90, 200, 311, 440 | Palhoça_Faturas-2.pdf: 51, 183, 308, 418 | Palhoça_Faturas-3.pdf: 85, 214, 338, 468</t>
  </si>
  <si>
    <t>7 DE SETEMBRO FONTE CHAFARIZ LARGO DA PRACA</t>
  </si>
  <si>
    <t>0055371890</t>
  </si>
  <si>
    <t>CAETANO SILVEIRA DE MATTOS 2605 BOX 02</t>
  </si>
  <si>
    <t>0055582050</t>
  </si>
  <si>
    <t>Palhoça_Faturas-1.pdf: 2, 110, 221, 350, 461 | Palhoça_Faturas-2.pdf: 90, 218, 329, 442 | Palhoça_Faturas-3.pdf: 113, 236, 359</t>
  </si>
  <si>
    <t>CAETANO SILVEIRA DE MATTOS 2605 BOX 06</t>
  </si>
  <si>
    <t>0055582068</t>
  </si>
  <si>
    <t>ANICETO ZACCHI PONTO 01 CAMERA MONITORAMENTO</t>
  </si>
  <si>
    <t>0055591911</t>
  </si>
  <si>
    <t>Palhoça_Faturas-1.pdf: 41, 150, 260, 390 | Palhoça_Faturas-2.pdf: 1, 133, 257, 368, 490 | Palhoça_Faturas-3.pdf: 30, 155, 279, 406</t>
  </si>
  <si>
    <t>AUGUSTO WESTPHAL PONTO 46 CAMERA DE MONITORAMENTO</t>
  </si>
  <si>
    <t>0055591920</t>
  </si>
  <si>
    <t>Palhoça_Faturas-1.pdf: 42, 151, 262, 391 | Palhoça_Faturas-2.pdf: 2, 134, 259, 370, 492 | Palhoça_Faturas-3.pdf: 32, 156, 281, 408</t>
  </si>
  <si>
    <t>VINICIUS DE MORAIS PONTO 47 CAMERA DE MONITORAMENTO</t>
  </si>
  <si>
    <t>0055591938</t>
  </si>
  <si>
    <t>Palhoça_Faturas-1.pdf: 42, 151, 262, 391 | Palhoça_Faturas-2.pdf: 2, 134, 259, 370, 492 | Palhoça_Faturas-3.pdf: 32, 157, 281, 408</t>
  </si>
  <si>
    <t>ANICETO ZACCHI PONTO 49 CAMERA DE MONITORAMENTO</t>
  </si>
  <si>
    <t>0055591946</t>
  </si>
  <si>
    <t>Palhoça_Faturas-1.pdf: 41, 150, 261, 390 | Palhoça_Faturas-2.pdf: 1, 133, 258, 369, 491 | Palhoça_Faturas-3.pdf: 31, 156, 280, 407</t>
  </si>
  <si>
    <t>ANTONIO VIEIRA PONTO 53 CAMERA MONITORAMENTO</t>
  </si>
  <si>
    <t>0055591954</t>
  </si>
  <si>
    <t>Palhoça_Faturas-1.pdf: 43, 152, 263, 392 | Palhoça_Faturas-2.pdf: 3, 135, 260, 371, 493 | Palhoça_Faturas-3.pdf: 33, 158, 282, 409</t>
  </si>
  <si>
    <t>ANICETO ZACCHI PONTO 70 CAMERA DE MONITORAMENTO</t>
  </si>
  <si>
    <t>0055591962</t>
  </si>
  <si>
    <t>Palhoça_Faturas-1.pdf: 40, 149, 260, 389, 500 | Palhoça_Faturas-2.pdf: 132, 257, 368, 490 | Palhoça_Faturas-3.pdf: 30, 154, 278, 405</t>
  </si>
  <si>
    <t>PAPA PAULO VI PONTO 82 CAMERA DE MONITORAMENTO</t>
  </si>
  <si>
    <t>0055591970</t>
  </si>
  <si>
    <t>Palhoça_Faturas-1.pdf: 43, 152, 263, 392 | Palhoça_Faturas-2.pdf: 3, 135, 260, 371, 493 | Palhoça_Faturas-3.pdf: 33, 157, 282, 409</t>
  </si>
  <si>
    <t>BARAO DO RIO BRANCO PONTO 14 CAMERA MONITORAMENTO</t>
  </si>
  <si>
    <t>0055685177</t>
  </si>
  <si>
    <t>Palhoça_Faturas-1.pdf: 35, 144, 255, 384, 495 | Palhoça_Faturas-2.pdf: 127, 252, 363, 484 | Palhoça_Faturas-3.pdf: 24, 148, 272, 399</t>
  </si>
  <si>
    <t>ELZA LUCHI PONTO 74 CAMERA DE MONITORAMENTO</t>
  </si>
  <si>
    <t>0055685355</t>
  </si>
  <si>
    <t>PREF ARI WAGNER PONTO 75 CAMERA DE MONITORAMENTO</t>
  </si>
  <si>
    <t>0055685436</t>
  </si>
  <si>
    <t>Palhoça_Faturas-1.pdf: 35, 144, 255, 384, 495 | Palhoça_Faturas-2.pdf: 127, 252, 363, 483 | Palhoça_Faturas-3.pdf: 23, 147, 271, 398</t>
  </si>
  <si>
    <t>PREFEITO NELSON MARTINS PONTO 77 CAMERA DE MONITORAMENTO</t>
  </si>
  <si>
    <t>0055685517</t>
  </si>
  <si>
    <t>VEREADOR OSVALDO DE OLIVEIRA PONTO 78 CAMERA DE MONITORAMENTO</t>
  </si>
  <si>
    <t>0055685886</t>
  </si>
  <si>
    <t>Palhoça_Faturas-1.pdf: 44, 153, 264, 393 | Palhoça_Faturas-2.pdf: 4, 136, 261, 372, 494 | Palhoça_Faturas-3.pdf: 34, 159, 283, 410</t>
  </si>
  <si>
    <t>CAP AUGUSTO VIDAL PONTO 79 CAMERA DE MONITORAMENTO</t>
  </si>
  <si>
    <t>0055686750</t>
  </si>
  <si>
    <t>Palhoça_Faturas-1.pdf: 36, 145, 256, 385, 496 | Palhoça_Faturas-2.pdf: 128, 253, 364, 484 | Palhoça_Faturas-3.pdf: 24, 148, 272, 399</t>
  </si>
  <si>
    <t>7 DE SETEMBRO PONTO 80 CAMERA DE MONITORAMENTO</t>
  </si>
  <si>
    <t>0055686769</t>
  </si>
  <si>
    <t>Palhoça_Faturas-1.pdf: 39, 148, 259, 388, 499 | Palhoça_Faturas-2.pdf: 131, 256, 367, 488 | Palhoça_Faturas-3.pdf: 28, 153, 277, 404</t>
  </si>
  <si>
    <t>XV DE NOVEMBRO PONTO 83 CAMERA DE MONITORAMENTO</t>
  </si>
  <si>
    <t>0055686777</t>
  </si>
  <si>
    <t>Palhoça_Faturas-1.pdf: 39, 148, 259, 388, 499 | Palhoça_Faturas-2.pdf: 131, 256, 367, 489 | Palhoça_Faturas-3.pdf: 29, 153, 278, 405</t>
  </si>
  <si>
    <t>PREFEITO OTAVIO ZACCHI PONTO 87 CAMERA DE MONITORAMENTO</t>
  </si>
  <si>
    <t>0055686785</t>
  </si>
  <si>
    <t>Palhoça_Faturas-1.pdf: 44, 153, 264, 393 | Palhoça_Faturas-2.pdf: 4, 136, 261, 372, 494 | Palhoça_Faturas-3.pdf: 34, 160, 284, 411</t>
  </si>
  <si>
    <t>DAS TIPUANAS PONTO 92 CAMERA DE MONITORAMENTO</t>
  </si>
  <si>
    <t>0055773920</t>
  </si>
  <si>
    <t>Palhoça_Faturas-1.pdf: 50, 159, 270, 399 | Palhoça_Faturas-2.pdf: 10, 142, 267, 378 | Palhoça_Faturas-3.pdf: 1, 41, 167, 291, 418</t>
  </si>
  <si>
    <t>JOAO ROBERTO CORDEIRO MATOSO PONTO 91 CAMERA DE MONITORAMENTO</t>
  </si>
  <si>
    <t>0055773939</t>
  </si>
  <si>
    <t>ATILIO PEDRO PAGANI PONTO 66 CAMERA DE MONITORAMENTO</t>
  </si>
  <si>
    <t>0055773947</t>
  </si>
  <si>
    <t>PADRE JOAO BATISTA REUS 915 PONTO 10 CAMERA DE MONITORAMENTO</t>
  </si>
  <si>
    <t>0055774099</t>
  </si>
  <si>
    <t>Palhoça_Faturas-1.pdf: 49, 158, 269, 398 | Palhoça_Faturas-2.pdf: 9, 141, 266, 377, 500 | Palhoça_Faturas-3.pdf: 40, 166, 290, 417</t>
  </si>
  <si>
    <t>ATILIO PEDRO PAGANI PONTO 41 CAMERA DE MONITORAMENTO</t>
  </si>
  <si>
    <t>0055774153</t>
  </si>
  <si>
    <t>Palhoça_Faturas-1.pdf: 37, 145, 257, 385, 497 | Palhoça_Faturas-2.pdf: 129, 253, 364, 485 | Palhoça_Faturas-3.pdf: 25, 149, 273, 401</t>
  </si>
  <si>
    <t>PREFEITO REINOLDO ALVES PONTO 90 CAMERA DE MONITORAMENTO</t>
  </si>
  <si>
    <t>0055774161</t>
  </si>
  <si>
    <t>Palhoça_Faturas-1.pdf: 46, 155, 266, 395 | Palhoça_Faturas-2.pdf: 6, 138, 263, 374, 497 | Palhoça_Faturas-3.pdf: 37, 162, 286, 413</t>
  </si>
  <si>
    <t>RAULINO PAGANI PONTO 58 CAMERA DE MONITORAMENTO</t>
  </si>
  <si>
    <t>0055774170</t>
  </si>
  <si>
    <t>Palhoça_Faturas-1.pdf: 46, 155, 266, 395 | Palhoça_Faturas-2.pdf: 6, 138, 263, 374, 496 | Palhoça_Faturas-3.pdf: 36, 162, 286, 413</t>
  </si>
  <si>
    <t>CAETANO SILVEIRA PONTO 64 CAMERA DE MONITORAMENTO</t>
  </si>
  <si>
    <t>0055774188</t>
  </si>
  <si>
    <t>Palhoça_Faturas-1.pdf: 52, 161, 272, 401 | Palhoça_Faturas-2.pdf: 11, 144, 269, 379 | Palhoça_Faturas-3.pdf: 3, 43, 170, 294, 421</t>
  </si>
  <si>
    <t>PREFEITO REINOLDO ALVES PONTO 67 CAMERA DE MONITORAMENTO</t>
  </si>
  <si>
    <t>0055774196</t>
  </si>
  <si>
    <t>BRAULIO FELIPE PONTO 33 CAMERA DE MONITORAMENTO</t>
  </si>
  <si>
    <t>0055795096</t>
  </si>
  <si>
    <t>Palhoça_Faturas-1.pdf: 56, 165, 276, 405 | Palhoça_Faturas-2.pdf: 16, 148, 273, 384 | Palhoça_Faturas-3.pdf: 7, 47, 175, 299, 426</t>
  </si>
  <si>
    <t>N SRA DOS NAVEGANTES 208 FR PONTO 30 CAMERA DE MONITORAMENTO</t>
  </si>
  <si>
    <t>0055795100</t>
  </si>
  <si>
    <t>Palhoça_Faturas-1.pdf: 53, 162, 273, 402 | Palhoça_Faturas-2.pdf: 13, 145, 270, 381 | Palhoça_Faturas-3.pdf: 4, 44, 171, 295, 422</t>
  </si>
  <si>
    <t>JOSE LUIZ MARTINS PONTO 31 CAMERA DE MONITORAMENTO</t>
  </si>
  <si>
    <t>0055795118</t>
  </si>
  <si>
    <t>SAMUEL RAMON DOS SANTOS ROSA PONTO 61 CAMERA DE MONITORAMENTO</t>
  </si>
  <si>
    <t>0055795126</t>
  </si>
  <si>
    <t>Palhoça_Faturas-1.pdf: 66, 175, 286, 415 | Palhoça_Faturas-2.pdf: 26, 158, 283, 394 | Palhoça_Faturas-3.pdf: 17, 57, 187, 311, 438</t>
  </si>
  <si>
    <t>JACOB WEINGARTNER PONTO 42 CAMERA DE MONITORAMENTO</t>
  </si>
  <si>
    <t>0055795134</t>
  </si>
  <si>
    <t>Palhoça_Faturas-1.pdf: 45, 154, 265, 394 | Palhoça_Faturas-2.pdf: 5, 137, 262, 373, 495 | Palhoça_Faturas-3.pdf: 35, 160, 284, 411</t>
  </si>
  <si>
    <t>RIO GRANDE PONTO 29 CAMERA DE MONITORAMENTO</t>
  </si>
  <si>
    <t>0055795142</t>
  </si>
  <si>
    <t>Palhoça_Faturas-1.pdf: 45, 154, 265, 394 | Palhoça_Faturas-2.pdf: 5, 137, 262, 373, 495 | Palhoça_Faturas-3.pdf: 35, 161, 285, 412</t>
  </si>
  <si>
    <t>THOMAS DOMINGOS DA SILVEIRA PONTO 40 CAMERA DE MONITORAMENTO</t>
  </si>
  <si>
    <t>0055795363</t>
  </si>
  <si>
    <t>JORGE MARCELINO COELHO PONTO 38 CAMERA DE MONITORAMENTO</t>
  </si>
  <si>
    <t>0055795371</t>
  </si>
  <si>
    <t>Palhoça_Faturas-1.pdf: 58, 167, 278, 407 | Palhoça_Faturas-2.pdf: 18, 150, 275, 386 | Palhoça_Faturas-3.pdf: 10, 50, 178, 302, 429</t>
  </si>
  <si>
    <t>NELSON FLORIANO CAMPOS PONTO 27 CAMERA DE MONITORAMENTO</t>
  </si>
  <si>
    <t>0055795380</t>
  </si>
  <si>
    <t>Palhoça_Faturas-1.pdf: 57, 166, 277, 406 | Palhoça_Faturas-2.pdf: 17, 149, 274, 385 | Palhoça_Faturas-3.pdf: 8, 48, 176, 301, 428</t>
  </si>
  <si>
    <t>PAULO ROBERTO VIDAL PONTO 34 CAMERA DE MONITORAMENTO</t>
  </si>
  <si>
    <t>0055795398</t>
  </si>
  <si>
    <t>Palhoça_Faturas-1.pdf: 71, 180, 291, 420 | Palhoça_Faturas-2.pdf: 31, 163, 288, 399 | Palhoça_Faturas-3.pdf: 22, 62, 194, 318, 445</t>
  </si>
  <si>
    <t>JOSE FRANCISCO DA SILVEIRA PONTO 26 CAMERA DE MONITORAMENTO</t>
  </si>
  <si>
    <t>0055795401</t>
  </si>
  <si>
    <t>Palhoça_Faturas-1.pdf: 54, 163, 274, 403 | Palhoça_Faturas-2.pdf: 14, 146, 271, 382 | Palhoça_Faturas-3.pdf: 6, 46, 173, 297, 424</t>
  </si>
  <si>
    <t>NELSON FLORIANO CAMPOS PONTO 28 CAMERA DE MONITORAMENTO</t>
  </si>
  <si>
    <t>0055795410</t>
  </si>
  <si>
    <t>Palhoça_Faturas-1.pdf: 56, 165, 276, 405 | Palhoça_Faturas-2.pdf: 16, 148, 273, 384 | Palhoça_Faturas-3.pdf: 8, 48, 176, 300, 427</t>
  </si>
  <si>
    <t>ALCINO DOS NAVEGANTES MOREIRA PONTO 32 CAMERA DE MONITORAMENTO</t>
  </si>
  <si>
    <t>0055795550</t>
  </si>
  <si>
    <t>Palhoça_Faturas-1.pdf: 52, 161, 272, 401 | Palhoça_Faturas-2.pdf: 12, 144, 269, 380 | Palhoça_Faturas-3.pdf: 4, 44, 170, 294, 421</t>
  </si>
  <si>
    <t>BOM JESUS DE NAZARE PONTO 39 CAMERA DE MONITORAMENTO</t>
  </si>
  <si>
    <t>0055795576</t>
  </si>
  <si>
    <t>Palhoça_Faturas-1.pdf: 58, 167, 278, 406 | Palhoça_Faturas-2.pdf: 17, 149, 274, 385 | Palhoça_Faturas-3.pdf: 9, 49, 178, 302, 429</t>
  </si>
  <si>
    <t>SAO CRISTOVAO PONTO 37 CAMERA DE MONITORAMENTO</t>
  </si>
  <si>
    <t>0055795584</t>
  </si>
  <si>
    <t>Palhoça_Faturas-1.pdf: 70, 179, 290, 419 | Palhoça_Faturas-2.pdf: 30, 162, 287, 398 | Palhoça_Faturas-3.pdf: 21, 61, 193, 317, 444</t>
  </si>
  <si>
    <t>SAO CRISTOVAO PONTO 36 CAMERA DE MONITORAMENTO</t>
  </si>
  <si>
    <t>0055795592</t>
  </si>
  <si>
    <t>Palhoça_Faturas-1.pdf: 69, 178, 289, 418 | Palhoça_Faturas-2.pdf: 29, 161, 286, 397 | Palhoça_Faturas-3.pdf: 21, 61, 192, 317, 444</t>
  </si>
  <si>
    <t>DO CAPIM 273 PONTO 19 CAMERA MONITORAMENTO</t>
  </si>
  <si>
    <t>0055869928</t>
  </si>
  <si>
    <t>Palhoça_Faturas-1.pdf: 61, 170, 281, 410 | Palhoça_Faturas-2.pdf: 21, 153, 278, 389 | Palhoça_Faturas-3.pdf: 13, 53, 182, 306, 433</t>
  </si>
  <si>
    <t>ADERBAL RAMOS DA SILVA 1048 PONTO 18 CAMERA MONITORAMENTO</t>
  </si>
  <si>
    <t>0055870012</t>
  </si>
  <si>
    <t>Palhoça_Faturas-1.pdf: 66, 175, 286, 415 | Palhoça_Faturas-2.pdf: 26, 158, 283, 394 | Palhoça_Faturas-3.pdf: 17, 57, 188, 312, 439</t>
  </si>
  <si>
    <t>CAETANO SILVEIRA DE MATTOS 2605 BOX 07</t>
  </si>
  <si>
    <t>0055914885</t>
  </si>
  <si>
    <t>Palhoça_Faturas-1.pdf: 2, 110, 221, 350, 461 | Palhoça_Faturas-2.pdf: 90, 218, 329, 442 | Palhoça_Faturas-3.pdf: 113, 237, 360</t>
  </si>
  <si>
    <t>ARCANJO CANDIDO DA SILVA PONTO 23 CAMERA DE MONITORAMENTO</t>
  </si>
  <si>
    <t>0055929211</t>
  </si>
  <si>
    <t>Palhoça_Faturas-1.pdf: 59, 168, 279, 408 | Palhoça_Faturas-2.pdf: 19, 151, 276, 387 | Palhoça_Faturas-3.pdf: 11, 51, 180, 304, 431</t>
  </si>
  <si>
    <t>JOAO CARLOS FERREIRA PONTO 24 CAMERA DE MONITORAMENTO</t>
  </si>
  <si>
    <t>0055929220</t>
  </si>
  <si>
    <t>Palhoça_Faturas-1.pdf: 55, 164, 275, 404 | Palhoça_Faturas-2.pdf: 15, 147, 272, 383 | Palhoça_Faturas-3.pdf: 7, 47, 174, 298, 425</t>
  </si>
  <si>
    <t>VALDEMIRO JOAO DE ESPINDOLA PONTO 13 CAMERA DE MONITORAMENTO</t>
  </si>
  <si>
    <t>0055929238</t>
  </si>
  <si>
    <t>Palhoça_Faturas-1.pdf: 54, 163, 274, 403 | Palhoça_Faturas-2.pdf: 14, 146, 271, 382 | Palhoça_Faturas-3.pdf: 6, 46, 172, 297, 424</t>
  </si>
  <si>
    <t>JORGE MARCELINO COELHO PONTO 25 CAMERA DE MONITORAMENTO</t>
  </si>
  <si>
    <t>0055929246</t>
  </si>
  <si>
    <t>THOMAS DOMINGOS DA SILVEIRA PONTO 12 CAMERA DE MONITORAMENTO</t>
  </si>
  <si>
    <t>0055929254</t>
  </si>
  <si>
    <t>Palhoça_Faturas-1.pdf: 48, 157, 268, 397 | Palhoça_Faturas-2.pdf: 8, 140, 265, 376, 499 | Palhoça_Faturas-3.pdf: 39, 165, 289, 416</t>
  </si>
  <si>
    <t>GERAL JOAO BERNARDINO DA ROSA PONTO 3 CAMERA DE MONITORAMENTO</t>
  </si>
  <si>
    <t>0055929262</t>
  </si>
  <si>
    <t>Palhoça_Faturas-1.pdf: 47, 156, 267, 396 | Palhoça_Faturas-2.pdf: 7, 139, 264, 375, 498 | Palhoça_Faturas-3.pdf: 38, 163, 287, 414</t>
  </si>
  <si>
    <t>BEIRA RIO MAR PONTO 6 CAMERA DE MONITORAMENTO</t>
  </si>
  <si>
    <t>0055929270</t>
  </si>
  <si>
    <t>Palhoça_Faturas-1.pdf: 40, 149, 261, 389, 500 | Palhoça_Faturas-2.pdf: 132, 258, 369, 490 | Palhoça_Faturas-3.pdf: 30, 155, 279, 406</t>
  </si>
  <si>
    <t>ARCANJO CANDIDO DA SILVA PONTO 21 CAMERA DE MONITORAMENTO</t>
  </si>
  <si>
    <t>0055929289</t>
  </si>
  <si>
    <t>Palhoça_Faturas-1.pdf: 60, 169, 280, 409 | Palhoça_Faturas-2.pdf: 20, 152, 277, 388 | Palhoça_Faturas-3.pdf: 12, 52, 181, 305, 432</t>
  </si>
  <si>
    <t>BOM JESUS DE NAZARE PONTO 99 CAMERA DE MONITORAMENTO</t>
  </si>
  <si>
    <t>0055954399</t>
  </si>
  <si>
    <t>Palhoça_Faturas-1.pdf: 58, 167, 278, 407 | Palhoça_Faturas-2.pdf: 18, 150, 275, 386 | Palhoça_Faturas-3.pdf: 9, 49, 178, 302, 429</t>
  </si>
  <si>
    <t>DAS TIPUANAS PONTO 100 CAMERA DE MOBNITORAMENTO</t>
  </si>
  <si>
    <t>0055954402</t>
  </si>
  <si>
    <t>Palhoça_Faturas-1.pdf: 49, 157, 268, 397 | Palhoça_Faturas-2.pdf: 8, 140, 265, 376, 499 | Palhoça_Faturas-3.pdf: 39, 165, 290, 416</t>
  </si>
  <si>
    <t>DO PAPAGAIO PONTO 104 CAMERA DE MONITORAMENTO</t>
  </si>
  <si>
    <t>0055954410</t>
  </si>
  <si>
    <t>Palhoça_Faturas-1.pdf: 64, 173, 284, 413 | Palhoça_Faturas-2.pdf: 24, 156, 281, 392 | Palhoça_Faturas-3.pdf: 16, 56, 186, 310, 437</t>
  </si>
  <si>
    <t>700 PONTO 105 CAMERA DE MONITORAMENTO</t>
  </si>
  <si>
    <t>0055954429</t>
  </si>
  <si>
    <t>Palhoça_Faturas-1.pdf: 62, 171, 282, 411 | Palhoça_Faturas-2.pdf: 22, 154, 279, 390 | Palhoça_Faturas-3.pdf: 13, 53, 183, 307, 434</t>
  </si>
  <si>
    <t>DO PAPAGAIO PONTO 106 CAMERA DE MONITORAMENTO</t>
  </si>
  <si>
    <t>0055954437</t>
  </si>
  <si>
    <t>Palhoça_Faturas-1.pdf: 62, 171, 282, 411 | Palhoça_Faturas-2.pdf: 22, 154, 279, 390 | Palhoça_Faturas-3.pdf: 14, 54, 183, 307, 434</t>
  </si>
  <si>
    <t>NOVA AURORA PONTO 107 CAMERA DE MONITORAMENTO</t>
  </si>
  <si>
    <t>0055954445</t>
  </si>
  <si>
    <t>Palhoça_Faturas-1.pdf: 62, 171, 282, 411 | Palhoça_Faturas-2.pdf: 22, 154, 279, 390 | Palhoça_Faturas-3.pdf: 13, 53, 182, 307, 434</t>
  </si>
  <si>
    <t>TUCUMA PONTO 109 CAMERA DE MONITORAMENTO</t>
  </si>
  <si>
    <t>0055954453</t>
  </si>
  <si>
    <t>DAS FLORES PONTO 110 CAMERA DE MONITORAMENTO</t>
  </si>
  <si>
    <t>0055954461</t>
  </si>
  <si>
    <t>Palhoça_Faturas-1.pdf: 65, 174, 285, 414 | Palhoça_Faturas-2.pdf: 25, 157, 282, 393 | Palhoça_Faturas-3.pdf: 17, 57, 187, 311, 438</t>
  </si>
  <si>
    <t>ARI AMANCIO DA SILVEIRA PONTO 112 CAMERA DE MONITORAMENTO</t>
  </si>
  <si>
    <t>0055954470</t>
  </si>
  <si>
    <t>Palhoça_Faturas-1.pdf: 57, 166, 277, 407 | Palhoça_Faturas-2.pdf: 18, 150, 275, 386 | Palhoça_Faturas-3.pdf: 9, 49, 177, 302, 429</t>
  </si>
  <si>
    <t>ANNITA LABES HEIDRICH PINHEIRO PONTO 114 CAMERA DE MONITORAMENTO</t>
  </si>
  <si>
    <t>0055954488</t>
  </si>
  <si>
    <t>BEIRA RIO PONTO 84 CAMERA DE MONITORAMENTO</t>
  </si>
  <si>
    <t>0055954496</t>
  </si>
  <si>
    <t>Palhoça_Faturas-1.pdf: 65, 174, 285, 414 | Palhoça_Faturas-2.pdf: 25, 157, 282, 393 | Palhoça_Faturas-3.pdf: 16, 56, 186, 311, 438</t>
  </si>
  <si>
    <t>JOSE LUIZ MARTINS PONTO 69 CAMERA DE MONITORAMENTO</t>
  </si>
  <si>
    <t>0055954500</t>
  </si>
  <si>
    <t>Palhoça_Faturas-1.pdf: 53, 162, 273, 402 | Palhoça_Faturas-2.pdf: 13, 145, 270, 381 | Palhoça_Faturas-3.pdf: 5, 45, 171, 295, 422</t>
  </si>
  <si>
    <t>BOM JESUS DE NAZARE PONTO 68 CAMERA DE MONITORAMENTO</t>
  </si>
  <si>
    <t>0055954518</t>
  </si>
  <si>
    <t>Palhoça_Faturas-1.pdf: 57, 166, 277, 406 | Palhoça_Faturas-2.pdf: 17, 149, 274, 385 | Palhoça_Faturas-3.pdf: 9, 49, 177, 301, 428</t>
  </si>
  <si>
    <t>N SRA DO ROSARIO PONTO 20 CAMERA DE MONITORAMENTO</t>
  </si>
  <si>
    <t>0055954526</t>
  </si>
  <si>
    <t>Palhoça_Faturas-1.pdf: 65, 174, 285, 414 | Palhoça_Faturas-2.pdf: 25, 157, 282, 393 | Palhoça_Faturas-3.pdf: 16, 56, 186, 310, 437</t>
  </si>
  <si>
    <t>ARCANJO CANDIDO DA SILVA PONTO 62 CAMERA DE MONITORAMENTO</t>
  </si>
  <si>
    <t>0055954542</t>
  </si>
  <si>
    <t>Palhoça_Faturas-1.pdf: 61, 170, 281, 410 | Palhoça_Faturas-2.pdf: 21, 153, 278, 389 | Palhoça_Faturas-3.pdf: 12, 52, 181, 305, 433</t>
  </si>
  <si>
    <t>ADERBAL RAMOS DA SILVA PONTO 103 CAAMERA DE MONITORAMENTO</t>
  </si>
  <si>
    <t>0055954550</t>
  </si>
  <si>
    <t>Palhoça_Faturas-1.pdf: 66, 175, 286, 415 | Palhoça_Faturas-2.pdf: 26, 158, 283, 394 | Palhoça_Faturas-3.pdf: 18, 58, 187, 312, 439</t>
  </si>
  <si>
    <t>MANOEL MARTINS PONTO 60 CAMERA DE MONITORAMENTO</t>
  </si>
  <si>
    <t>0055954569</t>
  </si>
  <si>
    <t>Palhoça_Faturas-1.pdf: 66, 175, 286, 415 | Palhoça_Faturas-2.pdf: 26, 158, 283, 394 | Palhoça_Faturas-3.pdf: 18, 58, 188, 312, 439</t>
  </si>
  <si>
    <t>ADERBAL RAMOS DA SILVA PONTO 17 CAMERA DE MONITORAMENTO</t>
  </si>
  <si>
    <t>0055954577</t>
  </si>
  <si>
    <t>Palhoça_Faturas-1.pdf: 68, 176, 288, 416 | Palhoça_Faturas-2.pdf: 27, 159, 284, 396 | Palhoça_Faturas-3.pdf: 19, 59, 190, 315, 441</t>
  </si>
  <si>
    <t>INES MARIA DE JESUS PONTO 101 CAMERA DE MONITORAMENTO</t>
  </si>
  <si>
    <t>0055954585</t>
  </si>
  <si>
    <t>Palhoça_Faturas-1.pdf: 67, 176, 287, 417 | Palhoça_Faturas-2.pdf: 27, 159, 284, 395 | Palhoça_Faturas-3.pdf: 19, 59, 190, 314, 442</t>
  </si>
  <si>
    <t>CANDIDA MARIA DOS SANTOS PONTO 52 CAMERA DE MONITORAAMENTO</t>
  </si>
  <si>
    <t>0055954593</t>
  </si>
  <si>
    <t>Palhoça_Faturas-1.pdf: 67, 176, 287, 416 | Palhoça_Faturas-2.pdf: 27, 159, 284, 395 | Palhoça_Faturas-3.pdf: 18, 58, 189, 313, 440</t>
  </si>
  <si>
    <t>ADERBAL RAMOS DA SILVA PONTO 16 CAMERA DE MONITORAMENTO</t>
  </si>
  <si>
    <t>0055954607</t>
  </si>
  <si>
    <t>Palhoça_Faturas-1.pdf: 67, 176, 287, 416 | Palhoça_Faturas-2.pdf: 27, 159, 284, 395 | Palhoça_Faturas-3.pdf: 19, 59, 189, 314, 440</t>
  </si>
  <si>
    <t>JOACIR DOS PASSOS PONTO 45 CAMERA DE MONITORAMENTO</t>
  </si>
  <si>
    <t>0055954615</t>
  </si>
  <si>
    <t>Palhoça_Faturas-1.pdf: 51, 160, 271, 400 | Palhoça_Faturas-2.pdf: 11, 143, 268, 379 | Palhoça_Faturas-3.pdf: 2, 43, 169, 293, 420</t>
  </si>
  <si>
    <t>ENGIDIA DOVINA MARTINS CAMPO PADRE REUS</t>
  </si>
  <si>
    <t>0055979170</t>
  </si>
  <si>
    <t>Palhoça_Faturas-1.pdf: 102, 212, 341, 451 | Palhoça_Faturas-2.pdf: 63, 195, 320, 431 | Palhoça_Faturas-3.pdf: 101, 226, 349, 481</t>
  </si>
  <si>
    <t>CUBATA PONTO 102 CAMERA MONITORAMENTO</t>
  </si>
  <si>
    <t>0056181954</t>
  </si>
  <si>
    <t>Palhoça_Faturas-1.pdf: 67, 177, 287, 416 | Palhoça_Faturas-2.pdf: 28, 160, 285, 395 | Palhoça_Faturas-3.pdf: 19, 59, 190, 314, 441</t>
  </si>
  <si>
    <t>SAMUEL RAMON DOS SANTOS ROSA PONTO 51 CAMERA DE MONITORAMENTO</t>
  </si>
  <si>
    <t>0056181962</t>
  </si>
  <si>
    <t>Palhoça_Faturas-1.pdf: 63, 172, 283, 412 | Palhoça_Faturas-2.pdf: 23, 155, 280, 391 | Palhoça_Faturas-3.pdf: 14, 54, 183, 308, 435</t>
  </si>
  <si>
    <t>ROBERTO PARAGO PONTO 94 CAMERA DE MONITORAMENTO</t>
  </si>
  <si>
    <t>0056182390</t>
  </si>
  <si>
    <t>Palhoça_Faturas-1.pdf: 56, 165, 276, 405 | Palhoça_Faturas-2.pdf: 16, 148, 273, 384 | Palhoça_Faturas-3.pdf: 8, 48, 175, 300, 427</t>
  </si>
  <si>
    <t>ALCINO DOS NAVEGANTES MOREIRA PONTO 81 - CAMERA DE MONITORAMENTO</t>
  </si>
  <si>
    <t>0056182403</t>
  </si>
  <si>
    <t>Palhoça_Faturas-1.pdf: 52, 161, 272, 401 | Palhoça_Faturas-2.pdf: 12, 144, 269, 380 | Palhoça_Faturas-3.pdf: 4, 44, 170, 295, 422</t>
  </si>
  <si>
    <t>ARCANJO CUNHA PONTO 71 CAMERA DE MONITORAMENTO</t>
  </si>
  <si>
    <t>0056182411</t>
  </si>
  <si>
    <t>BARAO DO RIO BRANCO PONTO 07 CAMERA DE MONITORAMENTO</t>
  </si>
  <si>
    <t>0056182438</t>
  </si>
  <si>
    <t>Palhoça_Faturas-1.pdf: 38, 147, 258, 387, 498 | Palhoça_Faturas-2.pdf: 130, 255, 366, 488 | Palhoça_Faturas-3.pdf: 28, 152, 276, 403</t>
  </si>
  <si>
    <t>7 DE SETEMBRO PONTO 08 CAMERA DE MONITORAMENTO</t>
  </si>
  <si>
    <t>0056182446</t>
  </si>
  <si>
    <t>Palhoça_Faturas-1.pdf: 38, 147, 258, 387, 498 | Palhoça_Faturas-2.pdf: 130, 255, 366, 487 | Palhoça_Faturas-3.pdf: 28, 152, 276, 403</t>
  </si>
  <si>
    <t>CEL BERNARDINO MACHADO PONTO 09 CAMERA DE MONITORAMENTO</t>
  </si>
  <si>
    <t>0056182454</t>
  </si>
  <si>
    <t>Palhoça_Faturas-1.pdf: 38, 147, 258, 387, 498 | Palhoça_Faturas-2.pdf: 130, 255, 366, 487 | Palhoça_Faturas-3.pdf: 27, 151, 275, 402</t>
  </si>
  <si>
    <t>JOAO FEBRONIO DE OLIVEIRA PONTO 96 CAMERA DE MONITORAMENTO</t>
  </si>
  <si>
    <t>0056182462</t>
  </si>
  <si>
    <t>SALVADOR ACISCLO DA SILVEIRA PONTO 44 CAMERA DE MONITORAMENTO</t>
  </si>
  <si>
    <t>0056182470</t>
  </si>
  <si>
    <t>Palhoça_Faturas-1.pdf: 47, 156, 267, 396 | Palhoça_Faturas-2.pdf: 7, 139, 264, 375, 497 | Palhoça_Faturas-3.pdf: 37, 162, 287, 414</t>
  </si>
  <si>
    <t>SAMUEL RAMON DOS SANTOS ROSA PONTO 86 CAMERA DE MONITORAMENTO</t>
  </si>
  <si>
    <t>0056182578</t>
  </si>
  <si>
    <t>Palhoça_Faturas-1.pdf: 63, 172, 283, 412 | Palhoça_Faturas-2.pdf: 23, 155, 280, 391 | Palhoça_Faturas-3.pdf: 14, 54, 184, 308, 435</t>
  </si>
  <si>
    <t>EVADIO PAULO BROERING PONTO 85 - CAMERA DE MONITORAMENTO</t>
  </si>
  <si>
    <t>0056182586</t>
  </si>
  <si>
    <t>Palhoça_Faturas-1.pdf: 63, 172, 283, 412 | Palhoça_Faturas-2.pdf: 23, 155, 280, 391 | Palhoça_Faturas-3.pdf: 15, 55, 184, 309, 436</t>
  </si>
  <si>
    <t>ANTONIO JULIO FAGUNDES PONTO 111 - CAMERA DE MONITORAMENTO</t>
  </si>
  <si>
    <t>0056182594</t>
  </si>
  <si>
    <t>DOMINGOS DE SOUZA FILHO PONTO 116 CAMERA DE MONITORAMENTO</t>
  </si>
  <si>
    <t>0056182608</t>
  </si>
  <si>
    <t>Palhoça_Faturas-1.pdf: 59, 168, 279, 408 | Palhoça_Faturas-2.pdf: 19, 151, 276, 387 | Palhoça_Faturas-3.pdf: 10, 50, 179, 303, 430</t>
  </si>
  <si>
    <t>GERVASIO TIMOTEO FARIAS PONT0 35 - CAMERA DE MONITORAMENTO</t>
  </si>
  <si>
    <t>0056182616</t>
  </si>
  <si>
    <t>Palhoça_Faturas-1.pdf: 69, 178, 289, 418 | Palhoça_Faturas-2.pdf: 29, 161, 286, 397 | Palhoça_Faturas-3.pdf: 21, 61, 192, 316, 443</t>
  </si>
  <si>
    <t>JOSE COSME PAMPLONA PONTO 43 - CAMERA DE MONITORAMENTO</t>
  </si>
  <si>
    <t>0056182624</t>
  </si>
  <si>
    <t>Palhoça_Faturas-1.pdf: 68, 177, 288, 417 | Palhoça_Faturas-2.pdf: 28, 160, 285, 396 | Palhoça_Faturas-3.pdf: 20, 60, 191, 315, 442</t>
  </si>
  <si>
    <t>DOS LAGOS PONTO 117 - CAMERAS DE MONITORAMENTO</t>
  </si>
  <si>
    <t>0056182632</t>
  </si>
  <si>
    <t>Palhoça_Faturas-1.pdf: 58, 167, 278, 407 | Palhoça_Faturas-2.pdf: 18, 150, 275, 386 | Palhoça_Faturas-3.pdf: 10, 50, 179, 303, 430</t>
  </si>
  <si>
    <t>JOAO CARLOS FERREIRA PONTO 98 - CAMERA DE MONITORAMENTO</t>
  </si>
  <si>
    <t>0056182640</t>
  </si>
  <si>
    <t>Palhoça_Faturas-1.pdf: 55, 164, 275, 404 | Palhoça_Faturas-2.pdf: 15, 147, 272, 383 | Palhoça_Faturas-3.pdf: 7, 47, 174, 299, 426</t>
  </si>
  <si>
    <t>MARIA LEOPOLDINA DA SILVA PONTO 93 - CAMERA DE MONITORAMENTO</t>
  </si>
  <si>
    <t>0056182659</t>
  </si>
  <si>
    <t>Palhoça_Faturas-1.pdf: 54, 163, 274, 403 | Palhoça_Faturas-2.pdf: 14, 146, 271, 382 | Palhoça_Faturas-3.pdf: 5, 45, 172, 296, 423</t>
  </si>
  <si>
    <t>ARCANJO CANDIDO DA SILVA PONTO 22 - CAMERA DE MONITORAMENTO</t>
  </si>
  <si>
    <t>0056571175</t>
  </si>
  <si>
    <t>Palhoça_Faturas-1.pdf: 60, 169, 280, 409 | Palhoça_Faturas-2.pdf: 20, 152, 277, 388 | Palhoça_Faturas-3.pdf: 11, 51, 180, 304, 432</t>
  </si>
  <si>
    <t>CRUZ E SOUZA PONTO 65 - CAMERA DE MONITORAMENTO</t>
  </si>
  <si>
    <t>0056571183</t>
  </si>
  <si>
    <t>Palhoça_Faturas-1.pdf: 51, 160, 271, 400 | Palhoça_Faturas-2.pdf: 11, 143, 268, 379 | Palhoça_Faturas-3.pdf: 2, 42, 168, 293, 420</t>
  </si>
  <si>
    <t>STA MARTA PONTO 72 - CAMERA DE MONITORAMENTO</t>
  </si>
  <si>
    <t>0056571191</t>
  </si>
  <si>
    <t>Palhoça_Faturas-1.pdf: 69, 178, 289, 418 | Palhoça_Faturas-2.pdf: 29, 161, 286, 397 | Palhoça_Faturas-3.pdf: 20, 60, 192, 316, 443</t>
  </si>
  <si>
    <t>PEDRO ALVARES CABRAL PONTO 76 - CAMERA DE MONITORAMENTO</t>
  </si>
  <si>
    <t>0056571205</t>
  </si>
  <si>
    <t>Palhoça_Faturas-1.pdf: 52, 161, 272, 401 | Palhoça_Faturas-2.pdf: 12, 144, 269, 380 | Palhoça_Faturas-3.pdf: 3, 43, 170, 294, 421</t>
  </si>
  <si>
    <t>N SRA DO ROSARIO PONTO 95 - CAMERA DE MONITORAMENTO</t>
  </si>
  <si>
    <t>0056571213</t>
  </si>
  <si>
    <t>ARI AMANCIO DA SILVEIRA PONTO 113 - CAMERA DE MONITORAMENTO</t>
  </si>
  <si>
    <t>0056571221</t>
  </si>
  <si>
    <t>Palhoça_Faturas-1.pdf: 60, 169, 280, 409 | Palhoça_Faturas-2.pdf: 20, 152, 277, 388 | Palhoça_Faturas-3.pdf: 11, 51, 180, 305, 431</t>
  </si>
  <si>
    <t>SAO LEOPOLDO PONTO 118 - CAMERA DE MONITORAMENTO</t>
  </si>
  <si>
    <t>0056571230</t>
  </si>
  <si>
    <t>Palhoça_Faturas-1.pdf: 57, 166, 277, 406 | Palhoça_Faturas-2.pdf: 17, 149, 274, 385 | Palhoça_Faturas-3.pdf: 8, 48, 177, 301, 428</t>
  </si>
  <si>
    <t>24 DE ABRIL 3080 PONTO 89 CAMERA DE MONITORAMENTO</t>
  </si>
  <si>
    <t>0056690859</t>
  </si>
  <si>
    <t>Palhoça_Faturas-1.pdf: 39, 148, 259, 388, 499 | Palhoça_Faturas-2.pdf: 131, 256, 367, 489 | Palhoça_Faturas-3.pdf: 29, 153, 277, 404</t>
  </si>
  <si>
    <t>THOMAS DOMINGOS DA SILVEIRA 3299 PONTO 50 - CAMERA DE MONITORAMENTO</t>
  </si>
  <si>
    <t>0056690867</t>
  </si>
  <si>
    <t>Palhoça_Faturas-1.pdf: 50, 159, 270, 399 | Palhoça_Faturas-2.pdf: 10, 142, 267, 378, 500 | Palhoça_Faturas-3.pdf: 40, 166, 291, 418</t>
  </si>
  <si>
    <t>SAMUEL RAMON DOS SANTOS ROSA QD A2 L 231 - CEI AURORA SILVA LOPES</t>
  </si>
  <si>
    <t>0056795324</t>
  </si>
  <si>
    <t>Palhoça_Faturas-1.pdf: 30, 138, 249, 378, 489 | Palhoça_Faturas-2.pdf: 120, 246, 357, 475 | Palhoça_Faturas-3.pdf: 141, 265, 392</t>
  </si>
  <si>
    <t>OTAVIO MARCELINO MARTINS UBS NOVA PALHOCA</t>
  </si>
  <si>
    <t>0057124814</t>
  </si>
  <si>
    <t>Palhoça_Faturas-1.pdf: 87, 196, 308 | Palhoça_Faturas-3.pdf: 65, 66, 67, 81, 90, 91, 210, 334, 464</t>
  </si>
  <si>
    <t>JOAO BORN 1320 PONTO 120 - CAMERA MONITORAMENTO</t>
  </si>
  <si>
    <t>0057159928</t>
  </si>
  <si>
    <t>Palhoça_Faturas-1.pdf: 41, 150, 261, 390 | Palhoça_Faturas-2.pdf: 1, 133, 258, 369, 491 | Palhoça_Faturas-3.pdf: 31, 155, 280, 407</t>
  </si>
  <si>
    <t>DOMINGOS DE SOUZA FILHO PONTO 121 - CAMERA DE MONITORAMENTO</t>
  </si>
  <si>
    <t>0057159944</t>
  </si>
  <si>
    <t>RAULINA ANGELICA WENGARTNER 220 PONTO 123 CAMERA DE MONITORAMENTO</t>
  </si>
  <si>
    <t>0057159952</t>
  </si>
  <si>
    <t>Palhoça_Faturas-1.pdf: 45, 154, 265, 394 | Palhoça_Faturas-2.pdf: 5, 137, 262, 373, 496 | Palhoça_Faturas-3.pdf: 36, 161, 285, 412</t>
  </si>
  <si>
    <t>DA AMIZADE 392 PONTO 119 - CAMERA DE MONITORAMENTO</t>
  </si>
  <si>
    <t>0057159960</t>
  </si>
  <si>
    <t>PAULO ROBERTO VIDAL CRECHE PRO-INFANCIA</t>
  </si>
  <si>
    <t>0057434236</t>
  </si>
  <si>
    <t>Palhoça_Faturas-1.pdf: 34, 143, 254, 383, 494 | Palhoça_Faturas-2.pdf: 125, 251, 362, 480 | Palhoça_Faturas-3.pdf: 146, 270, 396</t>
  </si>
  <si>
    <t>VIDAL PROCOPIO LOHN PONTO 127 CAMERA DE MONITORAMENTO</t>
  </si>
  <si>
    <t>0057451327</t>
  </si>
  <si>
    <t>ARNOLDO SCHLEMPER PONTO 124 CAMERA DE MONITORAMENTO</t>
  </si>
  <si>
    <t>0057451343</t>
  </si>
  <si>
    <t>Palhoça_Faturas-1.pdf: 51, 160, 271, 400 | Palhoça_Faturas-2.pdf: 11, 143, 268, 379 | Palhoça_Faturas-3.pdf: 1, 42, 167, 292, 419</t>
  </si>
  <si>
    <t>JULIANO LUCHI PONTO 144 CAMERA DE MONITORAMENTO</t>
  </si>
  <si>
    <t>0057451351</t>
  </si>
  <si>
    <t>Palhoça_Faturas-1.pdf: 51, 160, 271, 400 | Palhoça_Faturas-2.pdf: 12, 143, 268, 380 | Palhoça_Faturas-3.pdf: 3, 43, 169, 293, 421</t>
  </si>
  <si>
    <t>NAJLA CARONE GOEDERT PONTO 139 CAMERA DE MONITORAMENTO</t>
  </si>
  <si>
    <t>0057473843</t>
  </si>
  <si>
    <t>Palhoça_Faturas-1.pdf: 37, 146, 257, 386, 497 | Palhoça_Faturas-2.pdf: 129, 254, 365, 486 | Palhoça_Faturas-3.pdf: 26, 150, 274, 401</t>
  </si>
  <si>
    <t>CEL BERNARDINO MACHADO 287 PONTO 54 - CAMERA DE MONITORAMENTO</t>
  </si>
  <si>
    <t>0057473851</t>
  </si>
  <si>
    <t>Palhoça_Faturas-1.pdf: 40, 149, 260, 389, 500 | Palhoça_Faturas-2.pdf: 132, 257, 368, 489 | Palhoça_Faturas-3.pdf: 29, 154, 278, 405</t>
  </si>
  <si>
    <t>MODENA PONTO 59 CAMERA DE MONITORAMENTO</t>
  </si>
  <si>
    <t>0057473860</t>
  </si>
  <si>
    <t>Palhoça_Faturas-1.pdf: 37, 146, 258, 387, 498 | Palhoça_Faturas-2.pdf: 129, 255, 366, 487 | Palhoça_Faturas-3.pdf: 27, 150, 275, 402</t>
  </si>
  <si>
    <t>ASTECAS PONTO 122 CAMERA DE MONITORAMENTO</t>
  </si>
  <si>
    <t>0057473878</t>
  </si>
  <si>
    <t>ATILIO PEDRO PAGANI PONTO 125 CAMERA DE MONITORAMENTO</t>
  </si>
  <si>
    <t>0057473886</t>
  </si>
  <si>
    <t>31 DE JULHO PONTO 145 - CAMERA DE MONITORAMENTO</t>
  </si>
  <si>
    <t>0057473894</t>
  </si>
  <si>
    <t>Palhoça_Faturas-1.pdf: 36, 146, 256, 386, 496 | Palhoça_Faturas-2.pdf: 128, 254, 365, 486 | Palhoça_Faturas-3.pdf: 26, 150, 274, 401</t>
  </si>
  <si>
    <t>JORGE MARCELINO COELHO PONTO 133 CAMERA DE MONITORAMENTO</t>
  </si>
  <si>
    <t>0057473908</t>
  </si>
  <si>
    <t>Palhoça_Faturas-1.pdf: 55, 164, 275, 404 | Palhoça_Faturas-2.pdf: 15, 147, 272, 383 | Palhoça_Faturas-3.pdf: 6, 46, 173, 298, 425</t>
  </si>
  <si>
    <t>DAS TIPUANAS PONTO 138 CAMERA DE MONITORAMENTO</t>
  </si>
  <si>
    <t>0057473916</t>
  </si>
  <si>
    <t>Palhoça_Faturas-1.pdf: 48, 157, 268, 397 | Palhoça_Faturas-2.pdf: 8, 140, 265, 376, 499 | Palhoça_Faturas-3.pdf: 39, 164, 289, 416</t>
  </si>
  <si>
    <t>MARIA VIEIRA DOS SANTOS PONTO 137 CAMERA DE MONITORAMENTO</t>
  </si>
  <si>
    <t>0057473924</t>
  </si>
  <si>
    <t>Palhoça_Faturas-1.pdf: 48, 157, 268, 397 | Palhoça_Faturas-2.pdf: 8, 140, 265, 376, 498 | Palhoça_Faturas-3.pdf: 38, 164, 288, 415</t>
  </si>
  <si>
    <t>CESAR RENE WAGNER PONTO 134 CAMERA DE MONITORAMENTO</t>
  </si>
  <si>
    <t>0057473932</t>
  </si>
  <si>
    <t>Palhoça_Faturas-1.pdf: 70, 179, 290, 419 | Palhoça_Faturas-2.pdf: 30, 162, 287, 398 | Palhoça_Faturas-3.pdf: 22, 62, 193, 317, 444</t>
  </si>
  <si>
    <t>SAO CRISTOVAO 4933 PONTO 128 CAMERA DE MONITORAMENTO</t>
  </si>
  <si>
    <t>0057473940</t>
  </si>
  <si>
    <t>JOSE JERONIMO DA SILVA PONTO 4 CAMERA DE MONITORAMENTO</t>
  </si>
  <si>
    <t>0057473959</t>
  </si>
  <si>
    <t>Palhoça_Faturas-1.pdf: 70, 179, 290, 419 | Palhoça_Faturas-2.pdf: 30, 162, 287, 398 | Palhoça_Faturas-3.pdf: 22, 62, 194, 318, 445</t>
  </si>
  <si>
    <t>JOSE FREDERICO GUEDERT PONTO 143 - CAMERA DE MONITORAMENTO</t>
  </si>
  <si>
    <t>0057473967</t>
  </si>
  <si>
    <t>Palhoça_Faturas-1.pdf: 42, 151, 262, 391 | Palhoça_Faturas-2.pdf: 2, 134, 259, 370, 491 | Palhoça_Faturas-3.pdf: 31, 156, 280, 407</t>
  </si>
  <si>
    <t>24 DE ABRIL PONTO 115 CAMERA DE MONITORAMENTO</t>
  </si>
  <si>
    <t>0057473975</t>
  </si>
  <si>
    <t>MIGUEL BATISTA DA SILVA PONTO 135 CAMERA DE MONITORAMENTO</t>
  </si>
  <si>
    <t>0057473983</t>
  </si>
  <si>
    <t>ALVARO FRANCISCO MARTINS 77 PONTO 140 - CAMERA DE MONITORAMENTO</t>
  </si>
  <si>
    <t>0057473991</t>
  </si>
  <si>
    <t>25 DE DEZEMBRO PONTO 147 CAMERA DE MONITORAMENTO</t>
  </si>
  <si>
    <t>0057474009</t>
  </si>
  <si>
    <t>Palhoça_Faturas-1.pdf: 46, 155, 266, 395 | Palhoça_Faturas-2.pdf: 6, 138, 263, 374, 496 | Palhoça_Faturas-3.pdf: 36, 161, 286, 413</t>
  </si>
  <si>
    <t>MAJOR JOSE HONORIO DA COSTA 190 PONTO 146 - CAMERA DE MONITORAMENTO</t>
  </si>
  <si>
    <t>0057474017</t>
  </si>
  <si>
    <t>Palhoça_Faturas-1.pdf: 41, 150, 261, 390 | Palhoça_Faturas-2.pdf: 1, 133, 258, 369, 491 | Palhoça_Faturas-3.pdf: 31, 155, 279, 406</t>
  </si>
  <si>
    <t>EMELINE MATILDES C SCHEIDT 293 PONTO 55 CAMERA DE MONITORAMENTO</t>
  </si>
  <si>
    <t>0057474025</t>
  </si>
  <si>
    <t>CAETANO SILVEIRA DE MATTOS 2460 PONTO 97 - CAMERA DE MONITORAMENTO</t>
  </si>
  <si>
    <t>0057474033</t>
  </si>
  <si>
    <t>Palhoça_Faturas-1.pdf: 36, 145, 256, 385, 496 | Palhoça_Faturas-2.pdf: 128, 253, 364, 485 | Palhoça_Faturas-3.pdf: 25, 149, 273, 400</t>
  </si>
  <si>
    <t>RADIANTE PONTO 73 CAMERA DE MONITORAMENTO</t>
  </si>
  <si>
    <t>0057474041</t>
  </si>
  <si>
    <t>Palhoça_Faturas-1.pdf: 63, 172, 283, 412 | Palhoça_Faturas-2.pdf: 23, 155, 280, 391 | Palhoça_Faturas-3.pdf: 15, 55, 184, 308, 435</t>
  </si>
  <si>
    <t>GUACIARA PONTO 130 CAMERA DE MONITORAMENTO</t>
  </si>
  <si>
    <t>0057474050</t>
  </si>
  <si>
    <t>Palhoça_Faturas-1.pdf: 64, 173, 284, 413 | Palhoça_Faturas-2.pdf: 24, 156, 281, 392 | Palhoça_Faturas-3.pdf: 15, 55, 185, 309, 436</t>
  </si>
  <si>
    <t>SAMUEL RAMON DOS SANTOS ROSA PONTO 131 CAMERA DE MONITORAMENTO</t>
  </si>
  <si>
    <t>0057478683</t>
  </si>
  <si>
    <t>ALEXANDRE COELHO PONTO 56 CAMERA DE MONITORAMENTO</t>
  </si>
  <si>
    <t>0057478705</t>
  </si>
  <si>
    <t>Palhoça_Faturas-1.pdf: 47, 156, 267, 396 | Palhoça_Faturas-2.pdf: 7, 139, 264, 375, 498 | Palhoça_Faturas-3.pdf: 38, 164, 288, 415</t>
  </si>
  <si>
    <t>RAUL LEONARDO WEISS S/N</t>
  </si>
  <si>
    <t>0057515945</t>
  </si>
  <si>
    <t>Palhoça_Faturas-1.pdf: 28, 136, 247, 377 | Palhoça_Faturas-2.pdf: 118, 126, 244, 355, 474 | Palhoça_Faturas-3.pdf: 139, 263, 390</t>
  </si>
  <si>
    <t>JACOB SCHEIDT JUNIOR 290</t>
  </si>
  <si>
    <t>0057595841</t>
  </si>
  <si>
    <t>Palhoça_Faturas-3.pdf: 333, 463</t>
  </si>
  <si>
    <t>NAJLA CARONE GOEDERT PONTO 148 - CAMERA DE MONITORAMENTO</t>
  </si>
  <si>
    <t>0057799706</t>
  </si>
  <si>
    <t>Palhoça_Faturas-1.pdf: 38, 147, 257, 386, 497 | Palhoça_Faturas-2.pdf: 129, 254, 365, 486 | Palhoça_Faturas-3.pdf: 26, 151, 275, 402</t>
  </si>
  <si>
    <t>SAMUEL RAMON DOS SANTOS ROSA PONTO 149 - CAMERA DE MONITORAMENTO</t>
  </si>
  <si>
    <t>0057799714</t>
  </si>
  <si>
    <t>VER JACOB KNABBEN DA SILVA 2994 FR PONTO 142 CAMERA DE MONITORAMENTO</t>
  </si>
  <si>
    <t>0057799722</t>
  </si>
  <si>
    <t>Palhoça_Faturas-1.pdf: 47, 156, 267, 396 | Palhoça_Faturas-2.pdf: 7, 139, 264, 375, 497 | Palhoça_Faturas-3.pdf: 37, 163, 287, 414</t>
  </si>
  <si>
    <t>SERAFIM EULINO ESPINDOLA 563 PONTO 150 CAMERA DE MONITORAMENTO</t>
  </si>
  <si>
    <t>0057799730</t>
  </si>
  <si>
    <t>Palhoça_Faturas-1.pdf: 53, 162, 273, 402 | Palhoça_Faturas-2.pdf: 13, 145, 270, 381 | Palhoça_Faturas-3.pdf: 5, 45, 171, 296, 423</t>
  </si>
  <si>
    <t>JOSE COSME PAMPLONA 224 LD PONTO 136 CAMERA DE MONITORAMENTO</t>
  </si>
  <si>
    <t>0057799951</t>
  </si>
  <si>
    <t>CESAR LEOPOLDO SCHEIDT 29 FR PONTO 57 CAMERA DE MONITORAMENTO</t>
  </si>
  <si>
    <t>0057799978</t>
  </si>
  <si>
    <t>Palhoça_Faturas-1.pdf: 37, 146, 257, 386, 497 | Palhoça_Faturas-2.pdf: 130, 254, 365, 486 | Palhoça_Faturas-3.pdf: 26, 151, 274, 401</t>
  </si>
  <si>
    <t>0058486744</t>
  </si>
  <si>
    <t>Palhoça_Faturas-1.pdf: 61, 170, 281, 410 | Palhoça_Faturas-2.pdf: 21, 153, 278, 389 | Palhoça_Faturas-3.pdf: 12, 52, 181, 306, 432</t>
  </si>
  <si>
    <t>BARAO DO RIO BRANCO PONTO 80 CAMERA DE MONITORAMENTO</t>
  </si>
  <si>
    <t>0058486752</t>
  </si>
  <si>
    <t>Palhoça_Faturas-1.pdf: 39, 148, 259, 388, 499 | Palhoça_Faturas-2.pdf: 131, 256, 367, 488 | Palhoça_Faturas-3.pdf: 28, 152, 277, 404</t>
  </si>
  <si>
    <t>0058486760</t>
  </si>
  <si>
    <t>JOAO JOSE DE QUADROS PONTO 133 CAMERA DE MONITORAMENTO</t>
  </si>
  <si>
    <t>0058487201</t>
  </si>
  <si>
    <t>Palhoça_Faturas-1.pdf: 55, 164, 275, 404 | Palhoça_Faturas-2.pdf: 15, 147, 272, 383 | Palhoça_Faturas-3.pdf: 6, 46, 173, 297, 424</t>
  </si>
  <si>
    <t>ATILIO PEDRO PAGANI PONTO 145 CAMERA DE MONITORAMENTO</t>
  </si>
  <si>
    <t>0058487341</t>
  </si>
  <si>
    <t>DAS TIPUANAS PONTO 147 CAMERA DE MONITORAMENTO</t>
  </si>
  <si>
    <t>0058487597</t>
  </si>
  <si>
    <t>Palhoça_Faturas-1.pdf: 48, 158, 269, 398 | Palhoça_Faturas-2.pdf: 9, 141, 266, 377, 499 | Palhoça_Faturas-3.pdf: 39, 165, 289, 416</t>
  </si>
  <si>
    <t>ADELINA RODRIGUES MARTINS 15 ILUM DE EVENTOS TEMP DE VERAO</t>
  </si>
  <si>
    <t>0058518387</t>
  </si>
  <si>
    <t>Palhoça_Faturas-1.pdf: 103, 214, 324, 453 | Palhoça_Faturas-2.pdf: 65, 197, 322, 433 | Palhoça_Faturas-3.pdf: 103, 228, 351, 483</t>
  </si>
  <si>
    <t>AURELIA MARIA MAIA 196</t>
  </si>
  <si>
    <t>0058773239</t>
  </si>
  <si>
    <t>Palhoça_Faturas-2.pdf: 52, 184, 309, 420 | Palhoça_Faturas-3.pdf: 86, 215, 339, 469</t>
  </si>
  <si>
    <t>FLORIANOPOLIS 372 SEC. DE AGRICULTURA E EPAGRI</t>
  </si>
  <si>
    <t>0058816124</t>
  </si>
  <si>
    <t>ALEIXO ALVES DE SOUZA S/N</t>
  </si>
  <si>
    <t>0059072474</t>
  </si>
  <si>
    <t>Palhoça_Faturas-3.pdf: 253, 380</t>
  </si>
  <si>
    <t>JACOB VILLAIN FILHO S/N</t>
  </si>
  <si>
    <t>0059160020</t>
  </si>
  <si>
    <t>Palhoça_Faturas-3.pdf: 174, 298, 425</t>
  </si>
  <si>
    <t>DOS ATOBAS S/N</t>
  </si>
  <si>
    <t>0059160031</t>
  </si>
  <si>
    <t>Palhoça_Faturas-3.pdf: 163, 288, 415</t>
  </si>
  <si>
    <t>CAETANO SILVEIRA S/N</t>
  </si>
  <si>
    <t>0059160035</t>
  </si>
  <si>
    <t>Palhoça_Faturas-3.pdf: 169, 294, 420</t>
  </si>
  <si>
    <t>DAS TORRES S/N</t>
  </si>
  <si>
    <t>0059160038</t>
  </si>
  <si>
    <t>Palhoça_Faturas-3.pdf: 2, 42, 168, 292, 419</t>
  </si>
  <si>
    <t>GOVERNADOR PEDRO IVO CAMPOS S/N</t>
  </si>
  <si>
    <t>0059160040</t>
  </si>
  <si>
    <t>Palhoça_Faturas-3.pdf: 3, 42, 169, 293, 420</t>
  </si>
  <si>
    <t>CRUZ E SOUZA S/N</t>
  </si>
  <si>
    <t>0059160043</t>
  </si>
  <si>
    <t>Palhoça_Faturas-2.pdf: 485 | Palhoça_Faturas-3.pdf: 25, 149, 273, 400</t>
  </si>
  <si>
    <t>GENTIL REINALDO CORDIOLI S/N</t>
  </si>
  <si>
    <t>0059160509</t>
  </si>
  <si>
    <t>Palhoça_Faturas-3.pdf: 168, 292, 419</t>
  </si>
  <si>
    <t>0059160511</t>
  </si>
  <si>
    <t>Palhoça_Faturas-3.pdf: 2, 41, 168, 292, 419</t>
  </si>
  <si>
    <t>IRMA DULCE S/N</t>
  </si>
  <si>
    <t>0059160513</t>
  </si>
  <si>
    <t>Palhoça_Faturas-2.pdf: 498 | Palhoça_Faturas-3.pdf: 38, 163, 287, 414</t>
  </si>
  <si>
    <t>ATILIO PEDRO PAGANI S/N</t>
  </si>
  <si>
    <t>0059160515</t>
  </si>
  <si>
    <t>Palhoça_Faturas-2.pdf: 485 | Palhoça_Faturas-3.pdf: 25, 150, 274, 400</t>
  </si>
  <si>
    <t>CLAUDIO ZACCHI S/N</t>
  </si>
  <si>
    <t>0059160517</t>
  </si>
  <si>
    <t>Palhoça_Faturas-3.pdf: 149, 273, 400</t>
  </si>
  <si>
    <t>NAJLA CARONE GOEDERT S/N</t>
  </si>
  <si>
    <t>0059160519</t>
  </si>
  <si>
    <t>Palhoça_Faturas-2.pdf: 489 | Palhoça_Faturas-3.pdf: 29, 153, 277, 404</t>
  </si>
  <si>
    <t>DAS TIPUANAS S/N</t>
  </si>
  <si>
    <t>0059160521</t>
  </si>
  <si>
    <t>Palhoça_Faturas-3.pdf: 165, 289, 417</t>
  </si>
  <si>
    <t>PAULO ROBERTO VIDAL S/N</t>
  </si>
  <si>
    <t>0059160526</t>
  </si>
  <si>
    <t>Palhoça_Faturas-3.pdf: 194, 318, 445</t>
  </si>
  <si>
    <t>JOSE COSME PAMPLONA S/N</t>
  </si>
  <si>
    <t>0059160529</t>
  </si>
  <si>
    <t>Palhoça_Faturas-3.pdf: 191, 316, 443</t>
  </si>
  <si>
    <t>STO ANJO DA GUARDA S/N</t>
  </si>
  <si>
    <t>0059160537</t>
  </si>
  <si>
    <t>Palhoça_Faturas-3.pdf: 173, 297, 424</t>
  </si>
  <si>
    <t>JOAO FEBRONIO DE OLIVEIRA S/N</t>
  </si>
  <si>
    <t>0059160541</t>
  </si>
  <si>
    <t>Palhoça_Faturas-2.pdf: 492 | Palhoça_Faturas-3.pdf: 32, 157, 281, 408</t>
  </si>
  <si>
    <t>ANICETO ZACCHI S/N</t>
  </si>
  <si>
    <t>0059160544</t>
  </si>
  <si>
    <t>Palhoça_Faturas-3.pdf: 156, 280, 407</t>
  </si>
  <si>
    <t>0059160547</t>
  </si>
  <si>
    <t>Palhoça_Faturas-3.pdf: 154, 279, 406</t>
  </si>
  <si>
    <t>7 DE SETEMBRO S/N</t>
  </si>
  <si>
    <t>0059160550</t>
  </si>
  <si>
    <t>Palhoça_Faturas-3.pdf: 275, 402</t>
  </si>
  <si>
    <t>BARAO DO RIO BRANCO S/N</t>
  </si>
  <si>
    <t>0059160553</t>
  </si>
  <si>
    <t>Palhoça_Faturas-2.pdf: 484 | Palhoça_Faturas-3.pdf: 24, 148, 272, 399</t>
  </si>
  <si>
    <t>0059160555</t>
  </si>
  <si>
    <t>Palhoça_Faturas-2.pdf: 487 | Palhoça_Faturas-3.pdf: 27, 152, 276, 403</t>
  </si>
  <si>
    <t>JOSE MARIA DA LUZ S/N</t>
  </si>
  <si>
    <t>0059160558</t>
  </si>
  <si>
    <t>Palhoça_Faturas-2.pdf: 488 | Palhoça_Faturas-3.pdf: 27, 151, 276, 403</t>
  </si>
  <si>
    <t>0059160559</t>
  </si>
  <si>
    <t>Palhoça_Faturas-2.pdf: 483 | Palhoça_Faturas-3.pdf: 23, 147, 271, 398</t>
  </si>
  <si>
    <t>PREFEITO NELSON MARTINS S/N</t>
  </si>
  <si>
    <t>0059160560</t>
  </si>
  <si>
    <t>Palhoça_Faturas-2.pdf: 495 | Palhoça_Faturas-3.pdf: 35, 159, 284, 411</t>
  </si>
  <si>
    <t>JACOB WEINGARTNER S/N</t>
  </si>
  <si>
    <t>0059160566</t>
  </si>
  <si>
    <t>Palhoça_Faturas-2.pdf: 495 | Palhoça_Faturas-3.pdf: 35, 160, 284, 411</t>
  </si>
  <si>
    <t>VIDAL PROCOPIO LOHN S/N</t>
  </si>
  <si>
    <t>0059160569</t>
  </si>
  <si>
    <t>Palhoça_Faturas-3.pdf: 158, 283, 410</t>
  </si>
  <si>
    <t>0059160570</t>
  </si>
  <si>
    <t>Palhoça_Faturas-3.pdf: 176, 300, 427</t>
  </si>
  <si>
    <t>RIO GRANDE S/N</t>
  </si>
  <si>
    <t>0059160572</t>
  </si>
  <si>
    <t>Palhoça_Faturas-3.pdf: 160, 285, 412</t>
  </si>
  <si>
    <t>JOSE LUIZ MARTINS S/N</t>
  </si>
  <si>
    <t>0059161209</t>
  </si>
  <si>
    <t>Palhoça_Faturas-3.pdf: 172, 296, 423</t>
  </si>
  <si>
    <t>BRAULIO FELIPE S/N</t>
  </si>
  <si>
    <t>0059161231</t>
  </si>
  <si>
    <t>Palhoça_Faturas-3.pdf: 175, 299, 426</t>
  </si>
  <si>
    <t>NELSON FLORIANO CAMPOS S/N</t>
  </si>
  <si>
    <t>0059161233</t>
  </si>
  <si>
    <t>0059161235</t>
  </si>
  <si>
    <t>BOM JESUS DE NAZARE S/N</t>
  </si>
  <si>
    <t>0059161236</t>
  </si>
  <si>
    <t>Palhoça_Faturas-3.pdf: 177, 301, 428</t>
  </si>
  <si>
    <t>SAO CRISTOVAO S/N</t>
  </si>
  <si>
    <t>0059161238</t>
  </si>
  <si>
    <t>Palhoça_Faturas-3.pdf: 178, 303, 430</t>
  </si>
  <si>
    <t>DOMINGOS DE SOUZA FILHO S/N</t>
  </si>
  <si>
    <t>0059161240</t>
  </si>
  <si>
    <t>Palhoça_Faturas-3.pdf: 179, 304, 431</t>
  </si>
  <si>
    <t>JOSE CANDIDO DA SILVEIRA S/N</t>
  </si>
  <si>
    <t>0059161251</t>
  </si>
  <si>
    <t>Palhoça_Faturas-3.pdf: 182, 306, 433</t>
  </si>
  <si>
    <t>EVADIO PAULO BROERING S/N</t>
  </si>
  <si>
    <t>0059161265</t>
  </si>
  <si>
    <t>Palhoça_Faturas-3.pdf: 185, 309, 436</t>
  </si>
  <si>
    <t>0059161268</t>
  </si>
  <si>
    <t>Palhoça_Faturas-3.pdf: 185, 310, 437</t>
  </si>
  <si>
    <t>DO PAPAGAIO S/N</t>
  </si>
  <si>
    <t>0059161270</t>
  </si>
  <si>
    <t>Palhoça_Faturas-3.pdf: 184, 308, 435</t>
  </si>
  <si>
    <t>ADERBAL RAMOS DA SILVA S/N</t>
  </si>
  <si>
    <t>0059161272</t>
  </si>
  <si>
    <t>Palhoça_Faturas-3.pdf: 188, 313, 440</t>
  </si>
  <si>
    <t>MANOEL MARTINS S/N</t>
  </si>
  <si>
    <t>0059161280</t>
  </si>
  <si>
    <t>Palhoça_Faturas-3.pdf: 18, 58, 188, 312, 439</t>
  </si>
  <si>
    <t>HERCILIO NICOLAU DOS SANTOS S/N</t>
  </si>
  <si>
    <t>0059161281</t>
  </si>
  <si>
    <t>Palhoça_Faturas-3.pdf: 190, 314, 441</t>
  </si>
  <si>
    <t>ADELINA RODRIGUES MARTINS S/N</t>
  </si>
  <si>
    <t>0059161283</t>
  </si>
  <si>
    <t>Palhoça_Faturas-3.pdf: 189, 313, 440</t>
  </si>
  <si>
    <t>0059161286</t>
  </si>
  <si>
    <t>Palhoça_Faturas-3.pdf: 189, 313, 441</t>
  </si>
  <si>
    <t>0059161291</t>
  </si>
  <si>
    <t>Palhoça_Faturas-3.pdf: 164, 288, 415</t>
  </si>
  <si>
    <t>0059161297</t>
  </si>
  <si>
    <t>Palhoça_Faturas-3.pdf: 193, 318, 445</t>
  </si>
  <si>
    <t>Curitiba - PR</t>
  </si>
  <si>
    <t>R Hermenegildo Luca, 101 - Lt 185, Sao Braz, Curitiba - PR, 82310-110</t>
  </si>
  <si>
    <t>95145192</t>
  </si>
  <si>
    <t>B1 Residencial</t>
  </si>
  <si>
    <t>copel.pdf</t>
  </si>
  <si>
    <t>7 DE SETEMBRO ILUMINACAO PUBLICA</t>
  </si>
  <si>
    <t>0012192940</t>
  </si>
  <si>
    <t>Faturas_Palhoça_IP.pdf: 15 | Palhoça_Faturas-2.pdf: 87, 216</t>
  </si>
  <si>
    <t>31 DE MARCO ILUMINACAO PUBLICA NA PRAÇA</t>
  </si>
  <si>
    <t>0042250082</t>
  </si>
  <si>
    <t>Faturas_Palhoça_IP.pdf: 3 | Palhoça_Faturas-2.pdf: 75</t>
  </si>
  <si>
    <t>DOS COQUEIROS 55 ILUMINACAO PUBLICA - POSTE CELESC</t>
  </si>
  <si>
    <t>0054448457</t>
  </si>
  <si>
    <t>Faturas_Palhoça_IP.pdf: 11 | Palhoça_Faturas-2.pdf: 83, 211</t>
  </si>
  <si>
    <t>JOSE CLEMENTE DE MACEDO ILUMINACAO PUBLICA - PRACA STO AGOSTINHO</t>
  </si>
  <si>
    <t>0054448856</t>
  </si>
  <si>
    <t>Faturas_Palhoça_IP.pdf: 15 | Palhoça_Faturas-2.pdf: 86, 215</t>
  </si>
  <si>
    <t>CANOINHAS ILUMINACAO PUBLICA - POSTE CELESC</t>
  </si>
  <si>
    <t>0055294445</t>
  </si>
  <si>
    <t>Faturas_Palhoça_IP.pdf: 8 | Palhoça_Faturas-2.pdf: 80, 208</t>
  </si>
  <si>
    <t>MARIA MATILDE DE SOUZA 280 ILUMINACAO PUBLICA - PC BISTEK</t>
  </si>
  <si>
    <t>0057021551</t>
  </si>
  <si>
    <t>Faturas_Palhoça_IP.pdf: 5 | Palhoça_Faturas-2.pdf: 76, 205</t>
  </si>
  <si>
    <t>DOS LAGOS 190 FU16518 ILUMINACAO PUBLICA</t>
  </si>
  <si>
    <t>0057153385</t>
  </si>
  <si>
    <t>Faturas_Palhoça_IP.pdf: 6 | Palhoça_Faturas-2.pdf: 78, 206</t>
  </si>
  <si>
    <t>MORRO DOS QUADROS 1311 ILUMINACAO PUBLICA</t>
  </si>
  <si>
    <t>0057170484</t>
  </si>
  <si>
    <t>Faturas_Palhoça_IP.pdf: 15 | Palhoça_Faturas-2.pdf: 87, 215</t>
  </si>
  <si>
    <t>DOS CURIOS 225 ILUMINACAO PUBLICA</t>
  </si>
  <si>
    <t>0057171995</t>
  </si>
  <si>
    <t>Faturas_Palhoça_IP.pdf: 7 | Palhoça_Faturas-2.pdf: 79, 207</t>
  </si>
  <si>
    <t>ANNITA LABES HEIDRICH PINHEIRO 62 ILUMINACAO PUBLICA - PRACA DO PONTAL</t>
  </si>
  <si>
    <t>0057260688</t>
  </si>
  <si>
    <t>Faturas_Palhoça_IP.pdf: 11 | Palhoça_Faturas-2.pdf: 83, 212</t>
  </si>
  <si>
    <t>RAULINA ANGELICA WENGARTNER 205 ILUMINACAO PUBLICA</t>
  </si>
  <si>
    <t>0057260831</t>
  </si>
  <si>
    <t>Faturas_Palhoça_IP.pdf: 4 | Palhoça_Faturas-2.pdf: 75, 204</t>
  </si>
  <si>
    <t>PE AURELIO GANZI 189 ILUMINACAO PUBLICA</t>
  </si>
  <si>
    <t>0057490624</t>
  </si>
  <si>
    <t>Faturas_Palhoça_IP.pdf: 13 | Palhoça_Faturas-2.pdf: 84, 213</t>
  </si>
  <si>
    <t>JOSE LUIZ MARTINS 845 ILUMINACAO PUBLICA</t>
  </si>
  <si>
    <t>0057491558</t>
  </si>
  <si>
    <t>Faturas_Palhoça_IP.pdf: 9 | Palhoça_Faturas-2.pdf: 80, 209</t>
  </si>
  <si>
    <t>DAS TORRES 224 ILUMINACAO PUBLICA</t>
  </si>
  <si>
    <t>0057492376</t>
  </si>
  <si>
    <t>Faturas_Palhoça_IP.pdf: 7 | Palhoça_Faturas-2.pdf: 79, 208</t>
  </si>
  <si>
    <t>DAS TORRES 101 ILUMINACAO PUBLICA</t>
  </si>
  <si>
    <t>0057492430</t>
  </si>
  <si>
    <t>Faturas_Palhoça_IP.pdf: 4 | Palhoça_Faturas-2.pdf: 76, 205</t>
  </si>
  <si>
    <t>DAS TORRES 159 ILUMINACAO PUBLICA</t>
  </si>
  <si>
    <t>0057492473</t>
  </si>
  <si>
    <t>Faturas_Palhoça_IP.pdf: 4 | Palhoça_Faturas-2.pdf: 76, 204</t>
  </si>
  <si>
    <t>ATALANTA ILUMINACAO PUBLICA</t>
  </si>
  <si>
    <t>0057492880</t>
  </si>
  <si>
    <t>Faturas_Palhoça_IP.pdf: 12 | Palhoça_Faturas-2.pdf: 84, 213</t>
  </si>
  <si>
    <t>DOS FALCOES ILUMINACAO PUBLICA - ORLA PRAIA DE CIMA</t>
  </si>
  <si>
    <t>0057979437</t>
  </si>
  <si>
    <t>Faturas_Palhoça_IP.pdf: 13 | Palhoça_Faturas-2.pdf: 85, 214</t>
  </si>
  <si>
    <t>DO COMERCIO 374 MD A ILUMINAÇÃO PÚBLICA</t>
  </si>
  <si>
    <t>0057981393</t>
  </si>
  <si>
    <t>Faturas_Palhoça_IP.pdf: 9 | Palhoça_Faturas-2.pdf: 81, 210</t>
  </si>
  <si>
    <t>DO COMERCIO 374 MD B ILUMINAÇÃO PUBLICA</t>
  </si>
  <si>
    <t>0057981407</t>
  </si>
  <si>
    <t>Faturas_Palhoça_IP.pdf: 9 | Palhoça_Faturas-2.pdf: 81, 209</t>
  </si>
  <si>
    <t>DA ENSEADA DO BRITO ILUMINACAO PUBLICA - ORLA DA ENSEADA</t>
  </si>
  <si>
    <t>0057983906</t>
  </si>
  <si>
    <t>Faturas_Palhoça_IP.pdf: 12 | Palhoça_Faturas-2.pdf: 83, 212</t>
  </si>
  <si>
    <t>AFONSO PENA PÇ FREI DAMIÃO</t>
  </si>
  <si>
    <t>0058062847</t>
  </si>
  <si>
    <t>Faturas_Palhoça_IP.pdf: 8 | Palhoça_Faturas-2.pdf: 79, 208</t>
  </si>
  <si>
    <t>XV DE NOVEMBRO 95 ILUMINACAO PUBLICA</t>
  </si>
  <si>
    <t>0058063649</t>
  </si>
  <si>
    <t>Faturas_Palhoça_IP.pdf: 2 | Palhoça_Faturas-2.pdf: 74, 203</t>
  </si>
  <si>
    <t>ADERBAL RAMOS DA SILVA ILUMINAÇÃO PUBLICA</t>
  </si>
  <si>
    <t>0058086860</t>
  </si>
  <si>
    <t>Faturas_Palhoça_IP.pdf: 14 | Palhoça_Faturas-2.pdf: 85, 214</t>
  </si>
  <si>
    <t>CARLOS SCHUTZ ILUMINAÇÃO PÚBLICA</t>
  </si>
  <si>
    <t>0058089540</t>
  </si>
  <si>
    <t>Faturas_Palhoça_IP.pdf: 5 | Palhoça_Faturas-2.pdf: 77, 205</t>
  </si>
  <si>
    <t>LIDO ILUMINAÇÃO PÚBLICA</t>
  </si>
  <si>
    <t>0058090034</t>
  </si>
  <si>
    <t>Faturas_Palhoça_IP.pdf: 5 | Palhoça_Faturas-2.pdf: 77, 206</t>
  </si>
  <si>
    <t>JOAO MARTINS FILHO 15 ILUMINACAO PUBLICA - QUADRO 01</t>
  </si>
  <si>
    <t>0058220884</t>
  </si>
  <si>
    <t>Faturas_Palhoça_IP.pdf: 14 | Palhoça_Faturas-2.pdf: 86, 214</t>
  </si>
  <si>
    <t>VILSON JOSE COELHO 291 ILUMINACAO PUBLICA - QUADRO 02</t>
  </si>
  <si>
    <t>0058221023</t>
  </si>
  <si>
    <t>Faturas_Palhoça_IP.pdf: 14 | Palhoça_Faturas-2.pdf: 86, 215</t>
  </si>
  <si>
    <t>CLAUDEMIRO JOAO SAIBERT ILUMINACAO PUBLICA</t>
  </si>
  <si>
    <t>0058221465</t>
  </si>
  <si>
    <t>Faturas_Palhoça_IP.pdf: 10 | Palhoça_Faturas-2.pdf: 82, 210</t>
  </si>
  <si>
    <t>CLAUDIO OSMAR DA SILVA 783 FR ILUMINACAO PUBLICA</t>
  </si>
  <si>
    <t>0058222429</t>
  </si>
  <si>
    <t>Faturas_Palhoça_IP.pdf: 3 | Palhoça_Faturas-2.pdf: 74, 203</t>
  </si>
  <si>
    <t>SAO LEOPOLDO 4 ILUMINACAO PUBLICA</t>
  </si>
  <si>
    <t>0058222755</t>
  </si>
  <si>
    <t>Faturas_Palhoça_IP.pdf: 10 | Palhoça_Faturas-2.pdf: 82, 211</t>
  </si>
  <si>
    <t>VERONICA BEPPLER SCHUTZ ILUMINAÇÃO PUBLICA</t>
  </si>
  <si>
    <t>0058225177</t>
  </si>
  <si>
    <t>Faturas_Palhoça_IP.pdf: 3 | Palhoça_Faturas-2.pdf: 75, 204</t>
  </si>
  <si>
    <t>OSMAR RODAO GARCIA 27 ILUMINACAO PUBLICA - PRACA OSMAR RODAO</t>
  </si>
  <si>
    <t>0058633810</t>
  </si>
  <si>
    <t>Faturas_Palhoça_IP.pdf: 10 | Palhoça_Faturas-2.pdf: 81, 210</t>
  </si>
  <si>
    <t>MANOEL MARTINS ILUMINACAO PUBLICA PRACA PRAIA DE BAIXO</t>
  </si>
  <si>
    <t>0058634212</t>
  </si>
  <si>
    <t>Faturas_Palhoça_IP.pdf: 13 | Palhoça_Faturas-2.pdf: 85, 213</t>
  </si>
  <si>
    <t>JANDAIA 395 IP PRACA VIZINHOS UNIDOS</t>
  </si>
  <si>
    <t>0058641235</t>
  </si>
  <si>
    <t>Faturas_Palhoça_IP.pdf: 12 | Palhoça_Faturas-2.pdf: 84, 212</t>
  </si>
  <si>
    <t>DO AMOR PERFEITO IP PRACA DO AMOR PERFEITO</t>
  </si>
  <si>
    <t>0058641286</t>
  </si>
  <si>
    <t>Faturas_Palhoça_IP.pdf: 6 | Palhoça_Faturas-2.pdf: 78, 207</t>
  </si>
  <si>
    <t>DAS BARONESAS IP PRACA DAS GARDENIAS</t>
  </si>
  <si>
    <t>0058641553</t>
  </si>
  <si>
    <t>Faturas_Palhoça_IP.pdf: 7 | Palhoça_Faturas-2.pdf: 78, 207</t>
  </si>
  <si>
    <t>BOM RETIRO ILUMINACAO PUBLICA</t>
  </si>
  <si>
    <t>0058641740</t>
  </si>
  <si>
    <t>Faturas_Palhoça_IP.pdf: 8 | Palhoça_Faturas-2.pdf: 80, 209</t>
  </si>
  <si>
    <t>EMILIA DE MEDEIROS GOULART ILUMINACAO PUBLICA</t>
  </si>
  <si>
    <t>0058642070</t>
  </si>
  <si>
    <t>Faturas_Palhoça_IP.pdf: 11 | Palhoça_Faturas-2.pdf: 82, 211</t>
  </si>
  <si>
    <t>LUCA 387 IP PARQUE DO PAGANI</t>
  </si>
  <si>
    <t>0058642525</t>
  </si>
  <si>
    <t>ANICETO ZACCHI 19</t>
  </si>
  <si>
    <t>0059013963</t>
  </si>
  <si>
    <t>Faturas_Palhoça_IP.pdf: 2</t>
  </si>
  <si>
    <t>RECANTO DOS SANTOS 110</t>
  </si>
  <si>
    <t>0059044744</t>
  </si>
  <si>
    <t>Faturas_Palhoça_IP.pdf: 6 | Palhoça_Faturas-2.pdf: 77, 206</t>
  </si>
  <si>
    <t>DEMANDA CONTRATADA ÚNICA/ FORA PONTA(KW)</t>
  </si>
  <si>
    <t>DEMANDA ULTRAPASSADA/ DEMANDA NÃO UTILIZADA</t>
  </si>
  <si>
    <t>DEMANDA HP</t>
  </si>
  <si>
    <t>DEMANDA FHP</t>
  </si>
  <si>
    <t>MÉDIA</t>
  </si>
  <si>
    <t>SALVADOR ACISCLO DA SILVEIRA CAIC</t>
  </si>
  <si>
    <t>0020754699</t>
  </si>
  <si>
    <t>A4</t>
  </si>
  <si>
    <t>Palhoça_Faturas-1.pdf: 12, 120, 232, 361, 471 | Palhoça_Faturas-2.pdf: 103, 229, 340, 458 | Palhoça_Faturas-3.pdf: 125, 248, 375</t>
  </si>
  <si>
    <t>GERAL MORRETES UM 245 AGUAS DE PALHOCA</t>
  </si>
  <si>
    <t>0023596202</t>
  </si>
  <si>
    <t>Palhoça_Faturas-1.pdf: 337 | Palhoça_Faturas-2.pdf: 73</t>
  </si>
  <si>
    <t>AMARO FERREIRA DE MACEDO UNIDADE CENTRAL</t>
  </si>
  <si>
    <t>0026792800</t>
  </si>
  <si>
    <t>Palhoça_Faturas-1.pdf: 76, 184, 295, 426 | Palhoça_Faturas-2.pdf: 36, 169, 293, 402 | Palhoça_Faturas-3.pdf: 68, 197, 323, 453</t>
  </si>
  <si>
    <t>NEREU GUIZONE EB PROF ANTONIETA S DE SOUZA</t>
  </si>
  <si>
    <t>0027541429</t>
  </si>
  <si>
    <t>Palhoça_Faturas-1.pdf: 14, 121, 231, 360, 472 | Palhoça_Faturas-2.pdf: 102, 228, 339, 457 | Palhoça_Faturas-3.pdf: 123, 247, 373</t>
  </si>
  <si>
    <t>VEREADOR ROGERIO DA SILVA 0 FU 74087 POSTO DE SAUDE</t>
  </si>
  <si>
    <t>0040105514</t>
  </si>
  <si>
    <t>Palhoça_Faturas-1.pdf: 76, 184, 295, 425 | Palhoça_Faturas-2.pdf: 36, 168, 291, 404 | Palhoça_Faturas-3.pdf: 69, 198, 321, 451</t>
  </si>
  <si>
    <t>GENESIO FRANCISCO MARTINS 0 FU 74088 POSTO DE SAUDE</t>
  </si>
  <si>
    <t>0040106570</t>
  </si>
  <si>
    <t>Palhoça_Faturas-1.pdf: 75, 183, 294, 425 | Palhoça_Faturas-2.pdf: 35, 166, 292, 405 | Palhoça_Faturas-3.pdf: 69, 198, 322, 452</t>
  </si>
  <si>
    <t>SALVADOR ACISCLO DA SILVEIRA FU 74089 POSTO DE SAUDE</t>
  </si>
  <si>
    <t>0040106693</t>
  </si>
  <si>
    <t>Palhoça_Faturas-1.pdf: 75, 185, 296, 424 | Palhoça_Faturas-2.pdf: 37, 167, 294, 403 | Palhoça_Faturas-3.pdf: 70, 199, 322, 452</t>
  </si>
  <si>
    <t>VIDAL PROCOPIO LOHN 1081 FATENP</t>
  </si>
  <si>
    <t>0041411350</t>
  </si>
  <si>
    <t>Palhoça_Faturas-1.pdf: 13, 121, 232, 361, 472 | Palhoça_Faturas-2.pdf: 103, 229, 340, 458 | Palhoça_Faturas-3.pdf: 124, 248, 374</t>
  </si>
  <si>
    <t>SAO MATHEUS UPA - FU 74040</t>
  </si>
  <si>
    <t>0043478320</t>
  </si>
  <si>
    <t>Palhoça_Faturas-1.pdf: 186, 297, 423 | Palhoça_Faturas-2.pdf: 35, 168, 294, 403 | Palhoça_Faturas-3.pdf: 70, 200, 324, 453</t>
  </si>
  <si>
    <t>CECILIA MARIA ESPINDOLA 0 ESTAÇÃO DE TRATAMENTO FU 73911</t>
  </si>
  <si>
    <t>0044419564</t>
  </si>
  <si>
    <t>DAS QUARESMEIRAS 0 E.B. MARA LUIZA VIERA LIBERATO</t>
  </si>
  <si>
    <t>0044502690</t>
  </si>
  <si>
    <t>Palhoça_Faturas-1.pdf: 13, 120, 231, 362, 473 | Palhoça_Faturas-2.pdf: 102, 230, 341, 457 | Palhoça_Faturas-3.pdf: 124, 247, 374</t>
  </si>
  <si>
    <t>JOSE JOAO BARCELOS ETE - FU 73865</t>
  </si>
  <si>
    <t>0046199642</t>
  </si>
  <si>
    <t>Palhoça_Faturas-1.pdf: 336 | Palhoça_Faturas-2.pdf: 72</t>
  </si>
  <si>
    <t>RADIANTE UPA 24H SUL- PRAIA DO SONHO</t>
  </si>
  <si>
    <t>0048549071</t>
  </si>
  <si>
    <t>Palhoça_Faturas-1.pdf: 74, 185, 296, 424 | Palhoça_Faturas-2.pdf: 34, 167, 293, 404 | Palhoça_Faturas-3.pdf: 71, 199, 323, 454</t>
  </si>
  <si>
    <t>B3 (PODER PÚBLICO) e B4 (ILUMINAÇÃO PÚBLICA)</t>
  </si>
  <si>
    <t>DIMENSIONAMENTO TOTAL</t>
  </si>
  <si>
    <t>DIMENSIONAMENTO UFV (B3)</t>
  </si>
  <si>
    <t>TARIFA (TE+TUSD)</t>
  </si>
  <si>
    <t>kWp</t>
  </si>
  <si>
    <t>CONSUMO TOTAL MÉDIOO/ MÊS (DESCONTANDO-SE A DISPONIBILIDADE MÍNIMA)</t>
  </si>
  <si>
    <t>kWh</t>
  </si>
  <si>
    <t>CUSTO TOTAL HORA PONTA</t>
  </si>
  <si>
    <t>DIMENSIONAMENTO UFV (B4A Iluminação Pública)</t>
  </si>
  <si>
    <t>HSP LOCAL</t>
  </si>
  <si>
    <t>Horas de Sol Pico</t>
  </si>
  <si>
    <t>DIMENSIONAMENTO UFV (A4 HORA PONTA)</t>
  </si>
  <si>
    <t>EFICIÊNCIA</t>
  </si>
  <si>
    <t>Fator de Eficiência</t>
  </si>
  <si>
    <t>DIMENSIONAMENTO UFV (A4 HORA FORA PONTA)</t>
  </si>
  <si>
    <t>DIAS DO MÊS</t>
  </si>
  <si>
    <t>Quantidade de Dias</t>
  </si>
  <si>
    <t>TOTAL</t>
  </si>
  <si>
    <t>POTÊNCIA UFV NECESSÁRIA</t>
  </si>
  <si>
    <t>RESUMO FINANCEIRO - ENERGIA</t>
  </si>
  <si>
    <t>CUSTO B3</t>
  </si>
  <si>
    <t>CUSTO B4A Iluminação Pública</t>
  </si>
  <si>
    <t>CUSTO A4 HORA PONTA</t>
  </si>
  <si>
    <t>CUSTO A4 HORA FORA PONTA</t>
  </si>
  <si>
    <t>CUSTO TOTAL ENERGIA (KWH)</t>
  </si>
  <si>
    <t>CUSTO UFV</t>
  </si>
  <si>
    <t>MWP</t>
  </si>
  <si>
    <t>CUSTO UFV B3</t>
  </si>
  <si>
    <t>A4 - PODER PÚBLICO</t>
  </si>
  <si>
    <t>CUSTO UFV B4A Iluminação Pública</t>
  </si>
  <si>
    <t>CUSTO UFV A4 HORA PONTA</t>
  </si>
  <si>
    <t>CUSTO  UFV A4 HORA FORA PONTA</t>
  </si>
  <si>
    <t>CUSTO TOTAL UFV</t>
  </si>
  <si>
    <t>FATOR DE AJUSTE (Geração)</t>
  </si>
  <si>
    <t>PAYBACK SIMPLES</t>
  </si>
  <si>
    <t>MESES</t>
  </si>
  <si>
    <t>CUSTO TOTAL FORA HORA PONTA</t>
  </si>
  <si>
    <t>RESUMO DE CONSUMO P/ POSTO TARIFÁRIO</t>
  </si>
  <si>
    <t>POSTO TARIFÁRIO</t>
  </si>
  <si>
    <t>MWH/ANO</t>
  </si>
  <si>
    <t>%</t>
  </si>
  <si>
    <t>B4</t>
  </si>
  <si>
    <t>B4A ILUMINAÇÃO PÚBLICA</t>
  </si>
  <si>
    <t>A4 PONTA</t>
  </si>
  <si>
    <t>A4 FORA PONTA</t>
  </si>
  <si>
    <t>TOTAL CONSUMO</t>
  </si>
  <si>
    <t>Code</t>
  </si>
  <si>
    <t>Type</t>
  </si>
  <si>
    <t>Tariff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</si>
  <si>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</si>
  <si>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</si>
  <si>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</si>
  <si>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</si>
  <si>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</si>
  <si>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</si>
  <si>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</si>
  <si>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</si>
  <si>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</si>
  <si>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</si>
  <si>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</si>
  <si>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</si>
  <si>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</si>
  <si>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B4A</t>
  </si>
  <si>
    <t>Campos Guyatacazes Faturas</t>
  </si>
  <si>
    <t>CUSTO CONSUMO HP (KWH)</t>
  </si>
  <si>
    <t>CUSTO CONSUMO HFP/ÚNICO (KWH)</t>
  </si>
  <si>
    <t>A4 AZUL</t>
  </si>
  <si>
    <t>RUA PATRíCIO MENEZES SN CAMPO DO GRÊMIO
CUSTODOPOLIS CAMPOS DOS GOYTACAZES</t>
  </si>
  <si>
    <t>-</t>
  </si>
  <si>
    <t>CUSTO ACR</t>
  </si>
  <si>
    <t>MAIS DEMANDA CONTRATADA</t>
  </si>
  <si>
    <t>* Redução de Demanda Contratada</t>
  </si>
  <si>
    <t>CUSTO ACL</t>
  </si>
  <si>
    <t>TE ACL</t>
  </si>
  <si>
    <t>VERDE</t>
  </si>
  <si>
    <t>azul</t>
  </si>
  <si>
    <t>MAIOR DEMANDA MEDIDA</t>
  </si>
  <si>
    <t>DEMANDA NÃO UTILIZADA</t>
  </si>
  <si>
    <t>MAIOR DEMANDA ULTRAPASSADA</t>
  </si>
  <si>
    <t>DEMANDA ULTRAPASSADA HORA PONTA</t>
  </si>
  <si>
    <t>DEMANDA ULTRAPASSADA HORA FORA PONTA</t>
  </si>
  <si>
    <t>DEMANDA CONTRATADA E NÃO UTILIZADA</t>
  </si>
  <si>
    <t>DEMANDA ULTRAPASSADA E PAGA PELA PREFEITURA, DURANTE 1 ANO.</t>
  </si>
  <si>
    <t>bonardi_fatura_antes.pdf</t>
  </si>
  <si>
    <t>47192046</t>
  </si>
  <si>
    <t>R JATOBA, 841 - PE 612 10, EUCALIPTOS, FAZENDA RIO GRANDE - PR, CEP: 83820-096</t>
  </si>
  <si>
    <t>Fazenda Rio Grande -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</si>
</sst>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"/>
    <numFmt numFmtId="165" formatCode="0.0"/>
    <numFmt numFmtId="166" formatCode="[$R$ -416]#,##0.00"/>
  </numFmts>
  <fonts count="19">
    <font>
      <sz val="11"/>
      <color theme="1"/>
      <name val="Calibri"/>
      <charset val="1"/>
    </font>
    <font>
      <b/>
      <sz val="18"/>
      <color theme="1"/>
      <name val="Calibri"/>
      <charset val="1"/>
    </font>
    <font>
      <b/>
      <sz val="11"/>
      <color theme="1"/>
      <name val="Avenir"/>
      <charset val="1"/>
    </font>
    <font>
      <sz val="12"/>
      <color theme="1"/>
      <name val="Avenir"/>
      <charset val="1"/>
    </font>
    <font>
      <sz val="11"/>
      <color theme="1"/>
      <name val="Avenir"/>
      <charset val="1"/>
    </font>
    <font>
      <b/>
      <sz val="18"/>
      <color theme="1"/>
      <name val="Avenir"/>
      <charset val="1"/>
    </font>
    <font>
      <b/>
      <sz val="12"/>
      <color theme="1"/>
      <name val="Avenir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2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2"/>
      <color theme="1"/>
      <name val="Avenir"/>
    </font>
    <font>
      <sz val="12"/>
      <name val="Avenir"/>
    </font>
    <font>
      <sz val="12"/>
      <color rgb="FF000000"/>
      <name val="Avenir"/>
    </font>
    <font>
      <sz val="12"/>
      <color rgb="FF0000FF"/>
      <name val="Avenir"/>
    </font>
  </fonts>
  <fills count="10">
    <fill>
      <patternFill patternType="none"/>
    </fill>
    <fill>
      <patternFill patternType="gray125"/>
    </fill>
    <fill>
      <patternFill patternType="solid">
        <fgColor rgb="FFD6DCE4"/>
        <bgColor rgb="FFBDD6EE"/>
      </patternFill>
    </fill>
    <fill>
      <patternFill patternType="solid">
        <fgColor rgb="FFE2EFD9"/>
        <bgColor rgb="FFE9F0F7"/>
      </patternFill>
    </fill>
    <fill>
      <patternFill patternType="solid">
        <fgColor rgb="FFBDD6EE"/>
        <bgColor rgb="FFD6DCE4"/>
      </patternFill>
    </fill>
    <fill>
      <patternFill patternType="solid">
        <fgColor theme="0"/>
        <bgColor rgb="FFFFFFCC"/>
      </patternFill>
    </fill>
    <fill>
      <patternFill patternType="solid">
        <fgColor rgb="FFE9F0F7"/>
        <bgColor rgb="FFE2EF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D6DCE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133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4" fillId="0" borderId="0" xfId="1"/>
    <xf numFmtId="0" fontId="6" fillId="4" borderId="2" xfId="1" applyFont="1" applyFill="1" applyBorder="1" applyAlignment="1">
      <alignment horizontal="center" vertical="center" wrapText="1"/>
    </xf>
    <xf numFmtId="1" fontId="6" fillId="4" borderId="1" xfId="1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0" fillId="5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49" fontId="3" fillId="5" borderId="1" xfId="1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1" fontId="3" fillId="4" borderId="1" xfId="1" applyNumberFormat="1" applyFont="1" applyFill="1" applyBorder="1" applyAlignment="1">
      <alignment horizontal="center" vertical="center" wrapText="1"/>
    </xf>
    <xf numFmtId="0" fontId="14" fillId="5" borderId="0" xfId="1" applyFill="1" applyAlignment="1">
      <alignment horizontal="center" vertical="center" wrapText="1"/>
    </xf>
    <xf numFmtId="1" fontId="14" fillId="5" borderId="0" xfId="1" applyNumberFormat="1" applyFill="1" applyAlignment="1">
      <alignment horizontal="center" vertical="center" wrapText="1"/>
    </xf>
    <xf numFmtId="1" fontId="14" fillId="0" borderId="0" xfId="1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3" fillId="3" borderId="1" xfId="1" applyFont="1" applyFill="1" applyBorder="1" applyAlignment="1">
      <alignment horizontal="center" vertical="center" wrapText="1"/>
    </xf>
    <xf numFmtId="0" fontId="3" fillId="0" borderId="0" xfId="1" applyFont="1"/>
    <xf numFmtId="0" fontId="12" fillId="0" borderId="0" xfId="1" applyFont="1"/>
    <xf numFmtId="0" fontId="3" fillId="5" borderId="4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0" borderId="1" xfId="1" applyFont="1" applyBorder="1"/>
    <xf numFmtId="0" fontId="3" fillId="5" borderId="5" xfId="1" applyFont="1" applyFill="1" applyBorder="1" applyAlignment="1">
      <alignment horizontal="center" vertical="center" wrapText="1"/>
    </xf>
    <xf numFmtId="166" fontId="14" fillId="5" borderId="0" xfId="1" applyNumberFormat="1" applyFill="1" applyAlignment="1">
      <alignment horizontal="center" vertical="center" wrapText="1"/>
    </xf>
    <xf numFmtId="0" fontId="14" fillId="5" borderId="0" xfId="1" applyFill="1"/>
    <xf numFmtId="0" fontId="14" fillId="5" borderId="6" xfId="1" applyFill="1" applyBorder="1"/>
    <xf numFmtId="0" fontId="14" fillId="0" borderId="7" xfId="1" applyBorder="1"/>
    <xf numFmtId="0" fontId="13" fillId="5" borderId="1" xfId="1" applyFont="1" applyFill="1" applyBorder="1" applyAlignment="1">
      <alignment horizontal="center" vertical="center"/>
    </xf>
    <xf numFmtId="0" fontId="13" fillId="5" borderId="0" xfId="1" applyFont="1" applyFill="1" applyAlignment="1">
      <alignment horizontal="center" vertical="center" wrapText="1"/>
    </xf>
    <xf numFmtId="0" fontId="13" fillId="5" borderId="6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2" fontId="14" fillId="5" borderId="1" xfId="1" applyNumberFormat="1" applyFill="1" applyBorder="1" applyAlignment="1">
      <alignment horizontal="center" vertical="center" wrapText="1"/>
    </xf>
    <xf numFmtId="0" fontId="14" fillId="5" borderId="1" xfId="1" applyFill="1" applyBorder="1" applyAlignment="1">
      <alignment horizontal="center" vertical="center" wrapText="1"/>
    </xf>
    <xf numFmtId="166" fontId="14" fillId="0" borderId="1" xfId="1" applyNumberFormat="1" applyBorder="1" applyAlignment="1">
      <alignment horizontal="center" vertical="center"/>
    </xf>
    <xf numFmtId="0" fontId="14" fillId="0" borderId="0" xfId="1" applyAlignment="1">
      <alignment horizontal="center"/>
    </xf>
    <xf numFmtId="1" fontId="14" fillId="5" borderId="1" xfId="1" applyNumberFormat="1" applyFill="1" applyBorder="1" applyAlignment="1">
      <alignment horizontal="center" vertical="center" wrapText="1"/>
    </xf>
    <xf numFmtId="9" fontId="14" fillId="0" borderId="0" xfId="1" applyNumberFormat="1"/>
    <xf numFmtId="0" fontId="14" fillId="5" borderId="8" xfId="1" applyFill="1" applyBorder="1"/>
    <xf numFmtId="0" fontId="14" fillId="0" borderId="9" xfId="1" applyBorder="1"/>
    <xf numFmtId="0" fontId="14" fillId="0" borderId="10" xfId="1" applyBorder="1"/>
    <xf numFmtId="0" fontId="13" fillId="5" borderId="3" xfId="1" applyFont="1" applyFill="1" applyBorder="1" applyAlignment="1">
      <alignment horizontal="center" vertical="center"/>
    </xf>
    <xf numFmtId="166" fontId="13" fillId="5" borderId="11" xfId="1" applyNumberFormat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14" fillId="0" borderId="6" xfId="1" applyBorder="1"/>
    <xf numFmtId="0" fontId="13" fillId="3" borderId="1" xfId="1" applyFont="1" applyFill="1" applyBorder="1" applyAlignment="1">
      <alignment horizontal="center" vertical="center" wrapText="1"/>
    </xf>
    <xf numFmtId="0" fontId="14" fillId="3" borderId="1" xfId="1" applyFill="1" applyBorder="1" applyAlignment="1">
      <alignment horizontal="center" vertical="center" wrapText="1"/>
    </xf>
    <xf numFmtId="1" fontId="13" fillId="5" borderId="1" xfId="1" applyNumberFormat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14" fillId="4" borderId="1" xfId="1" applyFill="1" applyBorder="1" applyAlignment="1">
      <alignment horizontal="center" vertical="center" wrapText="1"/>
    </xf>
    <xf numFmtId="1" fontId="14" fillId="4" borderId="1" xfId="1" applyNumberFormat="1" applyFill="1" applyBorder="1" applyAlignment="1">
      <alignment horizontal="center" vertical="center" wrapText="1"/>
    </xf>
    <xf numFmtId="10" fontId="14" fillId="4" borderId="1" xfId="1" applyNumberForma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166" fontId="0" fillId="0" borderId="0" xfId="0" applyNumberFormat="1"/>
    <xf numFmtId="0" fontId="13" fillId="0" borderId="0" xfId="0" applyFont="1"/>
    <xf numFmtId="166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3" fillId="0" borderId="0" xfId="0" applyNumberFormat="1" applyFont="1"/>
    <xf numFmtId="166" fontId="0" fillId="5" borderId="0" xfId="0" applyNumberForma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3" fillId="5" borderId="4" xfId="1" applyFont="1" applyFill="1" applyBorder="1" applyAlignment="1">
      <alignment horizontal="center"/>
    </xf>
    <xf numFmtId="0" fontId="13" fillId="5" borderId="1" xfId="1" applyFont="1" applyFill="1" applyBorder="1" applyAlignment="1">
      <alignment horizontal="center" vertical="center"/>
    </xf>
    <xf numFmtId="0" fontId="13" fillId="5" borderId="1" xfId="1" applyFont="1" applyFill="1" applyBorder="1" applyAlignment="1">
      <alignment horizontal="center" vertical="center" wrapText="1"/>
    </xf>
    <xf numFmtId="166" fontId="13" fillId="5" borderId="1" xfId="1" applyNumberFormat="1" applyFont="1" applyFill="1" applyBorder="1" applyAlignment="1">
      <alignment horizontal="center" vertical="center" wrapText="1"/>
    </xf>
    <xf numFmtId="166" fontId="13" fillId="5" borderId="1" xfId="1" applyNumberFormat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center"/>
    </xf>
    <xf numFmtId="0" fontId="13" fillId="3" borderId="1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wrapText="1"/>
    </xf>
    <xf numFmtId="0" fontId="15" fillId="7" borderId="0" xfId="1" applyFont="1" applyFill="1"/>
    <xf numFmtId="0" fontId="16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6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DCE4"/>
      <rgbColor rgb="FF808080"/>
      <rgbColor rgb="FF9999FF"/>
      <rgbColor rgb="FF993366"/>
      <rgbColor rgb="FFFFFFCC"/>
      <rgbColor rgb="FFE9F0F7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1"/>
  <sheetViews>
    <sheetView zoomScaleNormal="100" workbookViewId="0">
      <pane ySplit="4" topLeftCell="A5" activePane="bottomLeft" state="frozen"/>
      <selection pane="bottomLeft" activeCell="B6" sqref="B6"/>
    </sheetView>
  </sheetViews>
  <sheetFormatPr defaultColWidth="14.42578125" defaultRowHeight="15"/>
  <cols>
    <col min="1" max="1" width="46.85546875" customWidth="1"/>
    <col min="2" max="2" width="80.140625" customWidth="1"/>
    <col min="3" max="3" width="19" customWidth="1"/>
    <col min="4" max="4" width="21.28515625" customWidth="1"/>
    <col min="5" max="5" width="21" customWidth="1"/>
    <col min="6" max="6" width="18.42578125" customWidth="1"/>
    <col min="7" max="7" width="23.28515625" customWidth="1"/>
    <col min="8" max="8" width="6.5703125" customWidth="1"/>
    <col min="9" max="14" width="6.42578125" customWidth="1"/>
    <col min="15" max="15" width="5.42578125" customWidth="1"/>
    <col min="16" max="19" width="6.42578125" customWidth="1"/>
    <col min="20" max="20" width="19.5703125" customWidth="1"/>
    <col min="21" max="21" width="10.28515625" customWidth="1"/>
    <col min="22" max="32" width="7.5703125" customWidth="1"/>
    <col min="33" max="33" width="22.28515625" customWidth="1"/>
    <col min="34" max="34" width="69.28515625" customWidth="1"/>
  </cols>
  <sheetData>
    <row r="1" spans="1:34" ht="15" customHeight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</row>
    <row r="2" spans="1:34" ht="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</row>
    <row r="3" spans="1:34" ht="15" customHeight="1">
      <c r="A3" s="97" t="s">
        <v>0</v>
      </c>
      <c r="B3" s="97" t="s">
        <v>1</v>
      </c>
      <c r="C3" s="97" t="s">
        <v>2</v>
      </c>
      <c r="D3" s="97" t="s">
        <v>3</v>
      </c>
      <c r="E3" s="97" t="s">
        <v>4</v>
      </c>
      <c r="F3" s="97" t="s">
        <v>5</v>
      </c>
      <c r="G3" s="97" t="s">
        <v>6</v>
      </c>
      <c r="H3" s="98" t="s">
        <v>7</v>
      </c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9" t="s">
        <v>8</v>
      </c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5" t="s">
        <v>9</v>
      </c>
    </row>
    <row r="4" spans="1:34" ht="31.5" customHeight="1">
      <c r="A4" s="97"/>
      <c r="B4" s="97"/>
      <c r="C4" s="97"/>
      <c r="D4" s="97"/>
      <c r="E4" s="97"/>
      <c r="F4" s="97"/>
      <c r="G4" s="97"/>
      <c r="H4" s="4">
        <v>1</v>
      </c>
      <c r="I4" s="4">
        <v>2</v>
      </c>
      <c r="J4" s="4">
        <v>3</v>
      </c>
      <c r="K4" s="4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4">
        <v>10</v>
      </c>
      <c r="R4" s="4">
        <v>11</v>
      </c>
      <c r="S4" s="4">
        <v>12</v>
      </c>
      <c r="T4" s="4" t="s">
        <v>10</v>
      </c>
      <c r="U4" s="3">
        <v>1</v>
      </c>
      <c r="V4" s="3">
        <v>2</v>
      </c>
      <c r="W4" s="3">
        <v>3</v>
      </c>
      <c r="X4" s="3">
        <v>4</v>
      </c>
      <c r="Y4" s="3">
        <v>5</v>
      </c>
      <c r="Z4" s="3">
        <v>6</v>
      </c>
      <c r="AA4" s="3">
        <v>7</v>
      </c>
      <c r="AB4" s="3">
        <v>8</v>
      </c>
      <c r="AC4" s="3">
        <v>9</v>
      </c>
      <c r="AD4" s="3">
        <v>10</v>
      </c>
      <c r="AE4" s="3">
        <v>11</v>
      </c>
      <c r="AF4" s="3">
        <v>12</v>
      </c>
      <c r="AG4" s="3" t="s">
        <v>11</v>
      </c>
      <c r="AH4" s="5"/>
    </row>
    <row r="5" spans="1:34" ht="15.75" customHeight="1">
      <c r="A5" s="6"/>
      <c r="B5" s="6"/>
      <c r="C5" s="6"/>
      <c r="D5" s="6" t="s">
        <v>12</v>
      </c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6"/>
    </row>
    <row r="6" spans="1:34" ht="15.75" customHeight="1">
      <c r="A6" s="6" t="s">
        <v>13</v>
      </c>
      <c r="B6" s="6" t="s">
        <v>14</v>
      </c>
      <c r="C6" s="6">
        <v>2661902</v>
      </c>
      <c r="D6" s="6" t="s">
        <v>15</v>
      </c>
      <c r="E6" s="6"/>
      <c r="F6" s="6"/>
      <c r="G6" s="6">
        <f t="shared" ref="G6:G69" si="0">E6-F6</f>
        <v>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6" t="s">
        <v>16</v>
      </c>
    </row>
    <row r="7" spans="1:34" ht="30" customHeight="1">
      <c r="A7" s="6" t="s">
        <v>17</v>
      </c>
      <c r="B7" s="6" t="s">
        <v>18</v>
      </c>
      <c r="C7" s="6">
        <v>26202</v>
      </c>
      <c r="D7" s="6" t="s">
        <v>15</v>
      </c>
      <c r="E7" s="6"/>
      <c r="F7" s="6"/>
      <c r="G7" s="6">
        <f t="shared" si="0"/>
        <v>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6" t="s">
        <v>16</v>
      </c>
    </row>
    <row r="8" spans="1:34" ht="30" customHeight="1">
      <c r="A8" s="6" t="s">
        <v>17</v>
      </c>
      <c r="B8" s="6" t="s">
        <v>19</v>
      </c>
      <c r="C8" s="6">
        <v>3850</v>
      </c>
      <c r="D8" s="6" t="s">
        <v>15</v>
      </c>
      <c r="E8" s="6"/>
      <c r="F8" s="6"/>
      <c r="G8" s="6">
        <f t="shared" si="0"/>
        <v>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6" t="s">
        <v>16</v>
      </c>
    </row>
    <row r="9" spans="1:34" ht="30" customHeight="1">
      <c r="A9" s="6" t="s">
        <v>17</v>
      </c>
      <c r="B9" s="6" t="s">
        <v>20</v>
      </c>
      <c r="C9" s="6">
        <v>3851</v>
      </c>
      <c r="D9" s="6" t="s">
        <v>15</v>
      </c>
      <c r="E9" s="6"/>
      <c r="F9" s="6"/>
      <c r="G9" s="6">
        <f t="shared" si="0"/>
        <v>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6" t="s">
        <v>16</v>
      </c>
    </row>
    <row r="10" spans="1:34" ht="30" customHeight="1">
      <c r="A10" s="6" t="s">
        <v>17</v>
      </c>
      <c r="B10" s="6" t="s">
        <v>21</v>
      </c>
      <c r="C10" s="6">
        <v>2876469</v>
      </c>
      <c r="D10" s="6" t="s">
        <v>15</v>
      </c>
      <c r="E10" s="6"/>
      <c r="F10" s="6"/>
      <c r="G10" s="6">
        <f t="shared" si="0"/>
        <v>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6" t="s">
        <v>16</v>
      </c>
    </row>
    <row r="11" spans="1:34" ht="30" customHeight="1">
      <c r="A11" s="6" t="s">
        <v>17</v>
      </c>
      <c r="B11" s="6" t="s">
        <v>22</v>
      </c>
      <c r="C11" s="6">
        <v>8354881</v>
      </c>
      <c r="D11" s="6" t="s">
        <v>15</v>
      </c>
      <c r="E11" s="6"/>
      <c r="F11" s="6"/>
      <c r="G11" s="6">
        <f t="shared" si="0"/>
        <v>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6" t="s">
        <v>23</v>
      </c>
    </row>
    <row r="12" spans="1:34" ht="30" customHeight="1">
      <c r="A12" s="6" t="s">
        <v>17</v>
      </c>
      <c r="B12" s="6" t="s">
        <v>24</v>
      </c>
      <c r="C12" s="6">
        <v>25099</v>
      </c>
      <c r="D12" s="6" t="s">
        <v>25</v>
      </c>
      <c r="E12" s="6"/>
      <c r="F12" s="6"/>
      <c r="G12" s="6">
        <f t="shared" si="0"/>
        <v>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6" t="s">
        <v>26</v>
      </c>
    </row>
    <row r="13" spans="1:34" ht="30" customHeight="1">
      <c r="A13" s="6" t="s">
        <v>17</v>
      </c>
      <c r="B13" s="6" t="s">
        <v>27</v>
      </c>
      <c r="C13" s="6">
        <v>24495</v>
      </c>
      <c r="D13" s="6" t="s">
        <v>25</v>
      </c>
      <c r="E13" s="6"/>
      <c r="F13" s="6"/>
      <c r="G13" s="6">
        <f t="shared" si="0"/>
        <v>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6" t="s">
        <v>26</v>
      </c>
    </row>
    <row r="14" spans="1:34" ht="30" customHeight="1">
      <c r="A14" s="6" t="s">
        <v>17</v>
      </c>
      <c r="B14" s="6" t="s">
        <v>28</v>
      </c>
      <c r="C14" s="6">
        <v>26421</v>
      </c>
      <c r="D14" s="6" t="s">
        <v>15</v>
      </c>
      <c r="E14" s="6"/>
      <c r="F14" s="6"/>
      <c r="G14" s="6">
        <f t="shared" si="0"/>
        <v>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6" t="s">
        <v>26</v>
      </c>
    </row>
    <row r="15" spans="1:34" ht="30" customHeight="1">
      <c r="A15" s="6" t="s">
        <v>17</v>
      </c>
      <c r="B15" s="6" t="s">
        <v>29</v>
      </c>
      <c r="C15" s="6">
        <v>3858181</v>
      </c>
      <c r="D15" s="6" t="s">
        <v>15</v>
      </c>
      <c r="E15" s="6"/>
      <c r="F15" s="6"/>
      <c r="G15" s="6">
        <f t="shared" si="0"/>
        <v>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6" t="s">
        <v>26</v>
      </c>
    </row>
    <row r="16" spans="1:34" ht="30" customHeight="1">
      <c r="A16" s="6" t="s">
        <v>17</v>
      </c>
      <c r="B16" s="6" t="s">
        <v>30</v>
      </c>
      <c r="C16" s="6">
        <v>2746838</v>
      </c>
      <c r="D16" s="6" t="s">
        <v>25</v>
      </c>
      <c r="E16" s="6"/>
      <c r="F16" s="6"/>
      <c r="G16" s="6">
        <f t="shared" si="0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6" t="s">
        <v>26</v>
      </c>
    </row>
    <row r="17" spans="1:34" ht="30" customHeight="1">
      <c r="A17" s="6" t="s">
        <v>17</v>
      </c>
      <c r="B17" s="6"/>
      <c r="C17" s="6">
        <v>3836171</v>
      </c>
      <c r="D17" s="6" t="s">
        <v>15</v>
      </c>
      <c r="E17" s="6"/>
      <c r="F17" s="6"/>
      <c r="G17" s="6">
        <f t="shared" si="0"/>
        <v>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" t="s">
        <v>26</v>
      </c>
    </row>
    <row r="18" spans="1:34" ht="30" customHeight="1">
      <c r="A18" s="6" t="s">
        <v>17</v>
      </c>
      <c r="B18" s="6" t="s">
        <v>31</v>
      </c>
      <c r="C18" s="6">
        <v>5916883</v>
      </c>
      <c r="D18" s="6" t="s">
        <v>15</v>
      </c>
      <c r="E18" s="6"/>
      <c r="F18" s="6"/>
      <c r="G18" s="6">
        <f t="shared" si="0"/>
        <v>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6" t="s">
        <v>32</v>
      </c>
    </row>
    <row r="19" spans="1:34" ht="30" customHeight="1">
      <c r="A19" s="6" t="s">
        <v>17</v>
      </c>
      <c r="B19" s="6" t="s">
        <v>33</v>
      </c>
      <c r="C19" s="6">
        <v>6023283</v>
      </c>
      <c r="D19" s="6" t="s">
        <v>15</v>
      </c>
      <c r="E19" s="6"/>
      <c r="F19" s="6"/>
      <c r="G19" s="6">
        <f t="shared" si="0"/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" t="s">
        <v>34</v>
      </c>
    </row>
    <row r="20" spans="1:34" ht="30" customHeight="1">
      <c r="A20" s="6" t="s">
        <v>17</v>
      </c>
      <c r="B20" s="6" t="s">
        <v>35</v>
      </c>
      <c r="C20" s="6">
        <v>4544756</v>
      </c>
      <c r="D20" s="6" t="s">
        <v>15</v>
      </c>
      <c r="E20" s="6"/>
      <c r="F20" s="6"/>
      <c r="G20" s="6">
        <f t="shared" si="0"/>
        <v>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6" t="s">
        <v>34</v>
      </c>
    </row>
    <row r="21" spans="1:34" ht="30" customHeight="1">
      <c r="A21" s="6" t="s">
        <v>17</v>
      </c>
      <c r="B21" s="6" t="s">
        <v>36</v>
      </c>
      <c r="C21" s="6">
        <v>26742</v>
      </c>
      <c r="D21" s="6" t="s">
        <v>15</v>
      </c>
      <c r="E21" s="6"/>
      <c r="F21" s="6"/>
      <c r="G21" s="6">
        <f t="shared" si="0"/>
        <v>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" t="s">
        <v>37</v>
      </c>
    </row>
    <row r="22" spans="1:34" ht="15.75" customHeight="1">
      <c r="A22" s="6" t="s">
        <v>17</v>
      </c>
      <c r="B22" s="6" t="s">
        <v>38</v>
      </c>
      <c r="C22" s="6">
        <v>3081429</v>
      </c>
      <c r="D22" s="6" t="s">
        <v>15</v>
      </c>
      <c r="E22" s="6"/>
      <c r="F22" s="6"/>
      <c r="G22" s="6">
        <f t="shared" si="0"/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6" t="s">
        <v>39</v>
      </c>
    </row>
    <row r="23" spans="1:34" ht="15.75" customHeight="1">
      <c r="A23" s="6" t="s">
        <v>17</v>
      </c>
      <c r="B23" s="6" t="s">
        <v>40</v>
      </c>
      <c r="C23" s="6">
        <v>26188</v>
      </c>
      <c r="D23" s="6" t="s">
        <v>25</v>
      </c>
      <c r="E23" s="6"/>
      <c r="F23" s="6"/>
      <c r="G23" s="6">
        <f t="shared" si="0"/>
        <v>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" t="s">
        <v>41</v>
      </c>
    </row>
    <row r="24" spans="1:34" ht="15.75" customHeight="1">
      <c r="A24" s="6" t="s">
        <v>17</v>
      </c>
      <c r="B24" s="6" t="s">
        <v>42</v>
      </c>
      <c r="C24" s="6">
        <v>21035</v>
      </c>
      <c r="D24" s="6" t="s">
        <v>15</v>
      </c>
      <c r="E24" s="6"/>
      <c r="F24" s="6"/>
      <c r="G24" s="6">
        <f t="shared" si="0"/>
        <v>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6" t="s">
        <v>41</v>
      </c>
    </row>
    <row r="25" spans="1:34" ht="15.75" customHeight="1">
      <c r="A25" s="6" t="s">
        <v>17</v>
      </c>
      <c r="B25" s="6" t="s">
        <v>43</v>
      </c>
      <c r="C25" s="6">
        <v>3852</v>
      </c>
      <c r="D25" s="6" t="s">
        <v>25</v>
      </c>
      <c r="E25" s="6"/>
      <c r="F25" s="6"/>
      <c r="G25" s="6">
        <f t="shared" si="0"/>
        <v>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6" t="s">
        <v>41</v>
      </c>
    </row>
    <row r="26" spans="1:34" ht="15.75" customHeight="1">
      <c r="A26" s="6" t="s">
        <v>17</v>
      </c>
      <c r="B26" s="6" t="s">
        <v>44</v>
      </c>
      <c r="C26" s="6">
        <v>4778950</v>
      </c>
      <c r="D26" s="6" t="s">
        <v>15</v>
      </c>
      <c r="E26" s="6"/>
      <c r="F26" s="6"/>
      <c r="G26" s="6">
        <f t="shared" si="0"/>
        <v>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6" t="s">
        <v>41</v>
      </c>
    </row>
    <row r="27" spans="1:34" ht="15.75" customHeight="1">
      <c r="A27" s="6" t="s">
        <v>17</v>
      </c>
      <c r="B27" s="6" t="s">
        <v>45</v>
      </c>
      <c r="C27" s="6">
        <v>3123908</v>
      </c>
      <c r="D27" s="6" t="s">
        <v>15</v>
      </c>
      <c r="E27" s="6"/>
      <c r="F27" s="6"/>
      <c r="G27" s="6">
        <f t="shared" si="0"/>
        <v>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6" t="s">
        <v>41</v>
      </c>
    </row>
    <row r="28" spans="1:34" ht="15.75" customHeight="1">
      <c r="A28" s="6" t="s">
        <v>17</v>
      </c>
      <c r="B28" s="6" t="s">
        <v>46</v>
      </c>
      <c r="C28" s="6">
        <v>20667</v>
      </c>
      <c r="D28" s="6" t="s">
        <v>15</v>
      </c>
      <c r="E28" s="6"/>
      <c r="F28" s="6"/>
      <c r="G28" s="6">
        <f t="shared" si="0"/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6" t="s">
        <v>47</v>
      </c>
    </row>
    <row r="29" spans="1:34" ht="15.75" customHeight="1">
      <c r="A29" s="6" t="s">
        <v>17</v>
      </c>
      <c r="B29" s="6" t="s">
        <v>48</v>
      </c>
      <c r="C29" s="6">
        <v>6094771</v>
      </c>
      <c r="D29" s="6" t="s">
        <v>25</v>
      </c>
      <c r="E29" s="6"/>
      <c r="F29" s="6"/>
      <c r="G29" s="6">
        <f t="shared" si="0"/>
        <v>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6" t="s">
        <v>49</v>
      </c>
    </row>
    <row r="30" spans="1:34" ht="15.75" customHeight="1">
      <c r="A30" s="6" t="s">
        <v>17</v>
      </c>
      <c r="B30" s="6" t="s">
        <v>50</v>
      </c>
      <c r="C30" s="6">
        <v>2769955</v>
      </c>
      <c r="D30" s="6" t="s">
        <v>25</v>
      </c>
      <c r="E30" s="6"/>
      <c r="F30" s="6"/>
      <c r="G30" s="6">
        <f t="shared" si="0"/>
        <v>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6" t="s">
        <v>49</v>
      </c>
    </row>
    <row r="31" spans="1:34" ht="15.75" customHeight="1">
      <c r="A31" s="6" t="s">
        <v>17</v>
      </c>
      <c r="B31" s="6" t="s">
        <v>51</v>
      </c>
      <c r="C31" s="6">
        <v>1818</v>
      </c>
      <c r="D31" s="6" t="s">
        <v>15</v>
      </c>
      <c r="E31" s="6"/>
      <c r="F31" s="6"/>
      <c r="G31" s="6">
        <f t="shared" si="0"/>
        <v>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" t="s">
        <v>52</v>
      </c>
    </row>
    <row r="32" spans="1:34" ht="15.75" customHeight="1">
      <c r="A32" s="6" t="s">
        <v>17</v>
      </c>
      <c r="B32" s="6" t="s">
        <v>53</v>
      </c>
      <c r="C32" s="6">
        <v>21148</v>
      </c>
      <c r="D32" s="6" t="s">
        <v>15</v>
      </c>
      <c r="E32" s="6"/>
      <c r="F32" s="6"/>
      <c r="G32" s="6">
        <f t="shared" si="0"/>
        <v>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" t="s">
        <v>52</v>
      </c>
    </row>
    <row r="33" spans="1:34" ht="15.75" customHeight="1">
      <c r="A33" s="6" t="s">
        <v>17</v>
      </c>
      <c r="B33" s="6" t="s">
        <v>54</v>
      </c>
      <c r="C33" s="6">
        <v>2876426</v>
      </c>
      <c r="D33" s="6" t="s">
        <v>15</v>
      </c>
      <c r="E33" s="6"/>
      <c r="F33" s="6"/>
      <c r="G33" s="6">
        <f t="shared" si="0"/>
        <v>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6" t="s">
        <v>55</v>
      </c>
    </row>
    <row r="34" spans="1:34" ht="15.75" customHeight="1">
      <c r="A34" s="6" t="s">
        <v>17</v>
      </c>
      <c r="B34" s="6" t="s">
        <v>56</v>
      </c>
      <c r="C34" s="6">
        <v>2800724</v>
      </c>
      <c r="D34" s="6" t="s">
        <v>15</v>
      </c>
      <c r="E34" s="6"/>
      <c r="F34" s="6"/>
      <c r="G34" s="6">
        <f t="shared" si="0"/>
        <v>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6" t="s">
        <v>55</v>
      </c>
    </row>
    <row r="35" spans="1:34" ht="15.75" customHeight="1">
      <c r="A35" s="6" t="s">
        <v>17</v>
      </c>
      <c r="B35" s="6" t="s">
        <v>57</v>
      </c>
      <c r="C35" s="6">
        <v>3830</v>
      </c>
      <c r="D35" s="6" t="s">
        <v>15</v>
      </c>
      <c r="E35" s="6"/>
      <c r="F35" s="6"/>
      <c r="G35" s="6">
        <f t="shared" si="0"/>
        <v>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6" t="s">
        <v>55</v>
      </c>
    </row>
    <row r="36" spans="1:34" ht="15.75" customHeight="1">
      <c r="A36" s="6" t="s">
        <v>17</v>
      </c>
      <c r="B36" s="6" t="s">
        <v>58</v>
      </c>
      <c r="C36" s="6">
        <v>3826</v>
      </c>
      <c r="D36" s="6" t="s">
        <v>15</v>
      </c>
      <c r="E36" s="6"/>
      <c r="F36" s="6"/>
      <c r="G36" s="6">
        <f t="shared" si="0"/>
        <v>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6" t="s">
        <v>55</v>
      </c>
    </row>
    <row r="37" spans="1:34" ht="15.75" customHeight="1">
      <c r="A37" s="6" t="s">
        <v>17</v>
      </c>
      <c r="B37" s="6" t="s">
        <v>59</v>
      </c>
      <c r="C37" s="6">
        <v>3841</v>
      </c>
      <c r="D37" s="6" t="s">
        <v>15</v>
      </c>
      <c r="E37" s="6"/>
      <c r="F37" s="6"/>
      <c r="G37" s="6">
        <f t="shared" si="0"/>
        <v>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6" t="s">
        <v>55</v>
      </c>
    </row>
    <row r="38" spans="1:34" ht="15.75" customHeight="1">
      <c r="A38" s="6" t="s">
        <v>17</v>
      </c>
      <c r="B38" s="6" t="s">
        <v>60</v>
      </c>
      <c r="C38" s="6">
        <v>5209172</v>
      </c>
      <c r="D38" s="6" t="s">
        <v>15</v>
      </c>
      <c r="E38" s="6"/>
      <c r="F38" s="6"/>
      <c r="G38" s="6">
        <f t="shared" si="0"/>
        <v>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6" t="s">
        <v>55</v>
      </c>
    </row>
    <row r="39" spans="1:34" ht="15.75" customHeight="1">
      <c r="A39" s="6" t="s">
        <v>17</v>
      </c>
      <c r="B39" s="6" t="s">
        <v>61</v>
      </c>
      <c r="C39" s="6">
        <v>3547996</v>
      </c>
      <c r="D39" s="6" t="s">
        <v>15</v>
      </c>
      <c r="E39" s="6"/>
      <c r="F39" s="6"/>
      <c r="G39" s="6">
        <f t="shared" si="0"/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6" t="s">
        <v>55</v>
      </c>
    </row>
    <row r="40" spans="1:34" ht="15.75" customHeight="1">
      <c r="A40" s="6" t="s">
        <v>17</v>
      </c>
      <c r="B40" s="6" t="s">
        <v>62</v>
      </c>
      <c r="C40" s="6">
        <v>2990106</v>
      </c>
      <c r="D40" s="6" t="s">
        <v>25</v>
      </c>
      <c r="E40" s="6"/>
      <c r="F40" s="6"/>
      <c r="G40" s="6">
        <f t="shared" si="0"/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" t="s">
        <v>55</v>
      </c>
    </row>
    <row r="41" spans="1:34" ht="15.75" customHeight="1">
      <c r="A41" s="6" t="s">
        <v>17</v>
      </c>
      <c r="B41" s="6" t="s">
        <v>63</v>
      </c>
      <c r="C41" s="6">
        <v>4055889</v>
      </c>
      <c r="D41" s="6" t="s">
        <v>15</v>
      </c>
      <c r="E41" s="6"/>
      <c r="F41" s="6"/>
      <c r="G41" s="6">
        <f t="shared" si="0"/>
        <v>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" t="s">
        <v>55</v>
      </c>
    </row>
    <row r="42" spans="1:34" ht="15.75" customHeight="1">
      <c r="A42" s="6" t="s">
        <v>17</v>
      </c>
      <c r="B42" s="6" t="s">
        <v>64</v>
      </c>
      <c r="C42" s="6">
        <v>4133183</v>
      </c>
      <c r="D42" s="6" t="s">
        <v>15</v>
      </c>
      <c r="E42" s="6"/>
      <c r="F42" s="6"/>
      <c r="G42" s="6">
        <f t="shared" si="0"/>
        <v>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6" t="s">
        <v>55</v>
      </c>
    </row>
    <row r="43" spans="1:34" ht="15.75" customHeight="1">
      <c r="A43" s="6" t="s">
        <v>17</v>
      </c>
      <c r="B43" s="6" t="s">
        <v>65</v>
      </c>
      <c r="C43" s="6">
        <v>4132979</v>
      </c>
      <c r="D43" s="6" t="s">
        <v>25</v>
      </c>
      <c r="E43" s="6"/>
      <c r="F43" s="6"/>
      <c r="G43" s="6">
        <f t="shared" si="0"/>
        <v>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6" t="s">
        <v>55</v>
      </c>
    </row>
    <row r="44" spans="1:34" ht="15.75" customHeight="1">
      <c r="A44" s="6" t="s">
        <v>17</v>
      </c>
      <c r="B44" s="6" t="s">
        <v>66</v>
      </c>
      <c r="C44" s="6">
        <v>26051</v>
      </c>
      <c r="D44" s="6" t="s">
        <v>15</v>
      </c>
      <c r="E44" s="6"/>
      <c r="F44" s="6"/>
      <c r="G44" s="6">
        <f t="shared" si="0"/>
        <v>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" t="s">
        <v>67</v>
      </c>
    </row>
    <row r="45" spans="1:34" ht="15.75" customHeight="1">
      <c r="A45" s="6" t="s">
        <v>17</v>
      </c>
      <c r="B45" s="6" t="s">
        <v>68</v>
      </c>
      <c r="C45" s="6">
        <v>1270731</v>
      </c>
      <c r="D45" s="6" t="s">
        <v>25</v>
      </c>
      <c r="E45" s="6"/>
      <c r="F45" s="6"/>
      <c r="G45" s="6">
        <f t="shared" si="0"/>
        <v>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" t="s">
        <v>69</v>
      </c>
    </row>
    <row r="46" spans="1:34" ht="15.75" customHeight="1">
      <c r="A46" s="6" t="s">
        <v>17</v>
      </c>
      <c r="B46" s="6" t="s">
        <v>70</v>
      </c>
      <c r="C46" s="6">
        <v>1276511</v>
      </c>
      <c r="D46" s="6" t="s">
        <v>25</v>
      </c>
      <c r="E46" s="6"/>
      <c r="F46" s="6"/>
      <c r="G46" s="6">
        <f t="shared" si="0"/>
        <v>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" t="s">
        <v>69</v>
      </c>
    </row>
    <row r="47" spans="1:34" ht="15.75" customHeight="1">
      <c r="A47" s="6" t="s">
        <v>17</v>
      </c>
      <c r="B47" s="6" t="s">
        <v>71</v>
      </c>
      <c r="C47" s="6">
        <v>10246</v>
      </c>
      <c r="D47" s="6" t="s">
        <v>25</v>
      </c>
      <c r="E47" s="6"/>
      <c r="F47" s="6"/>
      <c r="G47" s="6">
        <f t="shared" si="0"/>
        <v>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6" t="s">
        <v>69</v>
      </c>
    </row>
    <row r="48" spans="1:34" ht="15.75" customHeight="1">
      <c r="A48" s="6" t="s">
        <v>17</v>
      </c>
      <c r="B48" s="6" t="s">
        <v>72</v>
      </c>
      <c r="C48" s="6">
        <v>10242</v>
      </c>
      <c r="D48" s="6" t="s">
        <v>25</v>
      </c>
      <c r="E48" s="6"/>
      <c r="F48" s="6"/>
      <c r="G48" s="6">
        <f t="shared" si="0"/>
        <v>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6" t="s">
        <v>69</v>
      </c>
    </row>
    <row r="49" spans="1:34" ht="15.75" customHeight="1">
      <c r="A49" s="6" t="s">
        <v>17</v>
      </c>
      <c r="B49" s="6" t="s">
        <v>73</v>
      </c>
      <c r="C49" s="6">
        <v>24381</v>
      </c>
      <c r="D49" s="6" t="s">
        <v>25</v>
      </c>
      <c r="E49" s="6"/>
      <c r="F49" s="6"/>
      <c r="G49" s="6">
        <f t="shared" si="0"/>
        <v>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6" t="s">
        <v>69</v>
      </c>
    </row>
    <row r="50" spans="1:34" ht="15.75" customHeight="1">
      <c r="A50" s="6" t="s">
        <v>17</v>
      </c>
      <c r="B50" s="6" t="s">
        <v>74</v>
      </c>
      <c r="C50" s="6">
        <v>10344</v>
      </c>
      <c r="D50" s="6" t="s">
        <v>25</v>
      </c>
      <c r="E50" s="6"/>
      <c r="F50" s="6"/>
      <c r="G50" s="6">
        <f t="shared" si="0"/>
        <v>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6" t="s">
        <v>75</v>
      </c>
    </row>
    <row r="51" spans="1:34" ht="15.75" customHeight="1">
      <c r="A51" s="6" t="s">
        <v>76</v>
      </c>
      <c r="B51" s="6" t="s">
        <v>77</v>
      </c>
      <c r="C51" s="6">
        <v>841561</v>
      </c>
      <c r="D51" s="6" t="s">
        <v>25</v>
      </c>
      <c r="E51" s="6"/>
      <c r="F51" s="6"/>
      <c r="G51" s="6">
        <f t="shared" si="0"/>
        <v>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6" t="s">
        <v>75</v>
      </c>
    </row>
    <row r="52" spans="1:34" ht="15.75" customHeight="1">
      <c r="A52" s="6" t="s">
        <v>76</v>
      </c>
      <c r="B52" s="6" t="s">
        <v>78</v>
      </c>
      <c r="C52" s="6">
        <v>2670200</v>
      </c>
      <c r="D52" s="6" t="s">
        <v>25</v>
      </c>
      <c r="E52" s="6"/>
      <c r="F52" s="6"/>
      <c r="G52" s="6">
        <f t="shared" si="0"/>
        <v>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6" t="s">
        <v>75</v>
      </c>
    </row>
    <row r="53" spans="1:34" ht="15.75" customHeight="1">
      <c r="A53" s="6" t="s">
        <v>76</v>
      </c>
      <c r="B53" s="6" t="s">
        <v>79</v>
      </c>
      <c r="C53" s="6">
        <v>25715</v>
      </c>
      <c r="D53" s="6" t="s">
        <v>25</v>
      </c>
      <c r="E53" s="6"/>
      <c r="F53" s="6"/>
      <c r="G53" s="6">
        <f t="shared" si="0"/>
        <v>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6" t="s">
        <v>75</v>
      </c>
    </row>
    <row r="54" spans="1:34" ht="15.75" customHeight="1">
      <c r="A54" s="6" t="s">
        <v>76</v>
      </c>
      <c r="B54" s="6" t="s">
        <v>80</v>
      </c>
      <c r="C54" s="6">
        <v>10325</v>
      </c>
      <c r="D54" s="6" t="s">
        <v>25</v>
      </c>
      <c r="E54" s="6"/>
      <c r="F54" s="6"/>
      <c r="G54" s="6">
        <f t="shared" si="0"/>
        <v>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6" t="s">
        <v>75</v>
      </c>
    </row>
    <row r="55" spans="1:34" ht="15.75" customHeight="1">
      <c r="A55" s="6" t="s">
        <v>81</v>
      </c>
      <c r="B55" s="6" t="s">
        <v>82</v>
      </c>
      <c r="C55" s="6">
        <v>2485772</v>
      </c>
      <c r="D55" s="6" t="s">
        <v>25</v>
      </c>
      <c r="E55" s="6"/>
      <c r="F55" s="6"/>
      <c r="G55" s="6">
        <f t="shared" si="0"/>
        <v>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6" t="s">
        <v>83</v>
      </c>
    </row>
    <row r="56" spans="1:34" ht="15.75" customHeight="1">
      <c r="A56" s="6" t="s">
        <v>76</v>
      </c>
      <c r="B56" s="6" t="s">
        <v>84</v>
      </c>
      <c r="C56" s="6">
        <v>2597466</v>
      </c>
      <c r="D56" s="6" t="s">
        <v>25</v>
      </c>
      <c r="E56" s="6"/>
      <c r="F56" s="6"/>
      <c r="G56" s="6">
        <f t="shared" si="0"/>
        <v>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6" t="s">
        <v>85</v>
      </c>
    </row>
    <row r="57" spans="1:34" ht="15.75" customHeight="1">
      <c r="A57" s="6" t="s">
        <v>76</v>
      </c>
      <c r="B57" s="6" t="s">
        <v>86</v>
      </c>
      <c r="C57" s="6">
        <v>10367</v>
      </c>
      <c r="D57" s="6" t="s">
        <v>25</v>
      </c>
      <c r="E57" s="6"/>
      <c r="F57" s="6"/>
      <c r="G57" s="6">
        <f t="shared" si="0"/>
        <v>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6" t="s">
        <v>85</v>
      </c>
    </row>
    <row r="58" spans="1:34" ht="15.75" customHeight="1">
      <c r="A58" s="6" t="s">
        <v>81</v>
      </c>
      <c r="B58" s="6" t="s">
        <v>87</v>
      </c>
      <c r="C58" s="6">
        <v>5119707</v>
      </c>
      <c r="D58" s="6" t="s">
        <v>25</v>
      </c>
      <c r="E58" s="6"/>
      <c r="F58" s="6"/>
      <c r="G58" s="6">
        <f t="shared" si="0"/>
        <v>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6" t="s">
        <v>88</v>
      </c>
    </row>
    <row r="59" spans="1:34" ht="15.75" customHeight="1">
      <c r="A59" s="6" t="s">
        <v>17</v>
      </c>
      <c r="B59" s="6" t="s">
        <v>89</v>
      </c>
      <c r="C59" s="6">
        <v>25922</v>
      </c>
      <c r="D59" s="6" t="s">
        <v>25</v>
      </c>
      <c r="E59" s="6"/>
      <c r="F59" s="6"/>
      <c r="G59" s="6">
        <f t="shared" si="0"/>
        <v>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6" t="s">
        <v>90</v>
      </c>
    </row>
    <row r="60" spans="1:34" ht="15.75" customHeight="1">
      <c r="A60" s="6" t="s">
        <v>17</v>
      </c>
      <c r="B60" s="6" t="s">
        <v>91</v>
      </c>
      <c r="C60" s="6">
        <v>2475075</v>
      </c>
      <c r="D60" s="6" t="s">
        <v>25</v>
      </c>
      <c r="E60" s="6"/>
      <c r="F60" s="6"/>
      <c r="G60" s="6">
        <f t="shared" si="0"/>
        <v>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6" t="s">
        <v>90</v>
      </c>
    </row>
    <row r="61" spans="1:34" ht="15.75" customHeight="1">
      <c r="A61" s="6" t="s">
        <v>17</v>
      </c>
      <c r="B61" s="6" t="s">
        <v>92</v>
      </c>
      <c r="C61" s="6">
        <v>3315207</v>
      </c>
      <c r="D61" s="6" t="s">
        <v>25</v>
      </c>
      <c r="E61" s="6"/>
      <c r="F61" s="6"/>
      <c r="G61" s="6">
        <f t="shared" si="0"/>
        <v>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6" t="s">
        <v>90</v>
      </c>
    </row>
    <row r="62" spans="1:34" ht="15.75" customHeight="1">
      <c r="A62" s="6" t="s">
        <v>17</v>
      </c>
      <c r="B62" s="6" t="s">
        <v>93</v>
      </c>
      <c r="C62" s="6">
        <v>5868719</v>
      </c>
      <c r="D62" s="6" t="s">
        <v>25</v>
      </c>
      <c r="E62" s="6"/>
      <c r="F62" s="6"/>
      <c r="G62" s="6">
        <f t="shared" si="0"/>
        <v>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6" t="s">
        <v>90</v>
      </c>
    </row>
    <row r="63" spans="1:34" ht="15.75" customHeight="1">
      <c r="A63" s="6" t="s">
        <v>17</v>
      </c>
      <c r="B63" s="6" t="s">
        <v>94</v>
      </c>
      <c r="C63" s="6">
        <v>25619</v>
      </c>
      <c r="D63" s="6" t="s">
        <v>25</v>
      </c>
      <c r="E63" s="6"/>
      <c r="F63" s="6"/>
      <c r="G63" s="6">
        <f t="shared" si="0"/>
        <v>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6" t="s">
        <v>90</v>
      </c>
    </row>
    <row r="64" spans="1:34" ht="15.75" customHeight="1">
      <c r="A64" s="6" t="s">
        <v>17</v>
      </c>
      <c r="B64" s="6" t="s">
        <v>95</v>
      </c>
      <c r="C64" s="6">
        <v>4344829</v>
      </c>
      <c r="D64" s="6" t="s">
        <v>25</v>
      </c>
      <c r="E64" s="6"/>
      <c r="F64" s="6"/>
      <c r="G64" s="6">
        <f t="shared" si="0"/>
        <v>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6" t="s">
        <v>90</v>
      </c>
    </row>
    <row r="65" spans="1:34" ht="15.75" customHeight="1">
      <c r="A65" s="6" t="s">
        <v>17</v>
      </c>
      <c r="B65" s="6" t="s">
        <v>96</v>
      </c>
      <c r="C65" s="6">
        <v>3666389</v>
      </c>
      <c r="D65" s="6" t="s">
        <v>25</v>
      </c>
      <c r="E65" s="6"/>
      <c r="F65" s="6"/>
      <c r="G65" s="6">
        <f t="shared" si="0"/>
        <v>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6" t="s">
        <v>90</v>
      </c>
    </row>
    <row r="66" spans="1:34" ht="15.75" customHeight="1">
      <c r="A66" s="6" t="s">
        <v>17</v>
      </c>
      <c r="B66" s="6" t="s">
        <v>97</v>
      </c>
      <c r="C66" s="6">
        <v>10224</v>
      </c>
      <c r="D66" s="6" t="s">
        <v>25</v>
      </c>
      <c r="E66" s="6"/>
      <c r="F66" s="6"/>
      <c r="G66" s="6">
        <f t="shared" si="0"/>
        <v>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6" t="s">
        <v>90</v>
      </c>
    </row>
    <row r="67" spans="1:34" ht="15.75" customHeight="1">
      <c r="A67" s="6" t="s">
        <v>17</v>
      </c>
      <c r="B67" s="6" t="s">
        <v>98</v>
      </c>
      <c r="C67" s="6">
        <v>2504202</v>
      </c>
      <c r="D67" s="6" t="s">
        <v>25</v>
      </c>
      <c r="E67" s="6"/>
      <c r="F67" s="6"/>
      <c r="G67" s="6">
        <f t="shared" si="0"/>
        <v>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6" t="s">
        <v>90</v>
      </c>
    </row>
    <row r="68" spans="1:34" ht="15.75" customHeight="1">
      <c r="A68" s="6" t="s">
        <v>17</v>
      </c>
      <c r="B68" s="6" t="s">
        <v>99</v>
      </c>
      <c r="C68" s="6">
        <v>5706355</v>
      </c>
      <c r="D68" s="6" t="s">
        <v>25</v>
      </c>
      <c r="E68" s="6"/>
      <c r="F68" s="6"/>
      <c r="G68" s="6">
        <f t="shared" si="0"/>
        <v>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6" t="s">
        <v>90</v>
      </c>
    </row>
    <row r="69" spans="1:34" ht="15.75" customHeight="1">
      <c r="A69" s="6" t="s">
        <v>17</v>
      </c>
      <c r="B69" s="6" t="s">
        <v>100</v>
      </c>
      <c r="C69" s="6">
        <v>3912361</v>
      </c>
      <c r="D69" s="6" t="s">
        <v>25</v>
      </c>
      <c r="E69" s="6"/>
      <c r="F69" s="6"/>
      <c r="G69" s="6">
        <f t="shared" si="0"/>
        <v>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6" t="s">
        <v>90</v>
      </c>
    </row>
    <row r="70" spans="1:34" ht="15.75" customHeight="1">
      <c r="A70" s="6" t="s">
        <v>17</v>
      </c>
      <c r="B70" s="6" t="s">
        <v>101</v>
      </c>
      <c r="C70" s="6">
        <v>25500</v>
      </c>
      <c r="D70" s="6" t="s">
        <v>25</v>
      </c>
      <c r="E70" s="6"/>
      <c r="F70" s="6"/>
      <c r="G70" s="6">
        <f t="shared" ref="G70:G133" si="1">E70-F70</f>
        <v>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6" t="s">
        <v>90</v>
      </c>
    </row>
    <row r="71" spans="1:34" ht="15.75" customHeight="1">
      <c r="A71" s="6" t="s">
        <v>17</v>
      </c>
      <c r="B71" s="6" t="s">
        <v>102</v>
      </c>
      <c r="C71" s="6">
        <v>21684</v>
      </c>
      <c r="D71" s="6" t="s">
        <v>25</v>
      </c>
      <c r="E71" s="6"/>
      <c r="F71" s="6"/>
      <c r="G71" s="6">
        <f t="shared" si="1"/>
        <v>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6" t="s">
        <v>90</v>
      </c>
    </row>
    <row r="72" spans="1:34" ht="15.75" customHeight="1">
      <c r="A72" s="6" t="s">
        <v>17</v>
      </c>
      <c r="B72" s="6" t="s">
        <v>103</v>
      </c>
      <c r="C72" s="6">
        <v>5574956</v>
      </c>
      <c r="D72" s="6" t="s">
        <v>25</v>
      </c>
      <c r="E72" s="6"/>
      <c r="F72" s="6"/>
      <c r="G72" s="6">
        <f t="shared" si="1"/>
        <v>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6" t="s">
        <v>90</v>
      </c>
    </row>
    <row r="73" spans="1:34" ht="15.75" customHeight="1">
      <c r="A73" s="6" t="s">
        <v>17</v>
      </c>
      <c r="B73" s="6" t="s">
        <v>104</v>
      </c>
      <c r="C73" s="6">
        <v>3180873</v>
      </c>
      <c r="D73" s="6" t="s">
        <v>25</v>
      </c>
      <c r="E73" s="6"/>
      <c r="F73" s="6"/>
      <c r="G73" s="6">
        <f t="shared" si="1"/>
        <v>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6" t="s">
        <v>90</v>
      </c>
    </row>
    <row r="74" spans="1:34" ht="15.75" customHeight="1">
      <c r="A74" s="6" t="s">
        <v>17</v>
      </c>
      <c r="B74" s="6" t="s">
        <v>105</v>
      </c>
      <c r="C74" s="6">
        <v>24380</v>
      </c>
      <c r="D74" s="6" t="s">
        <v>25</v>
      </c>
      <c r="E74" s="6"/>
      <c r="F74" s="6"/>
      <c r="G74" s="6">
        <f t="shared" si="1"/>
        <v>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6" t="s">
        <v>90</v>
      </c>
    </row>
    <row r="75" spans="1:34" ht="15.75" customHeight="1">
      <c r="A75" s="6" t="s">
        <v>17</v>
      </c>
      <c r="B75" s="6" t="s">
        <v>106</v>
      </c>
      <c r="C75" s="6">
        <v>26205</v>
      </c>
      <c r="D75" s="6" t="s">
        <v>25</v>
      </c>
      <c r="E75" s="6"/>
      <c r="F75" s="6"/>
      <c r="G75" s="6">
        <f t="shared" si="1"/>
        <v>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6" t="s">
        <v>90</v>
      </c>
    </row>
    <row r="76" spans="1:34" ht="15.75" customHeight="1">
      <c r="A76" s="6" t="s">
        <v>17</v>
      </c>
      <c r="B76" s="6" t="s">
        <v>107</v>
      </c>
      <c r="C76" s="6">
        <v>2395579</v>
      </c>
      <c r="D76" s="6" t="s">
        <v>25</v>
      </c>
      <c r="E76" s="6"/>
      <c r="F76" s="6"/>
      <c r="G76" s="6">
        <f t="shared" si="1"/>
        <v>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6" t="s">
        <v>90</v>
      </c>
    </row>
    <row r="77" spans="1:34" ht="15.75" customHeight="1">
      <c r="A77" s="6" t="s">
        <v>17</v>
      </c>
      <c r="B77" s="6" t="s">
        <v>108</v>
      </c>
      <c r="C77" s="6">
        <v>3503536</v>
      </c>
      <c r="D77" s="6" t="s">
        <v>25</v>
      </c>
      <c r="E77" s="6"/>
      <c r="F77" s="6"/>
      <c r="G77" s="6">
        <f t="shared" si="1"/>
        <v>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6" t="s">
        <v>90</v>
      </c>
    </row>
    <row r="78" spans="1:34" ht="15.75" customHeight="1">
      <c r="A78" s="6" t="s">
        <v>17</v>
      </c>
      <c r="B78" s="6" t="s">
        <v>109</v>
      </c>
      <c r="C78" s="6">
        <v>3472865</v>
      </c>
      <c r="D78" s="6" t="s">
        <v>25</v>
      </c>
      <c r="E78" s="6"/>
      <c r="F78" s="6"/>
      <c r="G78" s="6">
        <f t="shared" si="1"/>
        <v>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6" t="s">
        <v>90</v>
      </c>
    </row>
    <row r="79" spans="1:34" ht="15.75" customHeight="1">
      <c r="A79" s="6" t="s">
        <v>17</v>
      </c>
      <c r="B79" s="6" t="s">
        <v>110</v>
      </c>
      <c r="C79" s="6">
        <v>3760329</v>
      </c>
      <c r="D79" s="6" t="s">
        <v>25</v>
      </c>
      <c r="E79" s="6"/>
      <c r="F79" s="6"/>
      <c r="G79" s="6">
        <f t="shared" si="1"/>
        <v>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6" t="s">
        <v>90</v>
      </c>
    </row>
    <row r="80" spans="1:34" ht="15.75" customHeight="1">
      <c r="A80" s="6" t="s">
        <v>17</v>
      </c>
      <c r="B80" s="6" t="s">
        <v>111</v>
      </c>
      <c r="C80" s="6">
        <v>2841412</v>
      </c>
      <c r="D80" s="6" t="s">
        <v>25</v>
      </c>
      <c r="E80" s="6"/>
      <c r="F80" s="6"/>
      <c r="G80" s="6">
        <f t="shared" si="1"/>
        <v>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6" t="s">
        <v>90</v>
      </c>
    </row>
    <row r="81" spans="1:34" ht="15.75" customHeight="1">
      <c r="A81" s="6" t="s">
        <v>17</v>
      </c>
      <c r="B81" s="6" t="s">
        <v>112</v>
      </c>
      <c r="C81" s="6">
        <v>3026539</v>
      </c>
      <c r="D81" s="6" t="s">
        <v>25</v>
      </c>
      <c r="E81" s="6"/>
      <c r="F81" s="6"/>
      <c r="G81" s="6">
        <f t="shared" si="1"/>
        <v>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6" t="s">
        <v>90</v>
      </c>
    </row>
    <row r="82" spans="1:34" ht="15.75" customHeight="1">
      <c r="A82" s="6" t="s">
        <v>17</v>
      </c>
      <c r="B82" s="6" t="s">
        <v>113</v>
      </c>
      <c r="C82" s="6">
        <v>4445575</v>
      </c>
      <c r="D82" s="6" t="s">
        <v>25</v>
      </c>
      <c r="E82" s="6"/>
      <c r="F82" s="6"/>
      <c r="G82" s="6">
        <f t="shared" si="1"/>
        <v>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6" t="s">
        <v>90</v>
      </c>
    </row>
    <row r="83" spans="1:34" ht="15.75" customHeight="1">
      <c r="A83" s="6" t="s">
        <v>17</v>
      </c>
      <c r="B83" s="6" t="s">
        <v>114</v>
      </c>
      <c r="C83" s="6">
        <v>25411</v>
      </c>
      <c r="D83" s="6" t="s">
        <v>25</v>
      </c>
      <c r="E83" s="6"/>
      <c r="F83" s="6"/>
      <c r="G83" s="6">
        <f t="shared" si="1"/>
        <v>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6" t="s">
        <v>90</v>
      </c>
    </row>
    <row r="84" spans="1:34" ht="15.75" customHeight="1">
      <c r="A84" s="6" t="s">
        <v>17</v>
      </c>
      <c r="B84" s="6" t="s">
        <v>115</v>
      </c>
      <c r="C84" s="6">
        <v>7631344</v>
      </c>
      <c r="D84" s="6" t="s">
        <v>25</v>
      </c>
      <c r="E84" s="6"/>
      <c r="F84" s="6"/>
      <c r="G84" s="6">
        <f t="shared" si="1"/>
        <v>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6" t="s">
        <v>90</v>
      </c>
    </row>
    <row r="85" spans="1:34" ht="15.75" customHeight="1">
      <c r="A85" s="6" t="s">
        <v>17</v>
      </c>
      <c r="B85" s="6" t="s">
        <v>116</v>
      </c>
      <c r="C85" s="6">
        <v>3241825</v>
      </c>
      <c r="D85" s="6" t="s">
        <v>25</v>
      </c>
      <c r="E85" s="6"/>
      <c r="F85" s="6"/>
      <c r="G85" s="6">
        <f t="shared" si="1"/>
        <v>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6" t="s">
        <v>90</v>
      </c>
    </row>
    <row r="86" spans="1:34" ht="15.75" customHeight="1">
      <c r="A86" s="6" t="s">
        <v>17</v>
      </c>
      <c r="B86" s="6" t="s">
        <v>117</v>
      </c>
      <c r="C86" s="6">
        <v>24998</v>
      </c>
      <c r="D86" s="6" t="s">
        <v>25</v>
      </c>
      <c r="E86" s="6"/>
      <c r="F86" s="6"/>
      <c r="G86" s="6">
        <f t="shared" si="1"/>
        <v>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6" t="s">
        <v>90</v>
      </c>
    </row>
    <row r="87" spans="1:34" ht="15.75" customHeight="1">
      <c r="A87" s="6" t="s">
        <v>17</v>
      </c>
      <c r="B87" s="6" t="s">
        <v>118</v>
      </c>
      <c r="C87" s="6">
        <v>4178146</v>
      </c>
      <c r="D87" s="6" t="s">
        <v>25</v>
      </c>
      <c r="E87" s="6"/>
      <c r="F87" s="6"/>
      <c r="G87" s="6">
        <f t="shared" si="1"/>
        <v>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6" t="s">
        <v>90</v>
      </c>
    </row>
    <row r="88" spans="1:34" ht="15.75" customHeight="1">
      <c r="A88" s="6" t="s">
        <v>76</v>
      </c>
      <c r="B88" s="6" t="s">
        <v>119</v>
      </c>
      <c r="C88" s="6">
        <v>26025</v>
      </c>
      <c r="D88" s="6" t="s">
        <v>25</v>
      </c>
      <c r="E88" s="6"/>
      <c r="F88" s="6"/>
      <c r="G88" s="6">
        <f t="shared" si="1"/>
        <v>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6" t="s">
        <v>120</v>
      </c>
    </row>
    <row r="89" spans="1:34" ht="15.75" customHeight="1">
      <c r="A89" s="6" t="s">
        <v>76</v>
      </c>
      <c r="B89" s="6" t="s">
        <v>121</v>
      </c>
      <c r="C89" s="6">
        <v>10250</v>
      </c>
      <c r="D89" s="6" t="s">
        <v>25</v>
      </c>
      <c r="E89" s="6"/>
      <c r="F89" s="6"/>
      <c r="G89" s="6">
        <f t="shared" si="1"/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6" t="s">
        <v>120</v>
      </c>
    </row>
    <row r="90" spans="1:34" ht="15.75" customHeight="1">
      <c r="A90" s="6" t="s">
        <v>76</v>
      </c>
      <c r="B90" s="6" t="s">
        <v>122</v>
      </c>
      <c r="C90" s="6">
        <v>8381632</v>
      </c>
      <c r="D90" s="6" t="s">
        <v>25</v>
      </c>
      <c r="E90" s="6"/>
      <c r="F90" s="6"/>
      <c r="G90" s="6">
        <f t="shared" si="1"/>
        <v>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6" t="s">
        <v>123</v>
      </c>
    </row>
    <row r="91" spans="1:34" ht="15.75" customHeight="1">
      <c r="A91" s="6" t="s">
        <v>76</v>
      </c>
      <c r="B91" s="6" t="s">
        <v>124</v>
      </c>
      <c r="C91" s="6">
        <v>7881552</v>
      </c>
      <c r="D91" s="6" t="s">
        <v>25</v>
      </c>
      <c r="E91" s="6"/>
      <c r="F91" s="6"/>
      <c r="G91" s="6">
        <f t="shared" si="1"/>
        <v>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6" t="s">
        <v>123</v>
      </c>
    </row>
    <row r="92" spans="1:34" ht="15.75" customHeight="1">
      <c r="A92" s="6" t="s">
        <v>76</v>
      </c>
      <c r="B92" s="6" t="s">
        <v>125</v>
      </c>
      <c r="C92" s="6">
        <v>4755270</v>
      </c>
      <c r="D92" s="6" t="s">
        <v>25</v>
      </c>
      <c r="E92" s="6"/>
      <c r="F92" s="6"/>
      <c r="G92" s="6">
        <f t="shared" si="1"/>
        <v>0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6" t="s">
        <v>123</v>
      </c>
    </row>
    <row r="93" spans="1:34" ht="15.75" customHeight="1">
      <c r="A93" s="6" t="s">
        <v>81</v>
      </c>
      <c r="B93" s="6" t="s">
        <v>126</v>
      </c>
      <c r="C93" s="6">
        <v>1008978</v>
      </c>
      <c r="D93" s="6" t="s">
        <v>25</v>
      </c>
      <c r="E93" s="6"/>
      <c r="F93" s="6"/>
      <c r="G93" s="6">
        <f t="shared" si="1"/>
        <v>0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6" t="s">
        <v>127</v>
      </c>
    </row>
    <row r="94" spans="1:34" ht="15.75" customHeight="1">
      <c r="A94" s="6" t="s">
        <v>76</v>
      </c>
      <c r="B94" s="6" t="s">
        <v>128</v>
      </c>
      <c r="C94" s="6">
        <v>1099797</v>
      </c>
      <c r="D94" s="6" t="s">
        <v>25</v>
      </c>
      <c r="E94" s="6"/>
      <c r="F94" s="6"/>
      <c r="G94" s="6">
        <f t="shared" si="1"/>
        <v>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6" t="s">
        <v>129</v>
      </c>
    </row>
    <row r="95" spans="1:34" ht="15.75" customHeight="1">
      <c r="A95" s="6" t="s">
        <v>76</v>
      </c>
      <c r="B95" s="6" t="s">
        <v>130</v>
      </c>
      <c r="C95" s="6">
        <v>2421064</v>
      </c>
      <c r="D95" s="6" t="s">
        <v>25</v>
      </c>
      <c r="E95" s="6"/>
      <c r="F95" s="6"/>
      <c r="G95" s="6">
        <f t="shared" si="1"/>
        <v>0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6" t="s">
        <v>129</v>
      </c>
    </row>
    <row r="96" spans="1:34" ht="15.75" customHeight="1">
      <c r="A96" s="6" t="s">
        <v>76</v>
      </c>
      <c r="B96" s="6" t="s">
        <v>131</v>
      </c>
      <c r="C96" s="6">
        <v>26027</v>
      </c>
      <c r="D96" s="6" t="s">
        <v>25</v>
      </c>
      <c r="E96" s="6"/>
      <c r="F96" s="6"/>
      <c r="G96" s="6">
        <f t="shared" si="1"/>
        <v>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6" t="s">
        <v>129</v>
      </c>
    </row>
    <row r="97" spans="1:34" ht="15.75" customHeight="1">
      <c r="A97" s="6" t="s">
        <v>76</v>
      </c>
      <c r="B97" s="6" t="s">
        <v>132</v>
      </c>
      <c r="C97" s="6">
        <v>514773</v>
      </c>
      <c r="D97" s="6" t="s">
        <v>25</v>
      </c>
      <c r="E97" s="6"/>
      <c r="F97" s="6"/>
      <c r="G97" s="6">
        <f t="shared" si="1"/>
        <v>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6" t="s">
        <v>129</v>
      </c>
    </row>
    <row r="98" spans="1:34" ht="15.75" customHeight="1">
      <c r="A98" s="6" t="s">
        <v>76</v>
      </c>
      <c r="B98" s="6" t="s">
        <v>133</v>
      </c>
      <c r="C98" s="6">
        <v>25798</v>
      </c>
      <c r="D98" s="6" t="s">
        <v>25</v>
      </c>
      <c r="E98" s="6"/>
      <c r="F98" s="6"/>
      <c r="G98" s="6">
        <f t="shared" si="1"/>
        <v>0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6" t="s">
        <v>134</v>
      </c>
    </row>
    <row r="99" spans="1:34" ht="15.75" customHeight="1">
      <c r="A99" s="6" t="s">
        <v>76</v>
      </c>
      <c r="B99" s="6" t="s">
        <v>135</v>
      </c>
      <c r="C99" s="6">
        <v>2800547</v>
      </c>
      <c r="D99" s="6" t="s">
        <v>25</v>
      </c>
      <c r="E99" s="6"/>
      <c r="F99" s="6"/>
      <c r="G99" s="6">
        <f t="shared" si="1"/>
        <v>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6" t="s">
        <v>136</v>
      </c>
    </row>
    <row r="100" spans="1:34" ht="15.75" customHeight="1">
      <c r="A100" s="6" t="s">
        <v>76</v>
      </c>
      <c r="B100" s="6" t="s">
        <v>137</v>
      </c>
      <c r="C100" s="6">
        <v>8017527</v>
      </c>
      <c r="D100" s="6" t="s">
        <v>25</v>
      </c>
      <c r="E100" s="6"/>
      <c r="F100" s="6"/>
      <c r="G100" s="6">
        <f t="shared" si="1"/>
        <v>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6" t="s">
        <v>138</v>
      </c>
    </row>
    <row r="101" spans="1:34" ht="15.75" customHeight="1">
      <c r="A101" s="6" t="s">
        <v>76</v>
      </c>
      <c r="B101" s="6" t="s">
        <v>139</v>
      </c>
      <c r="C101" s="6">
        <v>8108945</v>
      </c>
      <c r="D101" s="6" t="s">
        <v>25</v>
      </c>
      <c r="E101" s="6"/>
      <c r="F101" s="6"/>
      <c r="G101" s="6">
        <f t="shared" si="1"/>
        <v>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6" t="s">
        <v>138</v>
      </c>
    </row>
    <row r="102" spans="1:34" ht="15.75" customHeight="1">
      <c r="A102" s="6" t="s">
        <v>76</v>
      </c>
      <c r="B102" s="6" t="s">
        <v>140</v>
      </c>
      <c r="C102" s="6">
        <v>7806959</v>
      </c>
      <c r="D102" s="6" t="s">
        <v>25</v>
      </c>
      <c r="E102" s="6"/>
      <c r="F102" s="6"/>
      <c r="G102" s="6">
        <f t="shared" si="1"/>
        <v>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6" t="s">
        <v>138</v>
      </c>
    </row>
    <row r="103" spans="1:34" ht="15.75" customHeight="1">
      <c r="A103" s="6" t="s">
        <v>76</v>
      </c>
      <c r="B103" s="6" t="s">
        <v>141</v>
      </c>
      <c r="C103" s="6">
        <v>3906035</v>
      </c>
      <c r="D103" s="6" t="s">
        <v>25</v>
      </c>
      <c r="E103" s="6"/>
      <c r="F103" s="6"/>
      <c r="G103" s="6">
        <f t="shared" si="1"/>
        <v>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6" t="s">
        <v>142</v>
      </c>
    </row>
    <row r="104" spans="1:34" ht="15.75" customHeight="1">
      <c r="A104" s="6" t="s">
        <v>81</v>
      </c>
      <c r="B104" s="6" t="s">
        <v>143</v>
      </c>
      <c r="C104" s="6">
        <v>7585039</v>
      </c>
      <c r="D104" s="6" t="s">
        <v>25</v>
      </c>
      <c r="E104" s="6"/>
      <c r="F104" s="6"/>
      <c r="G104" s="6">
        <f t="shared" si="1"/>
        <v>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6" t="s">
        <v>144</v>
      </c>
    </row>
    <row r="105" spans="1:34" ht="15.75" customHeight="1">
      <c r="A105" s="6" t="s">
        <v>17</v>
      </c>
      <c r="B105" s="6" t="s">
        <v>145</v>
      </c>
      <c r="C105" s="6">
        <v>4928035</v>
      </c>
      <c r="D105" s="6" t="s">
        <v>25</v>
      </c>
      <c r="E105" s="6"/>
      <c r="F105" s="6"/>
      <c r="G105" s="6">
        <f t="shared" si="1"/>
        <v>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6" t="s">
        <v>146</v>
      </c>
    </row>
    <row r="106" spans="1:34" ht="15.75" customHeight="1">
      <c r="A106" s="6" t="s">
        <v>17</v>
      </c>
      <c r="B106" s="6" t="s">
        <v>147</v>
      </c>
      <c r="C106" s="6">
        <v>7881519</v>
      </c>
      <c r="D106" s="6" t="s">
        <v>25</v>
      </c>
      <c r="E106" s="6"/>
      <c r="F106" s="6"/>
      <c r="G106" s="6">
        <f t="shared" si="1"/>
        <v>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6" t="s">
        <v>146</v>
      </c>
    </row>
    <row r="107" spans="1:34" ht="15.75" customHeight="1">
      <c r="A107" s="6" t="s">
        <v>17</v>
      </c>
      <c r="B107" s="6" t="s">
        <v>148</v>
      </c>
      <c r="C107" s="6">
        <v>921697</v>
      </c>
      <c r="D107" s="6" t="s">
        <v>25</v>
      </c>
      <c r="E107" s="6"/>
      <c r="F107" s="6"/>
      <c r="G107" s="6">
        <f t="shared" si="1"/>
        <v>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6" t="s">
        <v>146</v>
      </c>
    </row>
    <row r="108" spans="1:34" ht="15.75" customHeight="1">
      <c r="A108" s="6" t="s">
        <v>17</v>
      </c>
      <c r="B108" s="6" t="s">
        <v>149</v>
      </c>
      <c r="C108" s="6">
        <v>6366350</v>
      </c>
      <c r="D108" s="6" t="s">
        <v>25</v>
      </c>
      <c r="E108" s="6"/>
      <c r="F108" s="6"/>
      <c r="G108" s="6">
        <f t="shared" si="1"/>
        <v>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6" t="s">
        <v>146</v>
      </c>
    </row>
    <row r="109" spans="1:34" ht="15.75" customHeight="1">
      <c r="A109" s="6" t="s">
        <v>17</v>
      </c>
      <c r="B109" s="6" t="s">
        <v>150</v>
      </c>
      <c r="C109" s="6">
        <v>3798301</v>
      </c>
      <c r="D109" s="6" t="s">
        <v>25</v>
      </c>
      <c r="E109" s="6"/>
      <c r="F109" s="6"/>
      <c r="G109" s="6">
        <f t="shared" si="1"/>
        <v>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6" t="s">
        <v>146</v>
      </c>
    </row>
    <row r="110" spans="1:34" ht="15.75" customHeight="1">
      <c r="A110" s="6" t="s">
        <v>17</v>
      </c>
      <c r="B110" s="6" t="s">
        <v>151</v>
      </c>
      <c r="C110" s="6">
        <v>26208</v>
      </c>
      <c r="D110" s="6" t="s">
        <v>25</v>
      </c>
      <c r="E110" s="6"/>
      <c r="F110" s="6"/>
      <c r="G110" s="6">
        <f t="shared" si="1"/>
        <v>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6" t="s">
        <v>146</v>
      </c>
    </row>
    <row r="111" spans="1:34" ht="15.75" customHeight="1">
      <c r="A111" s="6" t="s">
        <v>17</v>
      </c>
      <c r="B111" s="6" t="s">
        <v>152</v>
      </c>
      <c r="C111" s="6">
        <v>3708816</v>
      </c>
      <c r="D111" s="6" t="s">
        <v>25</v>
      </c>
      <c r="E111" s="6"/>
      <c r="F111" s="6"/>
      <c r="G111" s="6">
        <f t="shared" si="1"/>
        <v>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6" t="s">
        <v>146</v>
      </c>
    </row>
    <row r="112" spans="1:34" ht="15.75" customHeight="1">
      <c r="A112" s="6" t="s">
        <v>17</v>
      </c>
      <c r="B112" s="6" t="s">
        <v>153</v>
      </c>
      <c r="C112" s="6">
        <v>7881505</v>
      </c>
      <c r="D112" s="6" t="s">
        <v>25</v>
      </c>
      <c r="E112" s="6"/>
      <c r="F112" s="6"/>
      <c r="G112" s="6">
        <f t="shared" si="1"/>
        <v>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6" t="s">
        <v>146</v>
      </c>
    </row>
    <row r="113" spans="1:34" ht="15.75" customHeight="1">
      <c r="A113" s="6" t="s">
        <v>17</v>
      </c>
      <c r="B113" s="6" t="s">
        <v>154</v>
      </c>
      <c r="C113" s="6">
        <v>7881509</v>
      </c>
      <c r="D113" s="6" t="s">
        <v>25</v>
      </c>
      <c r="E113" s="6"/>
      <c r="F113" s="6"/>
      <c r="G113" s="6">
        <f t="shared" si="1"/>
        <v>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6" t="s">
        <v>146</v>
      </c>
    </row>
    <row r="114" spans="1:34" ht="15.75" customHeight="1">
      <c r="A114" s="6" t="s">
        <v>17</v>
      </c>
      <c r="B114" s="6" t="s">
        <v>155</v>
      </c>
      <c r="C114" s="6">
        <v>7875519</v>
      </c>
      <c r="D114" s="6" t="s">
        <v>25</v>
      </c>
      <c r="E114" s="6"/>
      <c r="F114" s="6"/>
      <c r="G114" s="6">
        <f t="shared" si="1"/>
        <v>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6" t="s">
        <v>146</v>
      </c>
    </row>
    <row r="115" spans="1:34" ht="15.75" customHeight="1">
      <c r="A115" s="6" t="s">
        <v>76</v>
      </c>
      <c r="B115" s="6" t="s">
        <v>156</v>
      </c>
      <c r="C115" s="6">
        <v>6028837</v>
      </c>
      <c r="D115" s="6" t="s">
        <v>25</v>
      </c>
      <c r="E115" s="6"/>
      <c r="F115" s="6"/>
      <c r="G115" s="6">
        <f t="shared" si="1"/>
        <v>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6" t="s">
        <v>157</v>
      </c>
    </row>
    <row r="116" spans="1:34" ht="15.75" customHeight="1">
      <c r="A116" s="6" t="s">
        <v>76</v>
      </c>
      <c r="B116" s="6" t="s">
        <v>158</v>
      </c>
      <c r="C116" s="6">
        <v>4203342</v>
      </c>
      <c r="D116" s="6" t="s">
        <v>25</v>
      </c>
      <c r="E116" s="6"/>
      <c r="F116" s="6"/>
      <c r="G116" s="6">
        <f t="shared" si="1"/>
        <v>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6" t="s">
        <v>157</v>
      </c>
    </row>
    <row r="117" spans="1:34" ht="15.75" customHeight="1">
      <c r="A117" s="6" t="s">
        <v>76</v>
      </c>
      <c r="B117" s="6" t="s">
        <v>159</v>
      </c>
      <c r="C117" s="6" t="s">
        <v>160</v>
      </c>
      <c r="D117" s="6" t="s">
        <v>25</v>
      </c>
      <c r="E117" s="6"/>
      <c r="F117" s="6"/>
      <c r="G117" s="6">
        <f t="shared" si="1"/>
        <v>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6" t="s">
        <v>157</v>
      </c>
    </row>
    <row r="118" spans="1:34" ht="15.75" customHeight="1">
      <c r="A118" s="6" t="s">
        <v>76</v>
      </c>
      <c r="B118" s="6" t="s">
        <v>161</v>
      </c>
      <c r="C118" s="6" t="s">
        <v>162</v>
      </c>
      <c r="D118" s="6" t="s">
        <v>25</v>
      </c>
      <c r="E118" s="6"/>
      <c r="F118" s="6"/>
      <c r="G118" s="6">
        <f t="shared" si="1"/>
        <v>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6" t="s">
        <v>157</v>
      </c>
    </row>
    <row r="119" spans="1:34" ht="15.75" customHeight="1">
      <c r="A119" s="6" t="s">
        <v>76</v>
      </c>
      <c r="B119" s="6" t="s">
        <v>163</v>
      </c>
      <c r="C119" s="6">
        <v>3324892</v>
      </c>
      <c r="D119" s="6" t="s">
        <v>25</v>
      </c>
      <c r="E119" s="6"/>
      <c r="F119" s="6"/>
      <c r="G119" s="6">
        <f t="shared" si="1"/>
        <v>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6" t="s">
        <v>157</v>
      </c>
    </row>
    <row r="120" spans="1:34" ht="15.75" customHeight="1">
      <c r="A120" s="6" t="s">
        <v>17</v>
      </c>
      <c r="B120" s="6" t="s">
        <v>164</v>
      </c>
      <c r="C120" s="6">
        <v>1273724</v>
      </c>
      <c r="D120" s="6" t="s">
        <v>25</v>
      </c>
      <c r="E120" s="6"/>
      <c r="F120" s="6"/>
      <c r="G120" s="6">
        <f t="shared" si="1"/>
        <v>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6" t="s">
        <v>165</v>
      </c>
    </row>
    <row r="121" spans="1:34" ht="15.75" customHeight="1">
      <c r="A121" s="6" t="s">
        <v>17</v>
      </c>
      <c r="B121" s="6" t="s">
        <v>166</v>
      </c>
      <c r="C121" s="6">
        <v>2474699</v>
      </c>
      <c r="D121" s="6" t="s">
        <v>25</v>
      </c>
      <c r="E121" s="6"/>
      <c r="F121" s="6"/>
      <c r="G121" s="6">
        <f t="shared" si="1"/>
        <v>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6" t="s">
        <v>165</v>
      </c>
    </row>
    <row r="122" spans="1:34" ht="15.75" customHeight="1">
      <c r="A122" s="6" t="s">
        <v>17</v>
      </c>
      <c r="B122" s="6" t="s">
        <v>167</v>
      </c>
      <c r="C122" s="6">
        <v>10226</v>
      </c>
      <c r="D122" s="6" t="s">
        <v>25</v>
      </c>
      <c r="E122" s="6"/>
      <c r="F122" s="6"/>
      <c r="G122" s="6">
        <f t="shared" si="1"/>
        <v>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6" t="s">
        <v>165</v>
      </c>
    </row>
    <row r="123" spans="1:34" ht="15.75" customHeight="1">
      <c r="A123" s="6" t="s">
        <v>17</v>
      </c>
      <c r="B123" s="6" t="s">
        <v>168</v>
      </c>
      <c r="C123" s="6">
        <v>10219</v>
      </c>
      <c r="D123" s="6" t="s">
        <v>25</v>
      </c>
      <c r="E123" s="6"/>
      <c r="F123" s="6"/>
      <c r="G123" s="6">
        <f t="shared" si="1"/>
        <v>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6" t="s">
        <v>165</v>
      </c>
    </row>
    <row r="124" spans="1:34" ht="15.75" customHeight="1">
      <c r="A124" s="6" t="s">
        <v>17</v>
      </c>
      <c r="B124" s="6" t="s">
        <v>169</v>
      </c>
      <c r="C124" s="6">
        <v>10379</v>
      </c>
      <c r="D124" s="6" t="s">
        <v>25</v>
      </c>
      <c r="E124" s="6"/>
      <c r="F124" s="6"/>
      <c r="G124" s="6">
        <f t="shared" si="1"/>
        <v>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6" t="s">
        <v>165</v>
      </c>
    </row>
    <row r="125" spans="1:34" ht="15.75" customHeight="1">
      <c r="A125" s="6" t="s">
        <v>17</v>
      </c>
      <c r="B125" s="6" t="s">
        <v>170</v>
      </c>
      <c r="C125" s="6">
        <v>6827591</v>
      </c>
      <c r="D125" s="6" t="s">
        <v>25</v>
      </c>
      <c r="E125" s="6"/>
      <c r="F125" s="6"/>
      <c r="G125" s="6">
        <f t="shared" si="1"/>
        <v>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6" t="s">
        <v>165</v>
      </c>
    </row>
    <row r="126" spans="1:34" ht="15.75" customHeight="1">
      <c r="A126" s="6" t="s">
        <v>17</v>
      </c>
      <c r="B126" s="6" t="s">
        <v>171</v>
      </c>
      <c r="C126" s="6">
        <v>2914520</v>
      </c>
      <c r="D126" s="6" t="s">
        <v>25</v>
      </c>
      <c r="E126" s="6"/>
      <c r="F126" s="6"/>
      <c r="G126" s="6">
        <f t="shared" si="1"/>
        <v>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6" t="s">
        <v>165</v>
      </c>
    </row>
    <row r="127" spans="1:34" ht="15.75" customHeight="1">
      <c r="A127" s="6" t="s">
        <v>17</v>
      </c>
      <c r="B127" s="6" t="s">
        <v>172</v>
      </c>
      <c r="C127" s="6">
        <v>10375</v>
      </c>
      <c r="D127" s="6" t="s">
        <v>25</v>
      </c>
      <c r="E127" s="6"/>
      <c r="F127" s="6"/>
      <c r="G127" s="6">
        <f t="shared" si="1"/>
        <v>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6" t="s">
        <v>165</v>
      </c>
    </row>
    <row r="128" spans="1:34" ht="15.75" customHeight="1">
      <c r="A128" s="6" t="s">
        <v>17</v>
      </c>
      <c r="B128" s="6" t="s">
        <v>173</v>
      </c>
      <c r="C128" s="6">
        <v>841751</v>
      </c>
      <c r="D128" s="6" t="s">
        <v>25</v>
      </c>
      <c r="E128" s="6"/>
      <c r="F128" s="6"/>
      <c r="G128" s="6">
        <f t="shared" si="1"/>
        <v>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6" t="s">
        <v>165</v>
      </c>
    </row>
    <row r="129" spans="1:34" ht="15.75" customHeight="1">
      <c r="A129" s="6" t="s">
        <v>17</v>
      </c>
      <c r="B129" s="6" t="s">
        <v>174</v>
      </c>
      <c r="C129" s="6">
        <v>25502</v>
      </c>
      <c r="D129" s="6" t="s">
        <v>25</v>
      </c>
      <c r="E129" s="6"/>
      <c r="F129" s="6"/>
      <c r="G129" s="6">
        <f t="shared" si="1"/>
        <v>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6" t="s">
        <v>165</v>
      </c>
    </row>
    <row r="130" spans="1:34" ht="15.75" customHeight="1">
      <c r="A130" s="6" t="s">
        <v>17</v>
      </c>
      <c r="B130" s="6" t="s">
        <v>175</v>
      </c>
      <c r="C130" s="6">
        <v>2864501</v>
      </c>
      <c r="D130" s="6" t="s">
        <v>25</v>
      </c>
      <c r="E130" s="6"/>
      <c r="F130" s="6"/>
      <c r="G130" s="6">
        <f t="shared" si="1"/>
        <v>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6" t="s">
        <v>165</v>
      </c>
    </row>
    <row r="131" spans="1:34" ht="15.75" customHeight="1">
      <c r="A131" s="6" t="s">
        <v>17</v>
      </c>
      <c r="B131" s="6" t="s">
        <v>176</v>
      </c>
      <c r="C131" s="6">
        <v>6796696</v>
      </c>
      <c r="D131" s="6" t="s">
        <v>25</v>
      </c>
      <c r="E131" s="6"/>
      <c r="F131" s="6"/>
      <c r="G131" s="6">
        <f t="shared" si="1"/>
        <v>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6" t="s">
        <v>165</v>
      </c>
    </row>
    <row r="132" spans="1:34" ht="15.75" customHeight="1">
      <c r="A132" s="6" t="s">
        <v>17</v>
      </c>
      <c r="B132" s="6" t="s">
        <v>177</v>
      </c>
      <c r="C132" s="6">
        <v>2521014</v>
      </c>
      <c r="D132" s="6" t="s">
        <v>25</v>
      </c>
      <c r="E132" s="6"/>
      <c r="F132" s="6"/>
      <c r="G132" s="6">
        <f t="shared" si="1"/>
        <v>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6" t="s">
        <v>165</v>
      </c>
    </row>
    <row r="133" spans="1:34" ht="15.75" customHeight="1">
      <c r="A133" s="6" t="s">
        <v>17</v>
      </c>
      <c r="B133" s="6" t="s">
        <v>178</v>
      </c>
      <c r="C133" s="6">
        <v>2622506</v>
      </c>
      <c r="D133" s="6" t="s">
        <v>25</v>
      </c>
      <c r="E133" s="6"/>
      <c r="F133" s="6"/>
      <c r="G133" s="6">
        <f t="shared" si="1"/>
        <v>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6" t="s">
        <v>165</v>
      </c>
    </row>
    <row r="134" spans="1:34" ht="15.75" customHeight="1">
      <c r="A134" s="6" t="s">
        <v>76</v>
      </c>
      <c r="B134" s="6" t="s">
        <v>179</v>
      </c>
      <c r="C134" s="6">
        <v>6361390</v>
      </c>
      <c r="D134" s="6" t="s">
        <v>25</v>
      </c>
      <c r="E134" s="6"/>
      <c r="F134" s="6"/>
      <c r="G134" s="6">
        <f t="shared" ref="G134:G197" si="2">E134-F134</f>
        <v>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6" t="s">
        <v>180</v>
      </c>
    </row>
    <row r="135" spans="1:34" ht="15.75" customHeight="1">
      <c r="A135" s="6" t="s">
        <v>17</v>
      </c>
      <c r="B135" s="6" t="s">
        <v>181</v>
      </c>
      <c r="C135" s="6">
        <v>7612871</v>
      </c>
      <c r="D135" s="6" t="s">
        <v>25</v>
      </c>
      <c r="E135" s="6"/>
      <c r="F135" s="6"/>
      <c r="G135" s="6">
        <f t="shared" si="2"/>
        <v>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6" t="s">
        <v>182</v>
      </c>
    </row>
    <row r="136" spans="1:34" ht="15.75" customHeight="1">
      <c r="A136" s="6" t="s">
        <v>17</v>
      </c>
      <c r="B136" s="6" t="s">
        <v>183</v>
      </c>
      <c r="C136" s="6">
        <v>2915248</v>
      </c>
      <c r="D136" s="6" t="s">
        <v>25</v>
      </c>
      <c r="E136" s="6"/>
      <c r="F136" s="6"/>
      <c r="G136" s="6">
        <f t="shared" si="2"/>
        <v>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6" t="s">
        <v>182</v>
      </c>
    </row>
    <row r="137" spans="1:34" ht="15.75" customHeight="1">
      <c r="A137" s="6" t="s">
        <v>17</v>
      </c>
      <c r="B137" s="6" t="s">
        <v>184</v>
      </c>
      <c r="C137" s="6">
        <v>4656885</v>
      </c>
      <c r="D137" s="6" t="s">
        <v>25</v>
      </c>
      <c r="E137" s="6"/>
      <c r="F137" s="6"/>
      <c r="G137" s="6">
        <f t="shared" si="2"/>
        <v>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6" t="s">
        <v>182</v>
      </c>
    </row>
    <row r="138" spans="1:34" ht="15.75" customHeight="1">
      <c r="A138" s="6" t="s">
        <v>17</v>
      </c>
      <c r="B138" s="6" t="s">
        <v>185</v>
      </c>
      <c r="C138" s="6">
        <v>3814686</v>
      </c>
      <c r="D138" s="6" t="s">
        <v>25</v>
      </c>
      <c r="E138" s="6"/>
      <c r="F138" s="6"/>
      <c r="G138" s="6">
        <f t="shared" si="2"/>
        <v>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6" t="s">
        <v>182</v>
      </c>
    </row>
    <row r="139" spans="1:34" ht="15.75" customHeight="1">
      <c r="A139" s="6" t="s">
        <v>17</v>
      </c>
      <c r="B139" s="6" t="s">
        <v>186</v>
      </c>
      <c r="C139" s="6">
        <v>757174</v>
      </c>
      <c r="D139" s="6" t="s">
        <v>25</v>
      </c>
      <c r="E139" s="6"/>
      <c r="F139" s="6"/>
      <c r="G139" s="6">
        <f t="shared" si="2"/>
        <v>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6" t="s">
        <v>182</v>
      </c>
    </row>
    <row r="140" spans="1:34" ht="15.75" customHeight="1">
      <c r="A140" s="6" t="s">
        <v>17</v>
      </c>
      <c r="B140" s="6" t="s">
        <v>187</v>
      </c>
      <c r="C140" s="6">
        <v>6554423</v>
      </c>
      <c r="D140" s="6" t="s">
        <v>25</v>
      </c>
      <c r="E140" s="6"/>
      <c r="F140" s="6"/>
      <c r="G140" s="6">
        <f t="shared" si="2"/>
        <v>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6" t="s">
        <v>182</v>
      </c>
    </row>
    <row r="141" spans="1:34" ht="15.75" customHeight="1">
      <c r="A141" s="6" t="s">
        <v>17</v>
      </c>
      <c r="B141" s="6" t="s">
        <v>188</v>
      </c>
      <c r="C141" s="6">
        <v>756984</v>
      </c>
      <c r="D141" s="6" t="s">
        <v>25</v>
      </c>
      <c r="E141" s="6"/>
      <c r="F141" s="6"/>
      <c r="G141" s="6">
        <f t="shared" si="2"/>
        <v>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6" t="s">
        <v>182</v>
      </c>
    </row>
    <row r="142" spans="1:34" ht="15.75" customHeight="1">
      <c r="A142" s="6" t="s">
        <v>17</v>
      </c>
      <c r="B142" s="6" t="s">
        <v>189</v>
      </c>
      <c r="C142" s="6">
        <v>2622496</v>
      </c>
      <c r="D142" s="6" t="s">
        <v>25</v>
      </c>
      <c r="E142" s="6"/>
      <c r="F142" s="6"/>
      <c r="G142" s="6">
        <f t="shared" si="2"/>
        <v>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6" t="s">
        <v>182</v>
      </c>
    </row>
    <row r="143" spans="1:34" ht="15.75" customHeight="1">
      <c r="A143" s="6" t="s">
        <v>17</v>
      </c>
      <c r="B143" s="6" t="s">
        <v>190</v>
      </c>
      <c r="C143" s="6">
        <v>6022467</v>
      </c>
      <c r="D143" s="6" t="s">
        <v>25</v>
      </c>
      <c r="E143" s="6"/>
      <c r="F143" s="6"/>
      <c r="G143" s="6">
        <f t="shared" si="2"/>
        <v>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6" t="s">
        <v>182</v>
      </c>
    </row>
    <row r="144" spans="1:34" ht="15.75" customHeight="1">
      <c r="A144" s="6" t="s">
        <v>191</v>
      </c>
      <c r="B144" s="6" t="s">
        <v>192</v>
      </c>
      <c r="C144" s="6" t="s">
        <v>193</v>
      </c>
      <c r="D144" s="6" t="s">
        <v>25</v>
      </c>
      <c r="E144" s="6"/>
      <c r="F144" s="6"/>
      <c r="G144" s="6">
        <f t="shared" si="2"/>
        <v>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6" t="s">
        <v>182</v>
      </c>
    </row>
    <row r="145" spans="1:34" ht="15.75" customHeight="1">
      <c r="A145" s="6" t="s">
        <v>17</v>
      </c>
      <c r="B145" s="6" t="s">
        <v>194</v>
      </c>
      <c r="C145" s="6">
        <v>6396697</v>
      </c>
      <c r="D145" s="6" t="s">
        <v>25</v>
      </c>
      <c r="E145" s="6"/>
      <c r="F145" s="6"/>
      <c r="G145" s="6">
        <f t="shared" si="2"/>
        <v>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6" t="s">
        <v>182</v>
      </c>
    </row>
    <row r="146" spans="1:34" ht="15.75" customHeight="1">
      <c r="A146" s="6" t="s">
        <v>17</v>
      </c>
      <c r="B146" s="6" t="s">
        <v>195</v>
      </c>
      <c r="C146" s="6">
        <v>7855531</v>
      </c>
      <c r="D146" s="6" t="s">
        <v>25</v>
      </c>
      <c r="E146" s="6"/>
      <c r="F146" s="6"/>
      <c r="G146" s="6">
        <f t="shared" si="2"/>
        <v>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6" t="s">
        <v>182</v>
      </c>
    </row>
    <row r="147" spans="1:34" ht="15.75" customHeight="1">
      <c r="A147" s="6" t="s">
        <v>17</v>
      </c>
      <c r="B147" s="6" t="s">
        <v>196</v>
      </c>
      <c r="C147" s="6">
        <v>4811719</v>
      </c>
      <c r="D147" s="6" t="s">
        <v>25</v>
      </c>
      <c r="E147" s="6"/>
      <c r="F147" s="6"/>
      <c r="G147" s="6">
        <f t="shared" si="2"/>
        <v>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6" t="s">
        <v>182</v>
      </c>
    </row>
    <row r="148" spans="1:34" ht="15.75" customHeight="1">
      <c r="A148" s="6" t="s">
        <v>17</v>
      </c>
      <c r="B148" s="6" t="s">
        <v>197</v>
      </c>
      <c r="C148" s="6">
        <v>6075449</v>
      </c>
      <c r="D148" s="6" t="s">
        <v>25</v>
      </c>
      <c r="E148" s="6"/>
      <c r="F148" s="6"/>
      <c r="G148" s="6">
        <f t="shared" si="2"/>
        <v>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6" t="s">
        <v>182</v>
      </c>
    </row>
    <row r="149" spans="1:34" ht="15.75" customHeight="1">
      <c r="A149" s="6" t="s">
        <v>17</v>
      </c>
      <c r="B149" s="6" t="s">
        <v>198</v>
      </c>
      <c r="C149" s="6">
        <v>4811709</v>
      </c>
      <c r="D149" s="6" t="s">
        <v>25</v>
      </c>
      <c r="E149" s="6"/>
      <c r="F149" s="6"/>
      <c r="G149" s="6">
        <f t="shared" si="2"/>
        <v>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6" t="s">
        <v>182</v>
      </c>
    </row>
    <row r="150" spans="1:34" ht="15.75" customHeight="1">
      <c r="A150" s="6" t="s">
        <v>17</v>
      </c>
      <c r="B150" s="6" t="s">
        <v>199</v>
      </c>
      <c r="C150" s="6">
        <v>4811694</v>
      </c>
      <c r="D150" s="6" t="s">
        <v>25</v>
      </c>
      <c r="E150" s="6"/>
      <c r="F150" s="6"/>
      <c r="G150" s="6">
        <f t="shared" si="2"/>
        <v>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6" t="s">
        <v>182</v>
      </c>
    </row>
    <row r="151" spans="1:34" ht="15.75" customHeight="1">
      <c r="A151" s="6" t="s">
        <v>17</v>
      </c>
      <c r="B151" s="6" t="s">
        <v>200</v>
      </c>
      <c r="C151" s="6">
        <v>2436149</v>
      </c>
      <c r="D151" s="6" t="s">
        <v>25</v>
      </c>
      <c r="E151" s="6"/>
      <c r="F151" s="6"/>
      <c r="G151" s="6">
        <f t="shared" si="2"/>
        <v>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6" t="s">
        <v>182</v>
      </c>
    </row>
    <row r="152" spans="1:34" ht="15.75" customHeight="1">
      <c r="A152" s="6" t="s">
        <v>17</v>
      </c>
      <c r="B152" s="6" t="s">
        <v>201</v>
      </c>
      <c r="C152" s="6">
        <v>2504197</v>
      </c>
      <c r="D152" s="6" t="s">
        <v>25</v>
      </c>
      <c r="E152" s="6"/>
      <c r="F152" s="6"/>
      <c r="G152" s="6">
        <f t="shared" si="2"/>
        <v>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6" t="s">
        <v>182</v>
      </c>
    </row>
    <row r="153" spans="1:34" ht="15.75" customHeight="1">
      <c r="A153" s="6" t="s">
        <v>17</v>
      </c>
      <c r="B153" s="6" t="s">
        <v>202</v>
      </c>
      <c r="C153" s="6">
        <v>4811716</v>
      </c>
      <c r="D153" s="6" t="s">
        <v>25</v>
      </c>
      <c r="E153" s="6"/>
      <c r="F153" s="6"/>
      <c r="G153" s="6">
        <f t="shared" si="2"/>
        <v>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6" t="s">
        <v>182</v>
      </c>
    </row>
    <row r="154" spans="1:34" ht="15.75" customHeight="1">
      <c r="A154" s="6" t="s">
        <v>191</v>
      </c>
      <c r="B154" s="6" t="s">
        <v>203</v>
      </c>
      <c r="C154" s="6" t="s">
        <v>204</v>
      </c>
      <c r="D154" s="6" t="s">
        <v>25</v>
      </c>
      <c r="E154" s="6"/>
      <c r="F154" s="6"/>
      <c r="G154" s="6">
        <f t="shared" si="2"/>
        <v>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6" t="s">
        <v>182</v>
      </c>
    </row>
    <row r="155" spans="1:34" ht="15.75" customHeight="1">
      <c r="A155" s="6" t="s">
        <v>17</v>
      </c>
      <c r="B155" s="6" t="s">
        <v>205</v>
      </c>
      <c r="C155" s="6">
        <v>2494882</v>
      </c>
      <c r="D155" s="6" t="s">
        <v>25</v>
      </c>
      <c r="E155" s="6"/>
      <c r="F155" s="6"/>
      <c r="G155" s="6">
        <f t="shared" si="2"/>
        <v>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6" t="s">
        <v>182</v>
      </c>
    </row>
    <row r="156" spans="1:34" ht="15.75" customHeight="1">
      <c r="A156" s="6" t="s">
        <v>17</v>
      </c>
      <c r="B156" s="6" t="s">
        <v>206</v>
      </c>
      <c r="C156" s="6">
        <v>3752208</v>
      </c>
      <c r="D156" s="6" t="s">
        <v>25</v>
      </c>
      <c r="E156" s="6"/>
      <c r="F156" s="6"/>
      <c r="G156" s="6">
        <f t="shared" si="2"/>
        <v>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6" t="s">
        <v>182</v>
      </c>
    </row>
    <row r="157" spans="1:34" ht="15.75" customHeight="1">
      <c r="A157" s="6" t="s">
        <v>17</v>
      </c>
      <c r="B157" s="6" t="s">
        <v>207</v>
      </c>
      <c r="C157" s="6">
        <v>3390365</v>
      </c>
      <c r="D157" s="6" t="s">
        <v>25</v>
      </c>
      <c r="E157" s="6"/>
      <c r="F157" s="6"/>
      <c r="G157" s="6">
        <f t="shared" si="2"/>
        <v>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6" t="s">
        <v>182</v>
      </c>
    </row>
    <row r="158" spans="1:34" ht="15.75" customHeight="1">
      <c r="A158" s="6" t="s">
        <v>17</v>
      </c>
      <c r="B158" s="6" t="s">
        <v>208</v>
      </c>
      <c r="C158" s="6" t="s">
        <v>209</v>
      </c>
      <c r="D158" s="6" t="s">
        <v>25</v>
      </c>
      <c r="E158" s="6"/>
      <c r="F158" s="6"/>
      <c r="G158" s="6">
        <f t="shared" si="2"/>
        <v>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6" t="s">
        <v>182</v>
      </c>
    </row>
    <row r="159" spans="1:34" ht="15.75" customHeight="1">
      <c r="A159" s="6" t="s">
        <v>17</v>
      </c>
      <c r="B159" s="6" t="s">
        <v>210</v>
      </c>
      <c r="C159" s="6">
        <v>6187992</v>
      </c>
      <c r="D159" s="6" t="s">
        <v>25</v>
      </c>
      <c r="E159" s="6"/>
      <c r="F159" s="6"/>
      <c r="G159" s="6">
        <f t="shared" si="2"/>
        <v>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6" t="s">
        <v>182</v>
      </c>
    </row>
    <row r="160" spans="1:34" ht="15.75" customHeight="1">
      <c r="A160" s="6" t="s">
        <v>17</v>
      </c>
      <c r="B160" s="6" t="s">
        <v>211</v>
      </c>
      <c r="C160" s="6">
        <v>7855522</v>
      </c>
      <c r="D160" s="6" t="s">
        <v>25</v>
      </c>
      <c r="E160" s="6"/>
      <c r="F160" s="6"/>
      <c r="G160" s="6">
        <f t="shared" si="2"/>
        <v>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6" t="s">
        <v>182</v>
      </c>
    </row>
    <row r="161" spans="1:34" ht="15.75" customHeight="1">
      <c r="A161" s="6" t="s">
        <v>17</v>
      </c>
      <c r="B161" s="6" t="s">
        <v>212</v>
      </c>
      <c r="C161" s="6">
        <v>2663995</v>
      </c>
      <c r="D161" s="6" t="s">
        <v>25</v>
      </c>
      <c r="E161" s="6"/>
      <c r="F161" s="6"/>
      <c r="G161" s="6">
        <f t="shared" si="2"/>
        <v>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6" t="s">
        <v>182</v>
      </c>
    </row>
    <row r="162" spans="1:34" ht="15.75" customHeight="1">
      <c r="A162" s="6" t="s">
        <v>17</v>
      </c>
      <c r="B162" s="6" t="s">
        <v>213</v>
      </c>
      <c r="C162" s="6">
        <v>25800</v>
      </c>
      <c r="D162" s="6" t="s">
        <v>25</v>
      </c>
      <c r="E162" s="6"/>
      <c r="F162" s="6"/>
      <c r="G162" s="6">
        <f t="shared" si="2"/>
        <v>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6" t="s">
        <v>182</v>
      </c>
    </row>
    <row r="163" spans="1:34" ht="15.75" customHeight="1">
      <c r="A163" s="6" t="s">
        <v>17</v>
      </c>
      <c r="B163" s="6" t="s">
        <v>214</v>
      </c>
      <c r="C163" s="6">
        <v>25806</v>
      </c>
      <c r="D163" s="6" t="s">
        <v>25</v>
      </c>
      <c r="E163" s="6"/>
      <c r="F163" s="6"/>
      <c r="G163" s="6">
        <f t="shared" si="2"/>
        <v>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6" t="s">
        <v>182</v>
      </c>
    </row>
    <row r="164" spans="1:34" ht="15.75" customHeight="1">
      <c r="A164" s="6" t="s">
        <v>17</v>
      </c>
      <c r="B164" s="6" t="s">
        <v>215</v>
      </c>
      <c r="C164" s="6">
        <v>2488844</v>
      </c>
      <c r="D164" s="6" t="s">
        <v>25</v>
      </c>
      <c r="E164" s="6"/>
      <c r="F164" s="6"/>
      <c r="G164" s="6">
        <f t="shared" si="2"/>
        <v>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6" t="s">
        <v>182</v>
      </c>
    </row>
    <row r="165" spans="1:34" ht="15.75" customHeight="1">
      <c r="A165" s="6" t="s">
        <v>17</v>
      </c>
      <c r="B165" s="6" t="s">
        <v>216</v>
      </c>
      <c r="C165" s="6">
        <v>3464208</v>
      </c>
      <c r="D165" s="6" t="s">
        <v>25</v>
      </c>
      <c r="E165" s="6"/>
      <c r="F165" s="6"/>
      <c r="G165" s="6">
        <f t="shared" si="2"/>
        <v>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6" t="s">
        <v>182</v>
      </c>
    </row>
    <row r="166" spans="1:34" ht="15.75" customHeight="1">
      <c r="A166" s="6" t="s">
        <v>17</v>
      </c>
      <c r="B166" s="6" t="s">
        <v>217</v>
      </c>
      <c r="C166" s="6">
        <v>3464822</v>
      </c>
      <c r="D166" s="6" t="s">
        <v>25</v>
      </c>
      <c r="E166" s="6"/>
      <c r="F166" s="6"/>
      <c r="G166" s="6">
        <f t="shared" si="2"/>
        <v>0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6" t="s">
        <v>182</v>
      </c>
    </row>
    <row r="167" spans="1:34" ht="15.75" customHeight="1">
      <c r="A167" s="6" t="s">
        <v>17</v>
      </c>
      <c r="B167" s="6" t="s">
        <v>218</v>
      </c>
      <c r="C167" s="6">
        <v>3464206</v>
      </c>
      <c r="D167" s="6" t="s">
        <v>25</v>
      </c>
      <c r="E167" s="6"/>
      <c r="F167" s="6"/>
      <c r="G167" s="6">
        <f t="shared" si="2"/>
        <v>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6" t="s">
        <v>182</v>
      </c>
    </row>
    <row r="168" spans="1:34" ht="15.75" customHeight="1">
      <c r="A168" s="6" t="s">
        <v>17</v>
      </c>
      <c r="B168" s="6" t="s">
        <v>219</v>
      </c>
      <c r="C168" s="6">
        <v>3464202</v>
      </c>
      <c r="D168" s="6" t="s">
        <v>25</v>
      </c>
      <c r="E168" s="6"/>
      <c r="F168" s="6"/>
      <c r="G168" s="6">
        <f t="shared" si="2"/>
        <v>0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6" t="s">
        <v>182</v>
      </c>
    </row>
    <row r="169" spans="1:34" ht="15.75" customHeight="1">
      <c r="A169" s="6" t="s">
        <v>17</v>
      </c>
      <c r="B169" s="6" t="s">
        <v>220</v>
      </c>
      <c r="C169" s="6">
        <v>3390360</v>
      </c>
      <c r="D169" s="6" t="s">
        <v>25</v>
      </c>
      <c r="E169" s="6"/>
      <c r="F169" s="6"/>
      <c r="G169" s="6">
        <f t="shared" si="2"/>
        <v>0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6" t="s">
        <v>182</v>
      </c>
    </row>
    <row r="170" spans="1:34" ht="15.75" customHeight="1">
      <c r="A170" s="6" t="s">
        <v>17</v>
      </c>
      <c r="B170" s="6" t="s">
        <v>221</v>
      </c>
      <c r="C170" s="6">
        <v>3461109</v>
      </c>
      <c r="D170" s="6" t="s">
        <v>25</v>
      </c>
      <c r="E170" s="6"/>
      <c r="F170" s="6"/>
      <c r="G170" s="6">
        <f t="shared" si="2"/>
        <v>0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6" t="s">
        <v>182</v>
      </c>
    </row>
    <row r="171" spans="1:34" ht="15.75" customHeight="1">
      <c r="A171" s="6" t="s">
        <v>17</v>
      </c>
      <c r="B171" s="6" t="s">
        <v>222</v>
      </c>
      <c r="C171" s="6">
        <v>3390352</v>
      </c>
      <c r="D171" s="6" t="s">
        <v>25</v>
      </c>
      <c r="E171" s="6"/>
      <c r="F171" s="6"/>
      <c r="G171" s="6">
        <f t="shared" si="2"/>
        <v>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6" t="s">
        <v>182</v>
      </c>
    </row>
    <row r="172" spans="1:34" ht="15.75" customHeight="1">
      <c r="A172" s="6" t="s">
        <v>17</v>
      </c>
      <c r="B172" s="6" t="s">
        <v>223</v>
      </c>
      <c r="C172" s="6">
        <v>3463720</v>
      </c>
      <c r="D172" s="6" t="s">
        <v>25</v>
      </c>
      <c r="E172" s="6"/>
      <c r="F172" s="6"/>
      <c r="G172" s="6">
        <f t="shared" si="2"/>
        <v>0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6" t="s">
        <v>182</v>
      </c>
    </row>
    <row r="173" spans="1:34" ht="15.75" customHeight="1">
      <c r="A173" s="6" t="s">
        <v>17</v>
      </c>
      <c r="B173" s="6" t="s">
        <v>224</v>
      </c>
      <c r="C173" s="6">
        <v>3463822</v>
      </c>
      <c r="D173" s="6" t="s">
        <v>25</v>
      </c>
      <c r="E173" s="6"/>
      <c r="F173" s="6"/>
      <c r="G173" s="6">
        <f t="shared" si="2"/>
        <v>0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6" t="s">
        <v>182</v>
      </c>
    </row>
    <row r="174" spans="1:34" ht="15.75" customHeight="1">
      <c r="A174" s="6" t="s">
        <v>17</v>
      </c>
      <c r="B174" s="6" t="s">
        <v>225</v>
      </c>
      <c r="C174" s="6">
        <v>3461120</v>
      </c>
      <c r="D174" s="6" t="s">
        <v>25</v>
      </c>
      <c r="E174" s="6"/>
      <c r="F174" s="6"/>
      <c r="G174" s="6">
        <f t="shared" si="2"/>
        <v>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6" t="s">
        <v>182</v>
      </c>
    </row>
    <row r="175" spans="1:34" ht="15.75" customHeight="1">
      <c r="A175" s="6" t="s">
        <v>17</v>
      </c>
      <c r="B175" s="6" t="s">
        <v>226</v>
      </c>
      <c r="C175" s="6">
        <v>3461116</v>
      </c>
      <c r="D175" s="6" t="s">
        <v>25</v>
      </c>
      <c r="E175" s="6"/>
      <c r="F175" s="6"/>
      <c r="G175" s="6">
        <f t="shared" si="2"/>
        <v>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6" t="s">
        <v>182</v>
      </c>
    </row>
    <row r="176" spans="1:34" ht="15.75" customHeight="1">
      <c r="A176" s="6" t="s">
        <v>17</v>
      </c>
      <c r="B176" s="6" t="s">
        <v>227</v>
      </c>
      <c r="C176" s="6">
        <v>3463587</v>
      </c>
      <c r="D176" s="6" t="s">
        <v>25</v>
      </c>
      <c r="E176" s="6"/>
      <c r="F176" s="6"/>
      <c r="G176" s="6">
        <f t="shared" si="2"/>
        <v>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6" t="s">
        <v>182</v>
      </c>
    </row>
    <row r="177" spans="1:34" ht="15.75" customHeight="1">
      <c r="A177" s="6" t="s">
        <v>17</v>
      </c>
      <c r="B177" s="6" t="s">
        <v>228</v>
      </c>
      <c r="C177" s="6">
        <v>3462452</v>
      </c>
      <c r="D177" s="6" t="s">
        <v>25</v>
      </c>
      <c r="E177" s="6"/>
      <c r="F177" s="6"/>
      <c r="G177" s="6">
        <f t="shared" si="2"/>
        <v>0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6" t="s">
        <v>182</v>
      </c>
    </row>
    <row r="178" spans="1:34" ht="15.75" customHeight="1">
      <c r="A178" s="6" t="s">
        <v>17</v>
      </c>
      <c r="B178" s="6" t="s">
        <v>229</v>
      </c>
      <c r="C178" s="6">
        <v>10427</v>
      </c>
      <c r="D178" s="6" t="s">
        <v>25</v>
      </c>
      <c r="E178" s="6"/>
      <c r="F178" s="6"/>
      <c r="G178" s="6">
        <f t="shared" si="2"/>
        <v>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6" t="s">
        <v>182</v>
      </c>
    </row>
    <row r="179" spans="1:34" ht="15.75" customHeight="1">
      <c r="A179" s="6" t="s">
        <v>191</v>
      </c>
      <c r="B179" s="6" t="s">
        <v>230</v>
      </c>
      <c r="C179" s="6" t="s">
        <v>231</v>
      </c>
      <c r="D179" s="6" t="s">
        <v>25</v>
      </c>
      <c r="E179" s="6"/>
      <c r="F179" s="6"/>
      <c r="G179" s="6">
        <f t="shared" si="2"/>
        <v>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6" t="s">
        <v>182</v>
      </c>
    </row>
    <row r="180" spans="1:34" ht="15.75" customHeight="1">
      <c r="A180" s="6" t="s">
        <v>17</v>
      </c>
      <c r="B180" s="6" t="s">
        <v>232</v>
      </c>
      <c r="C180" s="6">
        <v>5367599</v>
      </c>
      <c r="D180" s="6" t="s">
        <v>25</v>
      </c>
      <c r="E180" s="6"/>
      <c r="F180" s="6"/>
      <c r="G180" s="6">
        <f t="shared" si="2"/>
        <v>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6" t="s">
        <v>182</v>
      </c>
    </row>
    <row r="181" spans="1:34" ht="15.75" customHeight="1">
      <c r="A181" s="6" t="s">
        <v>17</v>
      </c>
      <c r="B181" s="6" t="s">
        <v>233</v>
      </c>
      <c r="C181" s="6">
        <v>10435</v>
      </c>
      <c r="D181" s="6" t="s">
        <v>25</v>
      </c>
      <c r="E181" s="6"/>
      <c r="F181" s="6"/>
      <c r="G181" s="6">
        <f t="shared" si="2"/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6" t="s">
        <v>182</v>
      </c>
    </row>
    <row r="182" spans="1:34" ht="15.75" customHeight="1">
      <c r="A182" s="6" t="s">
        <v>17</v>
      </c>
      <c r="B182" s="6" t="s">
        <v>233</v>
      </c>
      <c r="C182" s="6">
        <v>10433</v>
      </c>
      <c r="D182" s="6" t="s">
        <v>25</v>
      </c>
      <c r="E182" s="6"/>
      <c r="F182" s="6"/>
      <c r="G182" s="6">
        <f t="shared" si="2"/>
        <v>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6" t="s">
        <v>182</v>
      </c>
    </row>
    <row r="183" spans="1:34" ht="15.75" customHeight="1">
      <c r="A183" s="6" t="s">
        <v>17</v>
      </c>
      <c r="B183" s="6" t="s">
        <v>234</v>
      </c>
      <c r="C183" s="6">
        <v>5474382</v>
      </c>
      <c r="D183" s="6" t="s">
        <v>25</v>
      </c>
      <c r="E183" s="6"/>
      <c r="F183" s="6"/>
      <c r="G183" s="6">
        <f t="shared" si="2"/>
        <v>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6" t="s">
        <v>182</v>
      </c>
    </row>
    <row r="184" spans="1:34" ht="15.75" customHeight="1">
      <c r="A184" s="6" t="s">
        <v>76</v>
      </c>
      <c r="B184" s="6" t="s">
        <v>235</v>
      </c>
      <c r="C184" s="6">
        <v>838511</v>
      </c>
      <c r="D184" s="6" t="s">
        <v>25</v>
      </c>
      <c r="E184" s="6"/>
      <c r="F184" s="6"/>
      <c r="G184" s="6">
        <f t="shared" si="2"/>
        <v>0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6" t="s">
        <v>236</v>
      </c>
    </row>
    <row r="185" spans="1:34" ht="15.75" customHeight="1">
      <c r="A185" s="6" t="s">
        <v>76</v>
      </c>
      <c r="B185" s="6" t="s">
        <v>237</v>
      </c>
      <c r="C185" s="6">
        <v>25731</v>
      </c>
      <c r="D185" s="6" t="s">
        <v>25</v>
      </c>
      <c r="E185" s="6"/>
      <c r="F185" s="6"/>
      <c r="G185" s="6">
        <f t="shared" si="2"/>
        <v>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6" t="s">
        <v>236</v>
      </c>
    </row>
    <row r="186" spans="1:34" ht="15.75" customHeight="1">
      <c r="A186" s="6" t="s">
        <v>17</v>
      </c>
      <c r="B186" s="6" t="s">
        <v>238</v>
      </c>
      <c r="C186" s="6">
        <v>3841405</v>
      </c>
      <c r="D186" s="6" t="s">
        <v>25</v>
      </c>
      <c r="E186" s="6"/>
      <c r="F186" s="6"/>
      <c r="G186" s="6">
        <f t="shared" si="2"/>
        <v>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6" t="s">
        <v>239</v>
      </c>
    </row>
    <row r="187" spans="1:34" ht="15.75" customHeight="1">
      <c r="A187" s="6" t="s">
        <v>17</v>
      </c>
      <c r="B187" s="6" t="s">
        <v>240</v>
      </c>
      <c r="C187" s="6">
        <v>2787982</v>
      </c>
      <c r="D187" s="6" t="s">
        <v>25</v>
      </c>
      <c r="E187" s="6"/>
      <c r="F187" s="6"/>
      <c r="G187" s="6">
        <f t="shared" si="2"/>
        <v>0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6" t="s">
        <v>239</v>
      </c>
    </row>
    <row r="188" spans="1:34" ht="15.75" customHeight="1">
      <c r="A188" s="6" t="s">
        <v>17</v>
      </c>
      <c r="B188" s="6" t="s">
        <v>241</v>
      </c>
      <c r="C188" s="6">
        <v>3836315</v>
      </c>
      <c r="D188" s="6" t="s">
        <v>25</v>
      </c>
      <c r="E188" s="6"/>
      <c r="F188" s="6"/>
      <c r="G188" s="6">
        <f t="shared" si="2"/>
        <v>0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6" t="s">
        <v>239</v>
      </c>
    </row>
    <row r="189" spans="1:34" ht="15.75" customHeight="1">
      <c r="A189" s="6" t="s">
        <v>17</v>
      </c>
      <c r="B189" s="6" t="s">
        <v>242</v>
      </c>
      <c r="C189" s="6">
        <v>3894399</v>
      </c>
      <c r="D189" s="6" t="s">
        <v>25</v>
      </c>
      <c r="E189" s="6"/>
      <c r="F189" s="6"/>
      <c r="G189" s="6">
        <f t="shared" si="2"/>
        <v>0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6" t="s">
        <v>239</v>
      </c>
    </row>
    <row r="190" spans="1:34" ht="15.75" customHeight="1">
      <c r="A190" s="6" t="s">
        <v>17</v>
      </c>
      <c r="B190" s="6" t="s">
        <v>243</v>
      </c>
      <c r="C190" s="6">
        <v>4068530</v>
      </c>
      <c r="D190" s="6" t="s">
        <v>25</v>
      </c>
      <c r="E190" s="6"/>
      <c r="F190" s="6"/>
      <c r="G190" s="6">
        <f t="shared" si="2"/>
        <v>0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6" t="s">
        <v>239</v>
      </c>
    </row>
    <row r="191" spans="1:34" ht="15.75" customHeight="1">
      <c r="A191" s="6" t="s">
        <v>17</v>
      </c>
      <c r="B191" s="6" t="s">
        <v>244</v>
      </c>
      <c r="C191" s="6">
        <v>3832500</v>
      </c>
      <c r="D191" s="6" t="s">
        <v>25</v>
      </c>
      <c r="E191" s="6"/>
      <c r="F191" s="6"/>
      <c r="G191" s="6">
        <f t="shared" si="2"/>
        <v>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6" t="s">
        <v>239</v>
      </c>
    </row>
    <row r="192" spans="1:34" ht="15.75" customHeight="1">
      <c r="A192" s="6" t="s">
        <v>17</v>
      </c>
      <c r="B192" s="6" t="s">
        <v>245</v>
      </c>
      <c r="C192" s="6">
        <v>3796687</v>
      </c>
      <c r="D192" s="6" t="s">
        <v>25</v>
      </c>
      <c r="E192" s="6"/>
      <c r="F192" s="6"/>
      <c r="G192" s="6">
        <f t="shared" si="2"/>
        <v>0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6" t="s">
        <v>239</v>
      </c>
    </row>
    <row r="193" spans="1:34" ht="15.75" customHeight="1">
      <c r="A193" s="6" t="s">
        <v>17</v>
      </c>
      <c r="B193" s="6" t="s">
        <v>246</v>
      </c>
      <c r="C193" s="6">
        <v>4148248</v>
      </c>
      <c r="D193" s="6" t="s">
        <v>25</v>
      </c>
      <c r="E193" s="6"/>
      <c r="F193" s="6"/>
      <c r="G193" s="6">
        <f t="shared" si="2"/>
        <v>0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6" t="s">
        <v>239</v>
      </c>
    </row>
    <row r="194" spans="1:34" ht="15.75" customHeight="1">
      <c r="A194" s="6" t="s">
        <v>17</v>
      </c>
      <c r="B194" s="6" t="s">
        <v>247</v>
      </c>
      <c r="C194" s="6">
        <v>3035222</v>
      </c>
      <c r="D194" s="6" t="s">
        <v>25</v>
      </c>
      <c r="E194" s="6"/>
      <c r="F194" s="6"/>
      <c r="G194" s="6">
        <f t="shared" si="2"/>
        <v>0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6" t="s">
        <v>239</v>
      </c>
    </row>
    <row r="195" spans="1:34" ht="15.75" customHeight="1">
      <c r="A195" s="6" t="s">
        <v>17</v>
      </c>
      <c r="B195" s="6" t="s">
        <v>248</v>
      </c>
      <c r="C195" s="6">
        <v>6486563</v>
      </c>
      <c r="D195" s="6" t="s">
        <v>25</v>
      </c>
      <c r="E195" s="6"/>
      <c r="F195" s="6"/>
      <c r="G195" s="6">
        <f t="shared" si="2"/>
        <v>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6" t="s">
        <v>239</v>
      </c>
    </row>
    <row r="196" spans="1:34" ht="15.75" customHeight="1">
      <c r="A196" s="6" t="s">
        <v>17</v>
      </c>
      <c r="B196" s="6" t="s">
        <v>249</v>
      </c>
      <c r="C196" s="6">
        <v>170504</v>
      </c>
      <c r="D196" s="6" t="s">
        <v>25</v>
      </c>
      <c r="E196" s="6"/>
      <c r="F196" s="6"/>
      <c r="G196" s="6">
        <f t="shared" si="2"/>
        <v>0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6" t="s">
        <v>239</v>
      </c>
    </row>
    <row r="197" spans="1:34" ht="15.75" customHeight="1">
      <c r="A197" s="6" t="s">
        <v>17</v>
      </c>
      <c r="B197" s="6" t="s">
        <v>250</v>
      </c>
      <c r="C197" s="6">
        <v>170495</v>
      </c>
      <c r="D197" s="6" t="s">
        <v>25</v>
      </c>
      <c r="E197" s="6"/>
      <c r="F197" s="6"/>
      <c r="G197" s="6">
        <f t="shared" si="2"/>
        <v>0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6" t="s">
        <v>239</v>
      </c>
    </row>
    <row r="198" spans="1:34" ht="15.75" customHeight="1">
      <c r="A198" s="6" t="s">
        <v>17</v>
      </c>
      <c r="B198" s="6" t="s">
        <v>251</v>
      </c>
      <c r="C198" s="6">
        <v>24485</v>
      </c>
      <c r="D198" s="6" t="s">
        <v>25</v>
      </c>
      <c r="E198" s="6"/>
      <c r="F198" s="6"/>
      <c r="G198" s="6">
        <f t="shared" ref="G198:G261" si="3">E198-F198</f>
        <v>0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6" t="s">
        <v>239</v>
      </c>
    </row>
    <row r="199" spans="1:34" ht="15.75" customHeight="1">
      <c r="A199" s="6" t="s">
        <v>17</v>
      </c>
      <c r="B199" s="6" t="s">
        <v>252</v>
      </c>
      <c r="C199" s="6">
        <v>55159895</v>
      </c>
      <c r="D199" s="6" t="s">
        <v>25</v>
      </c>
      <c r="E199" s="6"/>
      <c r="F199" s="6"/>
      <c r="G199" s="6">
        <f t="shared" si="3"/>
        <v>0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6" t="s">
        <v>239</v>
      </c>
    </row>
    <row r="200" spans="1:34" ht="15.75" customHeight="1">
      <c r="A200" s="6" t="s">
        <v>17</v>
      </c>
      <c r="B200" s="6" t="s">
        <v>253</v>
      </c>
      <c r="C200" s="6">
        <v>3836321</v>
      </c>
      <c r="D200" s="6" t="s">
        <v>25</v>
      </c>
      <c r="E200" s="6"/>
      <c r="F200" s="6"/>
      <c r="G200" s="6">
        <f t="shared" si="3"/>
        <v>0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6" t="s">
        <v>239</v>
      </c>
    </row>
    <row r="201" spans="1:34" ht="15.75" customHeight="1">
      <c r="A201" s="6" t="s">
        <v>17</v>
      </c>
      <c r="B201" s="6" t="s">
        <v>254</v>
      </c>
      <c r="C201" s="6">
        <v>6304971</v>
      </c>
      <c r="D201" s="6" t="s">
        <v>25</v>
      </c>
      <c r="E201" s="6"/>
      <c r="F201" s="6"/>
      <c r="G201" s="6">
        <f t="shared" si="3"/>
        <v>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6" t="s">
        <v>239</v>
      </c>
    </row>
    <row r="202" spans="1:34" ht="15.75" customHeight="1">
      <c r="A202" s="6" t="s">
        <v>17</v>
      </c>
      <c r="B202" s="6" t="s">
        <v>255</v>
      </c>
      <c r="C202" s="6">
        <v>6156509</v>
      </c>
      <c r="D202" s="6" t="s">
        <v>25</v>
      </c>
      <c r="E202" s="6"/>
      <c r="F202" s="6"/>
      <c r="G202" s="6">
        <f t="shared" si="3"/>
        <v>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6" t="s">
        <v>239</v>
      </c>
    </row>
    <row r="203" spans="1:34" ht="15.75" customHeight="1">
      <c r="A203" s="6" t="s">
        <v>17</v>
      </c>
      <c r="B203" s="6" t="s">
        <v>256</v>
      </c>
      <c r="C203" s="6">
        <v>10417</v>
      </c>
      <c r="D203" s="6" t="s">
        <v>25</v>
      </c>
      <c r="E203" s="6"/>
      <c r="F203" s="6"/>
      <c r="G203" s="6">
        <f t="shared" si="3"/>
        <v>0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6" t="s">
        <v>239</v>
      </c>
    </row>
    <row r="204" spans="1:34" ht="15.75" customHeight="1">
      <c r="A204" s="6" t="s">
        <v>17</v>
      </c>
      <c r="B204" s="6" t="s">
        <v>257</v>
      </c>
      <c r="C204" s="6">
        <v>920736</v>
      </c>
      <c r="D204" s="6" t="s">
        <v>25</v>
      </c>
      <c r="E204" s="6"/>
      <c r="F204" s="6"/>
      <c r="G204" s="6">
        <f t="shared" si="3"/>
        <v>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6" t="s">
        <v>239</v>
      </c>
    </row>
    <row r="205" spans="1:34" ht="15.75" customHeight="1">
      <c r="A205" s="6" t="s">
        <v>17</v>
      </c>
      <c r="B205" s="6" t="s">
        <v>258</v>
      </c>
      <c r="C205" s="6">
        <v>10222</v>
      </c>
      <c r="D205" s="6" t="s">
        <v>25</v>
      </c>
      <c r="E205" s="6"/>
      <c r="F205" s="6"/>
      <c r="G205" s="6">
        <f t="shared" si="3"/>
        <v>0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6" t="s">
        <v>239</v>
      </c>
    </row>
    <row r="206" spans="1:34" ht="15.75" customHeight="1">
      <c r="A206" s="6" t="s">
        <v>17</v>
      </c>
      <c r="B206" s="6" t="s">
        <v>259</v>
      </c>
      <c r="C206" s="6">
        <v>10405</v>
      </c>
      <c r="D206" s="6" t="s">
        <v>25</v>
      </c>
      <c r="E206" s="6"/>
      <c r="F206" s="6"/>
      <c r="G206" s="6">
        <f t="shared" si="3"/>
        <v>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6" t="s">
        <v>239</v>
      </c>
    </row>
    <row r="207" spans="1:34" ht="15.75" customHeight="1">
      <c r="A207" s="6" t="s">
        <v>17</v>
      </c>
      <c r="B207" s="6" t="s">
        <v>260</v>
      </c>
      <c r="C207" s="6">
        <v>3797776</v>
      </c>
      <c r="D207" s="6" t="s">
        <v>25</v>
      </c>
      <c r="E207" s="6"/>
      <c r="F207" s="6"/>
      <c r="G207" s="6">
        <f t="shared" si="3"/>
        <v>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6" t="s">
        <v>239</v>
      </c>
    </row>
    <row r="208" spans="1:34" ht="15.75" customHeight="1">
      <c r="A208" s="6" t="s">
        <v>17</v>
      </c>
      <c r="B208" s="6" t="s">
        <v>261</v>
      </c>
      <c r="C208" s="6">
        <v>10252</v>
      </c>
      <c r="D208" s="6" t="s">
        <v>25</v>
      </c>
      <c r="E208" s="6"/>
      <c r="F208" s="6"/>
      <c r="G208" s="6">
        <f t="shared" si="3"/>
        <v>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6" t="s">
        <v>239</v>
      </c>
    </row>
    <row r="209" spans="1:34" ht="15.75" customHeight="1">
      <c r="A209" s="6" t="s">
        <v>17</v>
      </c>
      <c r="B209" s="6" t="s">
        <v>262</v>
      </c>
      <c r="C209" s="6">
        <v>25443</v>
      </c>
      <c r="D209" s="6" t="s">
        <v>25</v>
      </c>
      <c r="E209" s="6"/>
      <c r="F209" s="6"/>
      <c r="G209" s="6">
        <f t="shared" si="3"/>
        <v>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6" t="s">
        <v>239</v>
      </c>
    </row>
    <row r="210" spans="1:34" ht="15.75" customHeight="1">
      <c r="A210" s="6" t="s">
        <v>17</v>
      </c>
      <c r="B210" s="6" t="s">
        <v>263</v>
      </c>
      <c r="C210" s="6">
        <v>6545672</v>
      </c>
      <c r="D210" s="6" t="s">
        <v>25</v>
      </c>
      <c r="E210" s="6"/>
      <c r="F210" s="6"/>
      <c r="G210" s="6">
        <f t="shared" si="3"/>
        <v>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6" t="s">
        <v>239</v>
      </c>
    </row>
    <row r="211" spans="1:34" ht="15.75" customHeight="1">
      <c r="A211" s="6" t="s">
        <v>17</v>
      </c>
      <c r="B211" s="6" t="s">
        <v>263</v>
      </c>
      <c r="C211" s="6">
        <v>6545659</v>
      </c>
      <c r="D211" s="6" t="s">
        <v>25</v>
      </c>
      <c r="E211" s="6"/>
      <c r="F211" s="6"/>
      <c r="G211" s="6">
        <f t="shared" si="3"/>
        <v>0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6" t="s">
        <v>239</v>
      </c>
    </row>
    <row r="212" spans="1:34" ht="15.75" customHeight="1">
      <c r="A212" s="6" t="s">
        <v>17</v>
      </c>
      <c r="B212" s="6" t="s">
        <v>263</v>
      </c>
      <c r="C212" s="6">
        <v>6545031</v>
      </c>
      <c r="D212" s="6" t="s">
        <v>25</v>
      </c>
      <c r="E212" s="6"/>
      <c r="F212" s="6"/>
      <c r="G212" s="6">
        <f t="shared" si="3"/>
        <v>0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6" t="s">
        <v>239</v>
      </c>
    </row>
    <row r="213" spans="1:34" ht="15.75" customHeight="1">
      <c r="A213" s="6" t="s">
        <v>17</v>
      </c>
      <c r="B213" s="6" t="s">
        <v>264</v>
      </c>
      <c r="C213" s="6">
        <v>6544988</v>
      </c>
      <c r="D213" s="6" t="s">
        <v>25</v>
      </c>
      <c r="E213" s="6"/>
      <c r="F213" s="6"/>
      <c r="G213" s="6">
        <f t="shared" si="3"/>
        <v>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6" t="s">
        <v>239</v>
      </c>
    </row>
    <row r="214" spans="1:34" ht="15.75" customHeight="1">
      <c r="A214" s="6" t="s">
        <v>17</v>
      </c>
      <c r="B214" s="6" t="s">
        <v>265</v>
      </c>
      <c r="C214" s="6">
        <v>10423</v>
      </c>
      <c r="D214" s="6" t="s">
        <v>25</v>
      </c>
      <c r="E214" s="6"/>
      <c r="F214" s="6"/>
      <c r="G214" s="6">
        <f t="shared" si="3"/>
        <v>0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6" t="s">
        <v>239</v>
      </c>
    </row>
    <row r="215" spans="1:34" ht="15.75" customHeight="1">
      <c r="A215" s="6" t="s">
        <v>17</v>
      </c>
      <c r="B215" s="6" t="s">
        <v>266</v>
      </c>
      <c r="C215" s="6">
        <v>3304754</v>
      </c>
      <c r="D215" s="6" t="s">
        <v>25</v>
      </c>
      <c r="E215" s="6"/>
      <c r="F215" s="6"/>
      <c r="G215" s="6">
        <f t="shared" si="3"/>
        <v>0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6" t="s">
        <v>239</v>
      </c>
    </row>
    <row r="216" spans="1:34" ht="15.75" customHeight="1">
      <c r="A216" s="6" t="s">
        <v>17</v>
      </c>
      <c r="B216" s="6" t="s">
        <v>267</v>
      </c>
      <c r="C216" s="6">
        <v>2979159</v>
      </c>
      <c r="D216" s="6" t="s">
        <v>25</v>
      </c>
      <c r="E216" s="6"/>
      <c r="F216" s="6"/>
      <c r="G216" s="6">
        <f t="shared" si="3"/>
        <v>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6" t="s">
        <v>239</v>
      </c>
    </row>
    <row r="217" spans="1:34" ht="15.75" customHeight="1">
      <c r="A217" s="6" t="s">
        <v>17</v>
      </c>
      <c r="B217" s="6" t="s">
        <v>268</v>
      </c>
      <c r="C217" s="6">
        <v>4018717</v>
      </c>
      <c r="D217" s="6" t="s">
        <v>25</v>
      </c>
      <c r="E217" s="6"/>
      <c r="F217" s="6"/>
      <c r="G217" s="6">
        <f t="shared" si="3"/>
        <v>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6" t="s">
        <v>239</v>
      </c>
    </row>
    <row r="218" spans="1:34" ht="15.75" customHeight="1">
      <c r="A218" s="6" t="s">
        <v>17</v>
      </c>
      <c r="B218" s="6" t="s">
        <v>269</v>
      </c>
      <c r="C218" s="6">
        <v>6549515</v>
      </c>
      <c r="D218" s="6" t="s">
        <v>270</v>
      </c>
      <c r="E218" s="6"/>
      <c r="F218" s="6"/>
      <c r="G218" s="6">
        <f t="shared" si="3"/>
        <v>0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6" t="s">
        <v>271</v>
      </c>
    </row>
    <row r="219" spans="1:34" ht="15.75" customHeight="1">
      <c r="A219" s="6" t="s">
        <v>17</v>
      </c>
      <c r="B219" s="6" t="s">
        <v>272</v>
      </c>
      <c r="C219" s="6">
        <v>3706294</v>
      </c>
      <c r="D219" s="6" t="s">
        <v>270</v>
      </c>
      <c r="E219" s="6"/>
      <c r="F219" s="6"/>
      <c r="G219" s="6">
        <f t="shared" si="3"/>
        <v>0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6" t="s">
        <v>271</v>
      </c>
    </row>
    <row r="220" spans="1:34" ht="15.75" customHeight="1">
      <c r="A220" s="6" t="s">
        <v>17</v>
      </c>
      <c r="B220" s="6" t="s">
        <v>273</v>
      </c>
      <c r="C220" s="6">
        <v>4013500</v>
      </c>
      <c r="D220" s="6" t="s">
        <v>270</v>
      </c>
      <c r="E220" s="6"/>
      <c r="F220" s="6"/>
      <c r="G220" s="6">
        <f t="shared" si="3"/>
        <v>0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6" t="s">
        <v>271</v>
      </c>
    </row>
    <row r="221" spans="1:34" ht="15.75" customHeight="1">
      <c r="A221" s="6" t="s">
        <v>17</v>
      </c>
      <c r="B221" s="6" t="s">
        <v>274</v>
      </c>
      <c r="C221" s="6">
        <v>4008813</v>
      </c>
      <c r="D221" s="6" t="s">
        <v>270</v>
      </c>
      <c r="E221" s="6"/>
      <c r="F221" s="6"/>
      <c r="G221" s="6">
        <f t="shared" si="3"/>
        <v>0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6" t="s">
        <v>271</v>
      </c>
    </row>
    <row r="222" spans="1:34" ht="15.75" customHeight="1">
      <c r="A222" s="6" t="s">
        <v>17</v>
      </c>
      <c r="B222" s="6" t="s">
        <v>275</v>
      </c>
      <c r="C222" s="6">
        <v>4946698</v>
      </c>
      <c r="D222" s="6" t="s">
        <v>270</v>
      </c>
      <c r="E222" s="6"/>
      <c r="F222" s="6"/>
      <c r="G222" s="6">
        <f t="shared" si="3"/>
        <v>0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6" t="s">
        <v>271</v>
      </c>
    </row>
    <row r="223" spans="1:34" ht="15.75" customHeight="1">
      <c r="A223" s="6" t="s">
        <v>17</v>
      </c>
      <c r="B223" s="6" t="s">
        <v>276</v>
      </c>
      <c r="C223" s="6">
        <v>4044576</v>
      </c>
      <c r="D223" s="6" t="s">
        <v>270</v>
      </c>
      <c r="E223" s="6"/>
      <c r="F223" s="6"/>
      <c r="G223" s="6">
        <f t="shared" si="3"/>
        <v>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6" t="s">
        <v>271</v>
      </c>
    </row>
    <row r="224" spans="1:34" ht="15.75" customHeight="1">
      <c r="A224" s="6" t="s">
        <v>17</v>
      </c>
      <c r="B224" s="6" t="s">
        <v>277</v>
      </c>
      <c r="C224" s="6">
        <v>4363388</v>
      </c>
      <c r="D224" s="6" t="s">
        <v>270</v>
      </c>
      <c r="E224" s="6"/>
      <c r="F224" s="6"/>
      <c r="G224" s="6">
        <f t="shared" si="3"/>
        <v>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6" t="s">
        <v>271</v>
      </c>
    </row>
    <row r="225" spans="1:34" ht="15.75" customHeight="1">
      <c r="A225" s="6" t="s">
        <v>17</v>
      </c>
      <c r="B225" s="6" t="s">
        <v>278</v>
      </c>
      <c r="C225" s="6">
        <v>4157419</v>
      </c>
      <c r="D225" s="6" t="s">
        <v>270</v>
      </c>
      <c r="E225" s="6"/>
      <c r="F225" s="6"/>
      <c r="G225" s="6">
        <f t="shared" si="3"/>
        <v>0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6" t="s">
        <v>271</v>
      </c>
    </row>
    <row r="226" spans="1:34" ht="15.75" customHeight="1">
      <c r="A226" s="6" t="s">
        <v>17</v>
      </c>
      <c r="B226" s="6" t="s">
        <v>279</v>
      </c>
      <c r="C226" s="6">
        <v>10211</v>
      </c>
      <c r="D226" s="6" t="s">
        <v>270</v>
      </c>
      <c r="E226" s="6"/>
      <c r="F226" s="6"/>
      <c r="G226" s="6">
        <f t="shared" si="3"/>
        <v>0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6" t="s">
        <v>271</v>
      </c>
    </row>
    <row r="227" spans="1:34" ht="15.75" customHeight="1">
      <c r="A227" s="6" t="s">
        <v>17</v>
      </c>
      <c r="B227" s="6" t="s">
        <v>280</v>
      </c>
      <c r="C227" s="6">
        <v>24638</v>
      </c>
      <c r="D227" s="6" t="s">
        <v>270</v>
      </c>
      <c r="E227" s="6"/>
      <c r="F227" s="6"/>
      <c r="G227" s="6">
        <f t="shared" si="3"/>
        <v>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6" t="s">
        <v>271</v>
      </c>
    </row>
    <row r="228" spans="1:34" ht="15.75" customHeight="1">
      <c r="A228" s="6" t="s">
        <v>17</v>
      </c>
      <c r="B228" s="6" t="s">
        <v>281</v>
      </c>
      <c r="C228" s="6">
        <v>25245</v>
      </c>
      <c r="D228" s="6" t="s">
        <v>270</v>
      </c>
      <c r="E228" s="6"/>
      <c r="F228" s="6"/>
      <c r="G228" s="6">
        <f t="shared" si="3"/>
        <v>0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6" t="s">
        <v>271</v>
      </c>
    </row>
    <row r="229" spans="1:34" ht="15.75" customHeight="1">
      <c r="A229" s="6" t="s">
        <v>17</v>
      </c>
      <c r="B229" s="6" t="s">
        <v>282</v>
      </c>
      <c r="C229" s="6">
        <v>3235320</v>
      </c>
      <c r="D229" s="6" t="s">
        <v>270</v>
      </c>
      <c r="E229" s="6"/>
      <c r="F229" s="6"/>
      <c r="G229" s="6">
        <f t="shared" si="3"/>
        <v>0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6" t="s">
        <v>271</v>
      </c>
    </row>
    <row r="230" spans="1:34" ht="15.75" customHeight="1">
      <c r="A230" s="6" t="s">
        <v>17</v>
      </c>
      <c r="B230" s="6" t="s">
        <v>283</v>
      </c>
      <c r="C230" s="6">
        <v>3200291</v>
      </c>
      <c r="D230" s="6" t="s">
        <v>270</v>
      </c>
      <c r="E230" s="6"/>
      <c r="F230" s="6"/>
      <c r="G230" s="6">
        <f t="shared" si="3"/>
        <v>0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6" t="s">
        <v>271</v>
      </c>
    </row>
    <row r="231" spans="1:34" ht="15.75" customHeight="1">
      <c r="A231" s="6" t="s">
        <v>17</v>
      </c>
      <c r="B231" s="6" t="s">
        <v>284</v>
      </c>
      <c r="C231" s="6">
        <v>5901496</v>
      </c>
      <c r="D231" s="6" t="s">
        <v>270</v>
      </c>
      <c r="E231" s="6"/>
      <c r="F231" s="6"/>
      <c r="G231" s="6">
        <f t="shared" si="3"/>
        <v>0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6" t="s">
        <v>271</v>
      </c>
    </row>
    <row r="232" spans="1:34" ht="15.75" customHeight="1">
      <c r="A232" s="6" t="s">
        <v>17</v>
      </c>
      <c r="B232" s="6" t="s">
        <v>285</v>
      </c>
      <c r="C232" s="6">
        <v>6077628</v>
      </c>
      <c r="D232" s="6" t="s">
        <v>270</v>
      </c>
      <c r="E232" s="6"/>
      <c r="F232" s="6"/>
      <c r="G232" s="6">
        <f t="shared" si="3"/>
        <v>0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6" t="s">
        <v>271</v>
      </c>
    </row>
    <row r="233" spans="1:34" ht="15.75" customHeight="1">
      <c r="A233" s="6" t="s">
        <v>17</v>
      </c>
      <c r="B233" s="6" t="s">
        <v>286</v>
      </c>
      <c r="C233" s="6">
        <v>3898628</v>
      </c>
      <c r="D233" s="6" t="s">
        <v>270</v>
      </c>
      <c r="E233" s="6"/>
      <c r="F233" s="6"/>
      <c r="G233" s="6">
        <f t="shared" si="3"/>
        <v>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6" t="s">
        <v>271</v>
      </c>
    </row>
    <row r="234" spans="1:34" ht="15.75" customHeight="1">
      <c r="A234" s="6" t="s">
        <v>17</v>
      </c>
      <c r="B234" s="6" t="s">
        <v>287</v>
      </c>
      <c r="C234" s="6">
        <v>4574755</v>
      </c>
      <c r="D234" s="6" t="s">
        <v>270</v>
      </c>
      <c r="E234" s="6"/>
      <c r="F234" s="6"/>
      <c r="G234" s="6">
        <f t="shared" si="3"/>
        <v>0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6" t="s">
        <v>271</v>
      </c>
    </row>
    <row r="235" spans="1:34" ht="15.75" customHeight="1">
      <c r="A235" s="6" t="s">
        <v>17</v>
      </c>
      <c r="B235" s="6" t="s">
        <v>288</v>
      </c>
      <c r="C235" s="6">
        <v>4574773</v>
      </c>
      <c r="D235" s="6" t="s">
        <v>270</v>
      </c>
      <c r="E235" s="6"/>
      <c r="F235" s="6"/>
      <c r="G235" s="6">
        <f t="shared" si="3"/>
        <v>0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6" t="s">
        <v>271</v>
      </c>
    </row>
    <row r="236" spans="1:34" ht="15.75" customHeight="1">
      <c r="A236" s="6" t="s">
        <v>17</v>
      </c>
      <c r="B236" s="6" t="s">
        <v>289</v>
      </c>
      <c r="C236" s="6">
        <v>4574769</v>
      </c>
      <c r="D236" s="6" t="s">
        <v>270</v>
      </c>
      <c r="E236" s="6"/>
      <c r="F236" s="6"/>
      <c r="G236" s="6">
        <f t="shared" si="3"/>
        <v>0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6" t="s">
        <v>271</v>
      </c>
    </row>
    <row r="237" spans="1:34" ht="15.75" customHeight="1">
      <c r="A237" s="6" t="s">
        <v>17</v>
      </c>
      <c r="B237" s="6" t="s">
        <v>290</v>
      </c>
      <c r="C237" s="6">
        <v>4574764</v>
      </c>
      <c r="D237" s="6" t="s">
        <v>270</v>
      </c>
      <c r="E237" s="6"/>
      <c r="F237" s="6"/>
      <c r="G237" s="6">
        <f t="shared" si="3"/>
        <v>0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6" t="s">
        <v>271</v>
      </c>
    </row>
    <row r="238" spans="1:34" ht="15.75" customHeight="1">
      <c r="A238" s="6" t="s">
        <v>17</v>
      </c>
      <c r="B238" s="6" t="s">
        <v>291</v>
      </c>
      <c r="C238" s="6">
        <v>4031460</v>
      </c>
      <c r="D238" s="6" t="s">
        <v>270</v>
      </c>
      <c r="E238" s="6"/>
      <c r="F238" s="6"/>
      <c r="G238" s="6">
        <f t="shared" si="3"/>
        <v>0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6" t="s">
        <v>271</v>
      </c>
    </row>
    <row r="239" spans="1:34" ht="15.75" customHeight="1">
      <c r="A239" s="6" t="s">
        <v>17</v>
      </c>
      <c r="B239" s="6" t="s">
        <v>292</v>
      </c>
      <c r="C239" s="6">
        <v>24639</v>
      </c>
      <c r="D239" s="6" t="s">
        <v>270</v>
      </c>
      <c r="E239" s="6"/>
      <c r="F239" s="6"/>
      <c r="G239" s="6">
        <f t="shared" si="3"/>
        <v>0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6" t="s">
        <v>271</v>
      </c>
    </row>
    <row r="240" spans="1:34" ht="15.75" customHeight="1">
      <c r="A240" s="6" t="s">
        <v>17</v>
      </c>
      <c r="B240" s="6" t="s">
        <v>293</v>
      </c>
      <c r="C240" s="6">
        <v>3213410</v>
      </c>
      <c r="D240" s="6" t="s">
        <v>270</v>
      </c>
      <c r="E240" s="6"/>
      <c r="F240" s="6"/>
      <c r="G240" s="6">
        <f t="shared" si="3"/>
        <v>0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6" t="s">
        <v>271</v>
      </c>
    </row>
    <row r="241" spans="1:34" ht="15.75" customHeight="1">
      <c r="A241" s="6" t="s">
        <v>17</v>
      </c>
      <c r="B241" s="6" t="s">
        <v>294</v>
      </c>
      <c r="C241" s="6">
        <v>2761028</v>
      </c>
      <c r="D241" s="6" t="s">
        <v>270</v>
      </c>
      <c r="E241" s="6"/>
      <c r="F241" s="6"/>
      <c r="G241" s="6">
        <f t="shared" si="3"/>
        <v>0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6" t="s">
        <v>271</v>
      </c>
    </row>
    <row r="242" spans="1:34" ht="15.75" customHeight="1">
      <c r="A242" s="6" t="s">
        <v>17</v>
      </c>
      <c r="B242" s="6" t="s">
        <v>295</v>
      </c>
      <c r="C242" s="6">
        <v>10411</v>
      </c>
      <c r="D242" s="6" t="s">
        <v>270</v>
      </c>
      <c r="E242" s="6"/>
      <c r="F242" s="6"/>
      <c r="G242" s="6">
        <f t="shared" si="3"/>
        <v>0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6" t="s">
        <v>271</v>
      </c>
    </row>
    <row r="243" spans="1:34" ht="15.75" customHeight="1">
      <c r="A243" s="6" t="s">
        <v>17</v>
      </c>
      <c r="B243" s="6" t="s">
        <v>296</v>
      </c>
      <c r="C243" s="6">
        <v>10406</v>
      </c>
      <c r="D243" s="6" t="s">
        <v>270</v>
      </c>
      <c r="E243" s="6"/>
      <c r="F243" s="6"/>
      <c r="G243" s="6">
        <f t="shared" si="3"/>
        <v>0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6" t="s">
        <v>271</v>
      </c>
    </row>
    <row r="244" spans="1:34" ht="15.75" customHeight="1">
      <c r="A244" s="6" t="s">
        <v>17</v>
      </c>
      <c r="B244" s="6" t="s">
        <v>297</v>
      </c>
      <c r="C244" s="6">
        <v>10342</v>
      </c>
      <c r="D244" s="6" t="s">
        <v>270</v>
      </c>
      <c r="E244" s="6"/>
      <c r="F244" s="6"/>
      <c r="G244" s="6">
        <f t="shared" si="3"/>
        <v>0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6" t="s">
        <v>271</v>
      </c>
    </row>
    <row r="245" spans="1:34" ht="15.75" customHeight="1">
      <c r="A245" s="6" t="s">
        <v>17</v>
      </c>
      <c r="B245" s="6" t="s">
        <v>298</v>
      </c>
      <c r="C245" s="6">
        <v>5733766</v>
      </c>
      <c r="D245" s="6" t="s">
        <v>270</v>
      </c>
      <c r="E245" s="6"/>
      <c r="F245" s="6"/>
      <c r="G245" s="6">
        <f t="shared" si="3"/>
        <v>0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6" t="s">
        <v>271</v>
      </c>
    </row>
    <row r="246" spans="1:34" ht="15.75" customHeight="1">
      <c r="A246" s="6" t="s">
        <v>17</v>
      </c>
      <c r="B246" s="6" t="s">
        <v>299</v>
      </c>
      <c r="C246" s="6">
        <v>2783383</v>
      </c>
      <c r="D246" s="6" t="s">
        <v>270</v>
      </c>
      <c r="E246" s="6"/>
      <c r="F246" s="6"/>
      <c r="G246" s="6">
        <f t="shared" si="3"/>
        <v>0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6" t="s">
        <v>271</v>
      </c>
    </row>
    <row r="247" spans="1:34" ht="15.75" customHeight="1">
      <c r="A247" s="6" t="s">
        <v>17</v>
      </c>
      <c r="B247" s="6" t="s">
        <v>300</v>
      </c>
      <c r="C247" s="6">
        <v>2773854</v>
      </c>
      <c r="D247" s="6" t="s">
        <v>270</v>
      </c>
      <c r="E247" s="6"/>
      <c r="F247" s="6"/>
      <c r="G247" s="6">
        <f t="shared" si="3"/>
        <v>0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6" t="s">
        <v>271</v>
      </c>
    </row>
    <row r="248" spans="1:34" ht="15.75" customHeight="1">
      <c r="A248" s="6" t="s">
        <v>17</v>
      </c>
      <c r="B248" s="6" t="s">
        <v>301</v>
      </c>
      <c r="C248" s="6">
        <v>2636437</v>
      </c>
      <c r="D248" s="6" t="s">
        <v>270</v>
      </c>
      <c r="E248" s="6"/>
      <c r="F248" s="6"/>
      <c r="G248" s="6">
        <f t="shared" si="3"/>
        <v>0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6" t="s">
        <v>271</v>
      </c>
    </row>
    <row r="249" spans="1:34" ht="15.75" customHeight="1">
      <c r="A249" s="6" t="s">
        <v>17</v>
      </c>
      <c r="B249" s="6" t="s">
        <v>302</v>
      </c>
      <c r="C249" s="6">
        <v>3235296</v>
      </c>
      <c r="D249" s="6" t="s">
        <v>270</v>
      </c>
      <c r="E249" s="6"/>
      <c r="F249" s="6"/>
      <c r="G249" s="6">
        <f t="shared" si="3"/>
        <v>0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6" t="s">
        <v>271</v>
      </c>
    </row>
    <row r="250" spans="1:34" ht="15.75" customHeight="1">
      <c r="A250" s="6" t="s">
        <v>17</v>
      </c>
      <c r="B250" s="6" t="s">
        <v>303</v>
      </c>
      <c r="C250" s="6">
        <v>2865372</v>
      </c>
      <c r="D250" s="6" t="s">
        <v>270</v>
      </c>
      <c r="E250" s="6"/>
      <c r="F250" s="6"/>
      <c r="G250" s="6">
        <f t="shared" si="3"/>
        <v>0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6" t="s">
        <v>271</v>
      </c>
    </row>
    <row r="251" spans="1:34" ht="15.75" customHeight="1">
      <c r="A251" s="6" t="s">
        <v>17</v>
      </c>
      <c r="B251" s="6" t="s">
        <v>282</v>
      </c>
      <c r="C251" s="6">
        <v>3235306</v>
      </c>
      <c r="D251" s="6" t="s">
        <v>270</v>
      </c>
      <c r="E251" s="6"/>
      <c r="F251" s="6"/>
      <c r="G251" s="6">
        <f t="shared" si="3"/>
        <v>0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6" t="s">
        <v>271</v>
      </c>
    </row>
    <row r="252" spans="1:34" ht="15.75" customHeight="1">
      <c r="A252" s="6" t="s">
        <v>17</v>
      </c>
      <c r="B252" s="6" t="s">
        <v>304</v>
      </c>
      <c r="C252" s="6">
        <v>3597178</v>
      </c>
      <c r="D252" s="6" t="s">
        <v>270</v>
      </c>
      <c r="E252" s="6"/>
      <c r="F252" s="6"/>
      <c r="G252" s="6">
        <f t="shared" si="3"/>
        <v>0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6" t="s">
        <v>271</v>
      </c>
    </row>
    <row r="253" spans="1:34" ht="15.75" customHeight="1">
      <c r="A253" s="6" t="s">
        <v>17</v>
      </c>
      <c r="B253" s="6" t="s">
        <v>305</v>
      </c>
      <c r="C253" s="6">
        <v>3577236</v>
      </c>
      <c r="D253" s="6" t="s">
        <v>270</v>
      </c>
      <c r="E253" s="6"/>
      <c r="F253" s="6"/>
      <c r="G253" s="6">
        <f t="shared" si="3"/>
        <v>0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6" t="s">
        <v>271</v>
      </c>
    </row>
    <row r="254" spans="1:34" ht="15.75" customHeight="1">
      <c r="A254" s="6" t="s">
        <v>17</v>
      </c>
      <c r="B254" s="6" t="s">
        <v>306</v>
      </c>
      <c r="C254" s="6">
        <v>3213477</v>
      </c>
      <c r="D254" s="6" t="s">
        <v>270</v>
      </c>
      <c r="E254" s="6"/>
      <c r="F254" s="6"/>
      <c r="G254" s="6">
        <f t="shared" si="3"/>
        <v>0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6" t="s">
        <v>271</v>
      </c>
    </row>
    <row r="255" spans="1:34" ht="15.75" customHeight="1">
      <c r="A255" s="6" t="s">
        <v>17</v>
      </c>
      <c r="B255" s="6" t="s">
        <v>307</v>
      </c>
      <c r="C255" s="6">
        <v>3213479</v>
      </c>
      <c r="D255" s="6" t="s">
        <v>270</v>
      </c>
      <c r="E255" s="6"/>
      <c r="F255" s="6"/>
      <c r="G255" s="6">
        <f t="shared" si="3"/>
        <v>0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6" t="s">
        <v>271</v>
      </c>
    </row>
    <row r="256" spans="1:34" ht="15.75" customHeight="1">
      <c r="A256" s="6" t="s">
        <v>17</v>
      </c>
      <c r="B256" s="6" t="s">
        <v>308</v>
      </c>
      <c r="C256" s="6">
        <v>3235324</v>
      </c>
      <c r="D256" s="6" t="s">
        <v>270</v>
      </c>
      <c r="E256" s="6"/>
      <c r="F256" s="6"/>
      <c r="G256" s="6">
        <f t="shared" si="3"/>
        <v>0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6" t="s">
        <v>271</v>
      </c>
    </row>
    <row r="257" spans="1:34" ht="15.75" customHeight="1">
      <c r="A257" s="6" t="s">
        <v>17</v>
      </c>
      <c r="B257" s="6" t="s">
        <v>309</v>
      </c>
      <c r="C257" s="6">
        <v>3235317</v>
      </c>
      <c r="D257" s="6" t="s">
        <v>270</v>
      </c>
      <c r="E257" s="6"/>
      <c r="F257" s="6"/>
      <c r="G257" s="6">
        <f t="shared" si="3"/>
        <v>0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6" t="s">
        <v>271</v>
      </c>
    </row>
    <row r="258" spans="1:34" ht="15.75" customHeight="1">
      <c r="A258" s="6" t="s">
        <v>17</v>
      </c>
      <c r="B258" s="6" t="s">
        <v>310</v>
      </c>
      <c r="C258" s="6">
        <v>6982359</v>
      </c>
      <c r="D258" s="6" t="s">
        <v>270</v>
      </c>
      <c r="E258" s="6"/>
      <c r="F258" s="6"/>
      <c r="G258" s="6">
        <f t="shared" si="3"/>
        <v>0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6" t="s">
        <v>271</v>
      </c>
    </row>
    <row r="259" spans="1:34" ht="15.75" customHeight="1">
      <c r="A259" s="6" t="s">
        <v>17</v>
      </c>
      <c r="B259" s="6" t="s">
        <v>311</v>
      </c>
      <c r="C259" s="6">
        <v>3850371</v>
      </c>
      <c r="D259" s="6" t="s">
        <v>270</v>
      </c>
      <c r="E259" s="6"/>
      <c r="F259" s="6"/>
      <c r="G259" s="6">
        <f t="shared" si="3"/>
        <v>0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6" t="s">
        <v>271</v>
      </c>
    </row>
    <row r="260" spans="1:34" ht="15.75" customHeight="1">
      <c r="A260" s="6" t="s">
        <v>17</v>
      </c>
      <c r="B260" s="6" t="s">
        <v>312</v>
      </c>
      <c r="C260" s="6">
        <v>3850347</v>
      </c>
      <c r="D260" s="6" t="s">
        <v>270</v>
      </c>
      <c r="E260" s="6"/>
      <c r="F260" s="6"/>
      <c r="G260" s="6">
        <f t="shared" si="3"/>
        <v>0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6" t="s">
        <v>271</v>
      </c>
    </row>
    <row r="261" spans="1:34" ht="15.75" customHeight="1">
      <c r="A261" s="6" t="s">
        <v>17</v>
      </c>
      <c r="B261" s="6" t="s">
        <v>313</v>
      </c>
      <c r="C261" s="6">
        <v>2670078</v>
      </c>
      <c r="D261" s="6" t="s">
        <v>270</v>
      </c>
      <c r="E261" s="6"/>
      <c r="F261" s="6"/>
      <c r="G261" s="6">
        <f t="shared" si="3"/>
        <v>0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6" t="s">
        <v>271</v>
      </c>
    </row>
    <row r="262" spans="1:34" ht="15.75" customHeight="1">
      <c r="A262" s="6" t="s">
        <v>17</v>
      </c>
      <c r="B262" s="6" t="s">
        <v>314</v>
      </c>
      <c r="C262" s="6">
        <v>2730115</v>
      </c>
      <c r="D262" s="6" t="s">
        <v>270</v>
      </c>
      <c r="E262" s="6"/>
      <c r="F262" s="6"/>
      <c r="G262" s="6">
        <f t="shared" ref="G262:G325" si="4">E262-F262</f>
        <v>0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6" t="s">
        <v>271</v>
      </c>
    </row>
    <row r="263" spans="1:34" ht="15.75" customHeight="1">
      <c r="A263" s="6" t="s">
        <v>17</v>
      </c>
      <c r="B263" s="6" t="s">
        <v>315</v>
      </c>
      <c r="C263" s="6">
        <v>3698531</v>
      </c>
      <c r="D263" s="6" t="s">
        <v>270</v>
      </c>
      <c r="E263" s="6"/>
      <c r="F263" s="6"/>
      <c r="G263" s="6">
        <f t="shared" si="4"/>
        <v>0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6" t="s">
        <v>271</v>
      </c>
    </row>
    <row r="264" spans="1:34" ht="15.75" customHeight="1">
      <c r="A264" s="6" t="s">
        <v>17</v>
      </c>
      <c r="B264" s="6" t="s">
        <v>316</v>
      </c>
      <c r="C264" s="6">
        <v>3698559</v>
      </c>
      <c r="D264" s="6" t="s">
        <v>270</v>
      </c>
      <c r="E264" s="6"/>
      <c r="F264" s="6"/>
      <c r="G264" s="6">
        <f t="shared" si="4"/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6" t="s">
        <v>271</v>
      </c>
    </row>
    <row r="265" spans="1:34" ht="15.75" customHeight="1">
      <c r="A265" s="6" t="s">
        <v>17</v>
      </c>
      <c r="B265" s="6" t="s">
        <v>317</v>
      </c>
      <c r="C265" s="6">
        <v>2915866</v>
      </c>
      <c r="D265" s="6" t="s">
        <v>270</v>
      </c>
      <c r="E265" s="6"/>
      <c r="F265" s="6"/>
      <c r="G265" s="6">
        <f t="shared" si="4"/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6" t="s">
        <v>271</v>
      </c>
    </row>
    <row r="266" spans="1:34" ht="15.75" customHeight="1">
      <c r="A266" s="6" t="s">
        <v>17</v>
      </c>
      <c r="B266" s="6" t="s">
        <v>318</v>
      </c>
      <c r="C266" s="6">
        <v>4209174</v>
      </c>
      <c r="D266" s="6" t="s">
        <v>270</v>
      </c>
      <c r="E266" s="6"/>
      <c r="F266" s="6"/>
      <c r="G266" s="6">
        <f t="shared" si="4"/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6" t="s">
        <v>271</v>
      </c>
    </row>
    <row r="267" spans="1:34" ht="15.75" customHeight="1">
      <c r="A267" s="6" t="s">
        <v>17</v>
      </c>
      <c r="B267" s="6" t="s">
        <v>319</v>
      </c>
      <c r="C267" s="6">
        <v>8626210</v>
      </c>
      <c r="D267" s="6" t="s">
        <v>25</v>
      </c>
      <c r="E267" s="6"/>
      <c r="F267" s="6"/>
      <c r="G267" s="6">
        <f t="shared" si="4"/>
        <v>0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6" t="s">
        <v>271</v>
      </c>
    </row>
    <row r="268" spans="1:34" ht="15.75" customHeight="1">
      <c r="A268" s="6" t="s">
        <v>17</v>
      </c>
      <c r="B268" s="6" t="s">
        <v>320</v>
      </c>
      <c r="C268" s="6">
        <v>3089383</v>
      </c>
      <c r="D268" s="6" t="s">
        <v>270</v>
      </c>
      <c r="E268" s="6"/>
      <c r="F268" s="6"/>
      <c r="G268" s="6">
        <f t="shared" si="4"/>
        <v>0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6" t="s">
        <v>271</v>
      </c>
    </row>
    <row r="269" spans="1:34" ht="15.75" customHeight="1">
      <c r="A269" s="6" t="s">
        <v>17</v>
      </c>
      <c r="B269" s="6" t="s">
        <v>302</v>
      </c>
      <c r="C269" s="6">
        <v>3235310</v>
      </c>
      <c r="D269" s="6" t="s">
        <v>270</v>
      </c>
      <c r="E269" s="6"/>
      <c r="F269" s="6"/>
      <c r="G269" s="6">
        <f t="shared" si="4"/>
        <v>0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6" t="s">
        <v>271</v>
      </c>
    </row>
    <row r="270" spans="1:34" ht="15.75" customHeight="1">
      <c r="A270" s="6" t="s">
        <v>17</v>
      </c>
      <c r="B270" s="6" t="s">
        <v>306</v>
      </c>
      <c r="C270" s="6">
        <v>3850313</v>
      </c>
      <c r="D270" s="6" t="s">
        <v>270</v>
      </c>
      <c r="E270" s="6"/>
      <c r="F270" s="6"/>
      <c r="G270" s="6">
        <f t="shared" si="4"/>
        <v>0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6" t="s">
        <v>271</v>
      </c>
    </row>
    <row r="271" spans="1:34" ht="15.75" customHeight="1">
      <c r="A271" s="6" t="s">
        <v>17</v>
      </c>
      <c r="B271" s="6" t="s">
        <v>321</v>
      </c>
      <c r="C271" s="6">
        <v>57021290</v>
      </c>
      <c r="D271" s="6" t="s">
        <v>270</v>
      </c>
      <c r="E271" s="6"/>
      <c r="F271" s="6"/>
      <c r="G271" s="6">
        <f t="shared" si="4"/>
        <v>0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6" t="s">
        <v>271</v>
      </c>
    </row>
    <row r="272" spans="1:34" ht="15.75" customHeight="1">
      <c r="A272" s="6" t="s">
        <v>17</v>
      </c>
      <c r="B272" s="6" t="s">
        <v>322</v>
      </c>
      <c r="C272" s="6">
        <v>56978346</v>
      </c>
      <c r="D272" s="6" t="s">
        <v>270</v>
      </c>
      <c r="E272" s="6"/>
      <c r="F272" s="6"/>
      <c r="G272" s="6">
        <f t="shared" si="4"/>
        <v>0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6" t="s">
        <v>271</v>
      </c>
    </row>
    <row r="273" spans="1:34" ht="15.75" customHeight="1">
      <c r="A273" s="6" t="s">
        <v>17</v>
      </c>
      <c r="B273" s="6" t="s">
        <v>323</v>
      </c>
      <c r="C273" s="6">
        <v>57030484</v>
      </c>
      <c r="D273" s="6" t="s">
        <v>270</v>
      </c>
      <c r="E273" s="6"/>
      <c r="F273" s="6"/>
      <c r="G273" s="6">
        <f t="shared" si="4"/>
        <v>0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6" t="s">
        <v>271</v>
      </c>
    </row>
    <row r="274" spans="1:34" ht="15.75" customHeight="1">
      <c r="A274" s="6" t="s">
        <v>17</v>
      </c>
      <c r="B274" s="6" t="s">
        <v>324</v>
      </c>
      <c r="C274" s="6">
        <v>2690632</v>
      </c>
      <c r="D274" s="6" t="s">
        <v>270</v>
      </c>
      <c r="E274" s="6"/>
      <c r="F274" s="6"/>
      <c r="G274" s="6">
        <f t="shared" si="4"/>
        <v>0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6" t="s">
        <v>271</v>
      </c>
    </row>
    <row r="275" spans="1:34" ht="15.75" customHeight="1">
      <c r="A275" s="6" t="s">
        <v>17</v>
      </c>
      <c r="B275" s="6" t="s">
        <v>325</v>
      </c>
      <c r="C275" s="6">
        <v>3850315</v>
      </c>
      <c r="D275" s="6" t="s">
        <v>270</v>
      </c>
      <c r="E275" s="6"/>
      <c r="F275" s="6"/>
      <c r="G275" s="6">
        <f t="shared" si="4"/>
        <v>0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6" t="s">
        <v>271</v>
      </c>
    </row>
    <row r="276" spans="1:34" ht="15.75" customHeight="1">
      <c r="A276" s="6" t="s">
        <v>17</v>
      </c>
      <c r="B276" s="6" t="s">
        <v>326</v>
      </c>
      <c r="C276" s="6">
        <v>2748370</v>
      </c>
      <c r="D276" s="6" t="s">
        <v>270</v>
      </c>
      <c r="E276" s="6"/>
      <c r="F276" s="6"/>
      <c r="G276" s="6">
        <f t="shared" si="4"/>
        <v>0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6" t="s">
        <v>271</v>
      </c>
    </row>
    <row r="277" spans="1:34" ht="15.75" customHeight="1">
      <c r="A277" s="6" t="s">
        <v>17</v>
      </c>
      <c r="B277" s="6" t="s">
        <v>327</v>
      </c>
      <c r="C277" s="6">
        <v>3577247</v>
      </c>
      <c r="D277" s="6" t="s">
        <v>270</v>
      </c>
      <c r="E277" s="6"/>
      <c r="F277" s="6"/>
      <c r="G277" s="6">
        <f t="shared" si="4"/>
        <v>0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6" t="s">
        <v>271</v>
      </c>
    </row>
    <row r="278" spans="1:34" ht="15.75" customHeight="1">
      <c r="A278" s="6" t="s">
        <v>17</v>
      </c>
      <c r="B278" s="6" t="s">
        <v>328</v>
      </c>
      <c r="C278" s="6">
        <v>3869702</v>
      </c>
      <c r="D278" s="6" t="s">
        <v>270</v>
      </c>
      <c r="E278" s="6"/>
      <c r="F278" s="6"/>
      <c r="G278" s="6">
        <f t="shared" si="4"/>
        <v>0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6" t="s">
        <v>271</v>
      </c>
    </row>
    <row r="279" spans="1:34" ht="15.75" customHeight="1">
      <c r="A279" s="6" t="s">
        <v>17</v>
      </c>
      <c r="B279" s="6" t="s">
        <v>329</v>
      </c>
      <c r="C279" s="6">
        <v>26033</v>
      </c>
      <c r="D279" s="6" t="s">
        <v>270</v>
      </c>
      <c r="E279" s="6"/>
      <c r="F279" s="6"/>
      <c r="G279" s="6">
        <f t="shared" si="4"/>
        <v>0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6" t="s">
        <v>271</v>
      </c>
    </row>
    <row r="280" spans="1:34" ht="15.75" customHeight="1">
      <c r="A280" s="6" t="s">
        <v>17</v>
      </c>
      <c r="B280" s="6" t="s">
        <v>330</v>
      </c>
      <c r="C280" s="6">
        <v>25249</v>
      </c>
      <c r="D280" s="6" t="s">
        <v>270</v>
      </c>
      <c r="E280" s="6"/>
      <c r="F280" s="6"/>
      <c r="G280" s="6">
        <f t="shared" si="4"/>
        <v>0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6" t="s">
        <v>271</v>
      </c>
    </row>
    <row r="281" spans="1:34" ht="15.75" customHeight="1">
      <c r="A281" s="6" t="s">
        <v>17</v>
      </c>
      <c r="B281" s="6" t="s">
        <v>293</v>
      </c>
      <c r="C281" s="6">
        <v>3213414</v>
      </c>
      <c r="D281" s="6" t="s">
        <v>270</v>
      </c>
      <c r="E281" s="6"/>
      <c r="F281" s="6"/>
      <c r="G281" s="6">
        <f t="shared" si="4"/>
        <v>0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6" t="s">
        <v>271</v>
      </c>
    </row>
    <row r="282" spans="1:34" ht="15.75" customHeight="1">
      <c r="A282" s="6" t="s">
        <v>17</v>
      </c>
      <c r="B282" s="6" t="s">
        <v>331</v>
      </c>
      <c r="C282" s="6">
        <v>4009936</v>
      </c>
      <c r="D282" s="6" t="s">
        <v>270</v>
      </c>
      <c r="E282" s="6"/>
      <c r="F282" s="6"/>
      <c r="G282" s="6">
        <f t="shared" si="4"/>
        <v>0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6" t="s">
        <v>271</v>
      </c>
    </row>
    <row r="283" spans="1:34" ht="15.75" customHeight="1">
      <c r="A283" s="6" t="s">
        <v>17</v>
      </c>
      <c r="B283" s="6" t="s">
        <v>332</v>
      </c>
      <c r="C283" s="6">
        <v>4045058</v>
      </c>
      <c r="D283" s="6" t="s">
        <v>270</v>
      </c>
      <c r="E283" s="6"/>
      <c r="F283" s="6"/>
      <c r="G283" s="6">
        <f t="shared" si="4"/>
        <v>0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6" t="s">
        <v>271</v>
      </c>
    </row>
    <row r="284" spans="1:34" ht="15.75" customHeight="1">
      <c r="A284" s="6" t="s">
        <v>17</v>
      </c>
      <c r="B284" s="6" t="s">
        <v>333</v>
      </c>
      <c r="C284" s="6">
        <v>2677053</v>
      </c>
      <c r="D284" s="6" t="s">
        <v>270</v>
      </c>
      <c r="E284" s="6"/>
      <c r="F284" s="6"/>
      <c r="G284" s="6">
        <f t="shared" si="4"/>
        <v>0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6" t="s">
        <v>271</v>
      </c>
    </row>
    <row r="285" spans="1:34" ht="15.75" customHeight="1">
      <c r="A285" s="6" t="s">
        <v>17</v>
      </c>
      <c r="B285" s="6" t="s">
        <v>334</v>
      </c>
      <c r="C285" s="6">
        <v>2830333</v>
      </c>
      <c r="D285" s="6" t="s">
        <v>270</v>
      </c>
      <c r="E285" s="6"/>
      <c r="F285" s="6"/>
      <c r="G285" s="6">
        <f t="shared" si="4"/>
        <v>0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6" t="s">
        <v>271</v>
      </c>
    </row>
    <row r="286" spans="1:34" ht="15.75" customHeight="1">
      <c r="A286" s="6" t="s">
        <v>17</v>
      </c>
      <c r="B286" s="6" t="s">
        <v>335</v>
      </c>
      <c r="C286" s="6">
        <v>2865357</v>
      </c>
      <c r="D286" s="6" t="s">
        <v>270</v>
      </c>
      <c r="E286" s="6"/>
      <c r="F286" s="6"/>
      <c r="G286" s="6">
        <f t="shared" si="4"/>
        <v>0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6" t="s">
        <v>271</v>
      </c>
    </row>
    <row r="287" spans="1:34" ht="15.75" customHeight="1">
      <c r="A287" s="6" t="s">
        <v>17</v>
      </c>
      <c r="B287" s="6" t="s">
        <v>336</v>
      </c>
      <c r="C287" s="6">
        <v>2761041</v>
      </c>
      <c r="D287" s="6" t="s">
        <v>270</v>
      </c>
      <c r="E287" s="6"/>
      <c r="F287" s="6"/>
      <c r="G287" s="6">
        <f t="shared" si="4"/>
        <v>0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6" t="s">
        <v>271</v>
      </c>
    </row>
    <row r="288" spans="1:34" ht="15.75" customHeight="1">
      <c r="A288" s="6" t="s">
        <v>17</v>
      </c>
      <c r="B288" s="6" t="s">
        <v>337</v>
      </c>
      <c r="C288" s="6">
        <v>4574763</v>
      </c>
      <c r="D288" s="6" t="s">
        <v>270</v>
      </c>
      <c r="E288" s="6"/>
      <c r="F288" s="6"/>
      <c r="G288" s="6">
        <f t="shared" si="4"/>
        <v>0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6" t="s">
        <v>271</v>
      </c>
    </row>
    <row r="289" spans="1:34" ht="15.75" customHeight="1">
      <c r="A289" s="6" t="s">
        <v>17</v>
      </c>
      <c r="B289" s="6" t="s">
        <v>338</v>
      </c>
      <c r="C289" s="6">
        <v>4209194</v>
      </c>
      <c r="D289" s="6" t="s">
        <v>270</v>
      </c>
      <c r="E289" s="6"/>
      <c r="F289" s="6"/>
      <c r="G289" s="6">
        <f t="shared" si="4"/>
        <v>0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6" t="s">
        <v>271</v>
      </c>
    </row>
    <row r="290" spans="1:34" ht="15.75" customHeight="1">
      <c r="A290" s="6" t="s">
        <v>17</v>
      </c>
      <c r="B290" s="6" t="s">
        <v>339</v>
      </c>
      <c r="C290" s="6">
        <v>4574754</v>
      </c>
      <c r="D290" s="6" t="s">
        <v>270</v>
      </c>
      <c r="E290" s="6"/>
      <c r="F290" s="6"/>
      <c r="G290" s="6">
        <f t="shared" si="4"/>
        <v>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6" t="s">
        <v>271</v>
      </c>
    </row>
    <row r="291" spans="1:34" ht="15.75" customHeight="1">
      <c r="A291" s="6" t="s">
        <v>17</v>
      </c>
      <c r="B291" s="6" t="s">
        <v>340</v>
      </c>
      <c r="C291" s="6">
        <v>5376413</v>
      </c>
      <c r="D291" s="6" t="s">
        <v>270</v>
      </c>
      <c r="E291" s="6"/>
      <c r="F291" s="6"/>
      <c r="G291" s="6">
        <f t="shared" si="4"/>
        <v>0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6" t="s">
        <v>271</v>
      </c>
    </row>
    <row r="292" spans="1:34" ht="15.75" customHeight="1">
      <c r="A292" s="6" t="s">
        <v>17</v>
      </c>
      <c r="B292" s="6" t="s">
        <v>341</v>
      </c>
      <c r="C292" s="6">
        <v>26206</v>
      </c>
      <c r="D292" s="6" t="s">
        <v>270</v>
      </c>
      <c r="E292" s="6"/>
      <c r="F292" s="6"/>
      <c r="G292" s="6">
        <f t="shared" si="4"/>
        <v>0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6" t="s">
        <v>271</v>
      </c>
    </row>
    <row r="293" spans="1:34" ht="15.75" customHeight="1">
      <c r="A293" s="6" t="s">
        <v>17</v>
      </c>
      <c r="B293" s="6" t="s">
        <v>342</v>
      </c>
      <c r="C293" s="6">
        <v>10258</v>
      </c>
      <c r="D293" s="6" t="s">
        <v>270</v>
      </c>
      <c r="E293" s="6"/>
      <c r="F293" s="6"/>
      <c r="G293" s="6">
        <f t="shared" si="4"/>
        <v>0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6" t="s">
        <v>271</v>
      </c>
    </row>
    <row r="294" spans="1:34" ht="15.75" customHeight="1">
      <c r="A294" s="6" t="s">
        <v>17</v>
      </c>
      <c r="B294" s="6" t="s">
        <v>343</v>
      </c>
      <c r="C294" s="6">
        <v>2670062</v>
      </c>
      <c r="D294" s="6" t="s">
        <v>270</v>
      </c>
      <c r="E294" s="6"/>
      <c r="F294" s="6"/>
      <c r="G294" s="6">
        <f t="shared" si="4"/>
        <v>0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6" t="s">
        <v>271</v>
      </c>
    </row>
    <row r="295" spans="1:34" ht="15.75" customHeight="1">
      <c r="A295" s="6" t="s">
        <v>17</v>
      </c>
      <c r="B295" s="6" t="s">
        <v>344</v>
      </c>
      <c r="C295" s="6">
        <v>2373967</v>
      </c>
      <c r="D295" s="6" t="s">
        <v>270</v>
      </c>
      <c r="E295" s="6"/>
      <c r="F295" s="6"/>
      <c r="G295" s="6">
        <f t="shared" si="4"/>
        <v>0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6" t="s">
        <v>271</v>
      </c>
    </row>
    <row r="296" spans="1:34" ht="15.75" customHeight="1">
      <c r="A296" s="6" t="s">
        <v>17</v>
      </c>
      <c r="B296" s="6" t="s">
        <v>345</v>
      </c>
      <c r="C296" s="6">
        <v>4404960</v>
      </c>
      <c r="D296" s="6" t="s">
        <v>270</v>
      </c>
      <c r="E296" s="6"/>
      <c r="F296" s="6"/>
      <c r="G296" s="6">
        <f t="shared" si="4"/>
        <v>0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6" t="s">
        <v>271</v>
      </c>
    </row>
    <row r="297" spans="1:34" ht="15.75" customHeight="1">
      <c r="A297" s="6" t="s">
        <v>17</v>
      </c>
      <c r="B297" s="6" t="s">
        <v>346</v>
      </c>
      <c r="C297" s="6">
        <v>4461104</v>
      </c>
      <c r="D297" s="6" t="s">
        <v>270</v>
      </c>
      <c r="E297" s="6"/>
      <c r="F297" s="6"/>
      <c r="G297" s="6">
        <f t="shared" si="4"/>
        <v>0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6" t="s">
        <v>271</v>
      </c>
    </row>
    <row r="298" spans="1:34" ht="15.75" customHeight="1">
      <c r="A298" s="6" t="s">
        <v>17</v>
      </c>
      <c r="B298" s="6" t="s">
        <v>347</v>
      </c>
      <c r="C298" s="6">
        <v>4054769</v>
      </c>
      <c r="D298" s="6" t="s">
        <v>270</v>
      </c>
      <c r="E298" s="6"/>
      <c r="F298" s="6"/>
      <c r="G298" s="6">
        <f t="shared" si="4"/>
        <v>0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6" t="s">
        <v>271</v>
      </c>
    </row>
    <row r="299" spans="1:34" ht="15.75" customHeight="1">
      <c r="A299" s="6" t="s">
        <v>17</v>
      </c>
      <c r="B299" s="6" t="s">
        <v>348</v>
      </c>
      <c r="C299" s="6">
        <v>2973287</v>
      </c>
      <c r="D299" s="6" t="s">
        <v>270</v>
      </c>
      <c r="E299" s="6"/>
      <c r="F299" s="6"/>
      <c r="G299" s="6">
        <f t="shared" si="4"/>
        <v>0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6" t="s">
        <v>271</v>
      </c>
    </row>
    <row r="300" spans="1:34" ht="15.75" customHeight="1">
      <c r="A300" s="6" t="s">
        <v>17</v>
      </c>
      <c r="B300" s="6" t="s">
        <v>282</v>
      </c>
      <c r="C300" s="6">
        <v>3235315</v>
      </c>
      <c r="D300" s="6" t="s">
        <v>270</v>
      </c>
      <c r="E300" s="6"/>
      <c r="F300" s="6"/>
      <c r="G300" s="6">
        <f t="shared" si="4"/>
        <v>0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6" t="s">
        <v>271</v>
      </c>
    </row>
    <row r="301" spans="1:34" ht="15.75" customHeight="1">
      <c r="A301" s="6" t="s">
        <v>17</v>
      </c>
      <c r="B301" s="6" t="s">
        <v>349</v>
      </c>
      <c r="C301" s="6">
        <v>5337705</v>
      </c>
      <c r="D301" s="6" t="s">
        <v>270</v>
      </c>
      <c r="E301" s="6"/>
      <c r="F301" s="6"/>
      <c r="G301" s="6">
        <f t="shared" si="4"/>
        <v>0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6" t="s">
        <v>271</v>
      </c>
    </row>
    <row r="302" spans="1:34" ht="15.75" customHeight="1">
      <c r="A302" s="6" t="s">
        <v>17</v>
      </c>
      <c r="B302" s="6" t="s">
        <v>350</v>
      </c>
      <c r="C302" s="6">
        <v>10214</v>
      </c>
      <c r="D302" s="6" t="s">
        <v>270</v>
      </c>
      <c r="E302" s="6"/>
      <c r="F302" s="6"/>
      <c r="G302" s="6">
        <f t="shared" si="4"/>
        <v>0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6" t="s">
        <v>271</v>
      </c>
    </row>
    <row r="303" spans="1:34" ht="15.75" customHeight="1">
      <c r="A303" s="6" t="s">
        <v>17</v>
      </c>
      <c r="B303" s="6" t="s">
        <v>351</v>
      </c>
      <c r="C303" s="6">
        <v>4712839</v>
      </c>
      <c r="D303" s="6" t="s">
        <v>270</v>
      </c>
      <c r="E303" s="6"/>
      <c r="F303" s="6"/>
      <c r="G303" s="6">
        <f t="shared" si="4"/>
        <v>0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6" t="s">
        <v>271</v>
      </c>
    </row>
    <row r="304" spans="1:34" ht="15.75" customHeight="1">
      <c r="A304" s="6" t="s">
        <v>17</v>
      </c>
      <c r="B304" s="6" t="s">
        <v>352</v>
      </c>
      <c r="C304" s="6">
        <v>3319008</v>
      </c>
      <c r="D304" s="6" t="s">
        <v>270</v>
      </c>
      <c r="E304" s="6"/>
      <c r="F304" s="6"/>
      <c r="G304" s="6">
        <f t="shared" si="4"/>
        <v>0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6" t="s">
        <v>271</v>
      </c>
    </row>
    <row r="305" spans="1:34" ht="15.75" customHeight="1">
      <c r="A305" s="6" t="s">
        <v>17</v>
      </c>
      <c r="B305" s="6" t="s">
        <v>353</v>
      </c>
      <c r="C305" s="6">
        <v>2748372</v>
      </c>
      <c r="D305" s="6" t="s">
        <v>270</v>
      </c>
      <c r="E305" s="6"/>
      <c r="F305" s="6"/>
      <c r="G305" s="6">
        <f t="shared" si="4"/>
        <v>0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6" t="s">
        <v>271</v>
      </c>
    </row>
    <row r="306" spans="1:34" ht="15.75" customHeight="1">
      <c r="A306" s="6" t="s">
        <v>17</v>
      </c>
      <c r="B306" s="6" t="s">
        <v>354</v>
      </c>
      <c r="C306" s="6">
        <v>2636440</v>
      </c>
      <c r="D306" s="6" t="s">
        <v>270</v>
      </c>
      <c r="E306" s="6"/>
      <c r="F306" s="6"/>
      <c r="G306" s="6">
        <f t="shared" si="4"/>
        <v>0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6" t="s">
        <v>271</v>
      </c>
    </row>
    <row r="307" spans="1:34" ht="15.75" customHeight="1">
      <c r="A307" s="6" t="s">
        <v>17</v>
      </c>
      <c r="B307" s="6" t="s">
        <v>355</v>
      </c>
      <c r="C307" s="6">
        <v>4081206</v>
      </c>
      <c r="D307" s="6" t="s">
        <v>270</v>
      </c>
      <c r="E307" s="6"/>
      <c r="F307" s="6"/>
      <c r="G307" s="6">
        <f t="shared" si="4"/>
        <v>0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6" t="s">
        <v>271</v>
      </c>
    </row>
    <row r="308" spans="1:34" ht="15.75" customHeight="1">
      <c r="A308" s="6" t="s">
        <v>17</v>
      </c>
      <c r="B308" s="6" t="s">
        <v>356</v>
      </c>
      <c r="C308" s="6">
        <v>3421768</v>
      </c>
      <c r="D308" s="6" t="s">
        <v>270</v>
      </c>
      <c r="E308" s="6"/>
      <c r="F308" s="6"/>
      <c r="G308" s="6">
        <f t="shared" si="4"/>
        <v>0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6" t="s">
        <v>271</v>
      </c>
    </row>
    <row r="309" spans="1:34" ht="15.75" customHeight="1">
      <c r="A309" s="6" t="s">
        <v>17</v>
      </c>
      <c r="B309" s="6" t="s">
        <v>357</v>
      </c>
      <c r="C309" s="6">
        <v>2830299</v>
      </c>
      <c r="D309" s="6" t="s">
        <v>270</v>
      </c>
      <c r="E309" s="6"/>
      <c r="F309" s="6"/>
      <c r="G309" s="6">
        <f t="shared" si="4"/>
        <v>0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6" t="s">
        <v>271</v>
      </c>
    </row>
    <row r="310" spans="1:34" ht="15.75" customHeight="1">
      <c r="A310" s="6" t="s">
        <v>17</v>
      </c>
      <c r="B310" s="6" t="s">
        <v>358</v>
      </c>
      <c r="C310" s="6">
        <v>2830305</v>
      </c>
      <c r="D310" s="6" t="s">
        <v>270</v>
      </c>
      <c r="E310" s="6"/>
      <c r="F310" s="6"/>
      <c r="G310" s="6">
        <f t="shared" si="4"/>
        <v>0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6" t="s">
        <v>271</v>
      </c>
    </row>
    <row r="311" spans="1:34" ht="15.75" customHeight="1">
      <c r="A311" s="6" t="s">
        <v>17</v>
      </c>
      <c r="B311" s="6" t="s">
        <v>359</v>
      </c>
      <c r="C311" s="6">
        <v>2801140</v>
      </c>
      <c r="D311" s="6" t="s">
        <v>270</v>
      </c>
      <c r="E311" s="6"/>
      <c r="F311" s="6"/>
      <c r="G311" s="6">
        <f t="shared" si="4"/>
        <v>0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6" t="s">
        <v>271</v>
      </c>
    </row>
    <row r="312" spans="1:34" ht="15.75" customHeight="1">
      <c r="A312" s="6" t="s">
        <v>17</v>
      </c>
      <c r="B312" s="6" t="s">
        <v>360</v>
      </c>
      <c r="C312" s="6">
        <v>2830292</v>
      </c>
      <c r="D312" s="6" t="s">
        <v>270</v>
      </c>
      <c r="E312" s="6"/>
      <c r="F312" s="6"/>
      <c r="G312" s="6">
        <f t="shared" si="4"/>
        <v>0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6" t="s">
        <v>271</v>
      </c>
    </row>
    <row r="313" spans="1:34" ht="15.75" customHeight="1">
      <c r="A313" s="6" t="s">
        <v>17</v>
      </c>
      <c r="B313" s="6" t="s">
        <v>361</v>
      </c>
      <c r="C313" s="6">
        <v>2830337</v>
      </c>
      <c r="D313" s="6" t="s">
        <v>270</v>
      </c>
      <c r="E313" s="6"/>
      <c r="F313" s="6"/>
      <c r="G313" s="6">
        <f t="shared" si="4"/>
        <v>0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6" t="s">
        <v>271</v>
      </c>
    </row>
    <row r="314" spans="1:34" ht="15.75" customHeight="1">
      <c r="A314" s="6" t="s">
        <v>17</v>
      </c>
      <c r="B314" s="6" t="s">
        <v>362</v>
      </c>
      <c r="C314" s="6">
        <v>4206020</v>
      </c>
      <c r="D314" s="6" t="s">
        <v>270</v>
      </c>
      <c r="E314" s="6"/>
      <c r="F314" s="6"/>
      <c r="G314" s="6">
        <f t="shared" si="4"/>
        <v>0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6" t="s">
        <v>271</v>
      </c>
    </row>
    <row r="315" spans="1:34" ht="15.75" customHeight="1">
      <c r="A315" s="6" t="s">
        <v>17</v>
      </c>
      <c r="B315" s="6" t="s">
        <v>363</v>
      </c>
      <c r="C315" s="6">
        <v>25248</v>
      </c>
      <c r="D315" s="6" t="s">
        <v>270</v>
      </c>
      <c r="E315" s="6"/>
      <c r="F315" s="6"/>
      <c r="G315" s="6">
        <f t="shared" si="4"/>
        <v>0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6" t="s">
        <v>271</v>
      </c>
    </row>
    <row r="316" spans="1:34" ht="15.75" customHeight="1">
      <c r="A316" s="6" t="s">
        <v>17</v>
      </c>
      <c r="B316" s="6" t="s">
        <v>364</v>
      </c>
      <c r="C316" s="6">
        <v>2670206</v>
      </c>
      <c r="D316" s="6" t="s">
        <v>270</v>
      </c>
      <c r="E316" s="6"/>
      <c r="F316" s="6"/>
      <c r="G316" s="6">
        <f t="shared" si="4"/>
        <v>0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6" t="s">
        <v>271</v>
      </c>
    </row>
    <row r="317" spans="1:34" ht="15.75" customHeight="1">
      <c r="A317" s="6" t="s">
        <v>17</v>
      </c>
      <c r="B317" s="6" t="s">
        <v>357</v>
      </c>
      <c r="C317" s="6">
        <v>2830326</v>
      </c>
      <c r="D317" s="6" t="s">
        <v>270</v>
      </c>
      <c r="E317" s="6"/>
      <c r="F317" s="6"/>
      <c r="G317" s="6">
        <f t="shared" si="4"/>
        <v>0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6" t="s">
        <v>271</v>
      </c>
    </row>
    <row r="318" spans="1:34" ht="15.75" customHeight="1">
      <c r="A318" s="6" t="s">
        <v>17</v>
      </c>
      <c r="B318" s="6" t="s">
        <v>365</v>
      </c>
      <c r="C318" s="6">
        <v>10388</v>
      </c>
      <c r="D318" s="6" t="s">
        <v>270</v>
      </c>
      <c r="E318" s="6"/>
      <c r="F318" s="6"/>
      <c r="G318" s="6">
        <f t="shared" si="4"/>
        <v>0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6" t="s">
        <v>271</v>
      </c>
    </row>
    <row r="319" spans="1:34" ht="15.75" customHeight="1">
      <c r="A319" s="6" t="s">
        <v>17</v>
      </c>
      <c r="B319" s="6" t="s">
        <v>366</v>
      </c>
      <c r="C319" s="6">
        <v>10263</v>
      </c>
      <c r="D319" s="6" t="s">
        <v>270</v>
      </c>
      <c r="E319" s="6"/>
      <c r="F319" s="6"/>
      <c r="G319" s="6">
        <f t="shared" si="4"/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6" t="s">
        <v>271</v>
      </c>
    </row>
    <row r="320" spans="1:34" ht="15.75" customHeight="1">
      <c r="A320" s="6" t="s">
        <v>17</v>
      </c>
      <c r="B320" s="6" t="s">
        <v>367</v>
      </c>
      <c r="C320" s="6">
        <v>2801131</v>
      </c>
      <c r="D320" s="6" t="s">
        <v>270</v>
      </c>
      <c r="E320" s="6"/>
      <c r="F320" s="6"/>
      <c r="G320" s="6">
        <f t="shared" si="4"/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6" t="s">
        <v>271</v>
      </c>
    </row>
    <row r="321" spans="1:34" ht="15.75" customHeight="1">
      <c r="A321" s="6" t="s">
        <v>17</v>
      </c>
      <c r="B321" s="6" t="s">
        <v>368</v>
      </c>
      <c r="C321" s="6">
        <v>6538064</v>
      </c>
      <c r="D321" s="6" t="s">
        <v>270</v>
      </c>
      <c r="E321" s="6"/>
      <c r="F321" s="6"/>
      <c r="G321" s="6">
        <f t="shared" si="4"/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6" t="s">
        <v>271</v>
      </c>
    </row>
    <row r="322" spans="1:34" ht="15.75" customHeight="1">
      <c r="A322" s="6" t="s">
        <v>17</v>
      </c>
      <c r="B322" s="6" t="s">
        <v>369</v>
      </c>
      <c r="C322" s="6">
        <v>3850379</v>
      </c>
      <c r="D322" s="6" t="s">
        <v>270</v>
      </c>
      <c r="E322" s="6"/>
      <c r="F322" s="6"/>
      <c r="G322" s="6">
        <f t="shared" si="4"/>
        <v>0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6" t="s">
        <v>271</v>
      </c>
    </row>
    <row r="323" spans="1:34" ht="15.75" customHeight="1">
      <c r="A323" s="6" t="s">
        <v>17</v>
      </c>
      <c r="B323" s="6" t="s">
        <v>370</v>
      </c>
      <c r="C323" s="6">
        <v>8626211</v>
      </c>
      <c r="D323" s="6" t="s">
        <v>270</v>
      </c>
      <c r="E323" s="6"/>
      <c r="F323" s="6"/>
      <c r="G323" s="6">
        <f t="shared" si="4"/>
        <v>0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6" t="s">
        <v>271</v>
      </c>
    </row>
    <row r="324" spans="1:34" ht="15.75" customHeight="1">
      <c r="A324" s="6" t="s">
        <v>17</v>
      </c>
      <c r="B324" s="6" t="s">
        <v>371</v>
      </c>
      <c r="C324" s="6">
        <v>8626207</v>
      </c>
      <c r="D324" s="6" t="s">
        <v>25</v>
      </c>
      <c r="E324" s="6"/>
      <c r="F324" s="6"/>
      <c r="G324" s="6">
        <f t="shared" si="4"/>
        <v>0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6" t="s">
        <v>271</v>
      </c>
    </row>
    <row r="325" spans="1:34" ht="15.75" customHeight="1">
      <c r="A325" s="6" t="s">
        <v>17</v>
      </c>
      <c r="B325" s="6" t="s">
        <v>372</v>
      </c>
      <c r="C325" s="6">
        <v>6633572</v>
      </c>
      <c r="D325" s="6" t="s">
        <v>270</v>
      </c>
      <c r="E325" s="6"/>
      <c r="F325" s="6"/>
      <c r="G325" s="6">
        <f t="shared" si="4"/>
        <v>0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6" t="s">
        <v>271</v>
      </c>
    </row>
    <row r="326" spans="1:34" ht="15.75" customHeight="1">
      <c r="A326" s="6" t="s">
        <v>17</v>
      </c>
      <c r="B326" s="6" t="s">
        <v>373</v>
      </c>
      <c r="C326" s="6">
        <v>10384</v>
      </c>
      <c r="D326" s="6" t="s">
        <v>270</v>
      </c>
      <c r="E326" s="6"/>
      <c r="F326" s="6"/>
      <c r="G326" s="6">
        <f t="shared" ref="G326:G389" si="5">E326-F326</f>
        <v>0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6" t="s">
        <v>271</v>
      </c>
    </row>
    <row r="327" spans="1:34" ht="15.75" customHeight="1">
      <c r="A327" s="6" t="s">
        <v>17</v>
      </c>
      <c r="B327" s="6" t="s">
        <v>374</v>
      </c>
      <c r="C327" s="6">
        <v>10386</v>
      </c>
      <c r="D327" s="6" t="s">
        <v>270</v>
      </c>
      <c r="E327" s="6"/>
      <c r="F327" s="6"/>
      <c r="G327" s="6">
        <f t="shared" si="5"/>
        <v>0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6" t="s">
        <v>271</v>
      </c>
    </row>
    <row r="328" spans="1:34" ht="15.75" customHeight="1">
      <c r="A328" s="6" t="s">
        <v>17</v>
      </c>
      <c r="B328" s="6" t="s">
        <v>375</v>
      </c>
      <c r="C328" s="6">
        <v>3886690</v>
      </c>
      <c r="D328" s="6" t="s">
        <v>270</v>
      </c>
      <c r="E328" s="6"/>
      <c r="F328" s="6"/>
      <c r="G328" s="6">
        <f t="shared" si="5"/>
        <v>0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6" t="s">
        <v>271</v>
      </c>
    </row>
    <row r="329" spans="1:34" ht="15.75" customHeight="1">
      <c r="A329" s="6" t="s">
        <v>17</v>
      </c>
      <c r="B329" s="6" t="s">
        <v>376</v>
      </c>
      <c r="C329" s="6">
        <v>3421765</v>
      </c>
      <c r="D329" s="6" t="s">
        <v>270</v>
      </c>
      <c r="E329" s="6"/>
      <c r="F329" s="6"/>
      <c r="G329" s="6">
        <f t="shared" si="5"/>
        <v>0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6" t="s">
        <v>271</v>
      </c>
    </row>
    <row r="330" spans="1:34" ht="15.75" customHeight="1">
      <c r="A330" s="6" t="s">
        <v>17</v>
      </c>
      <c r="B330" s="6" t="s">
        <v>377</v>
      </c>
      <c r="C330" s="6">
        <v>4067421</v>
      </c>
      <c r="D330" s="6" t="s">
        <v>270</v>
      </c>
      <c r="E330" s="6"/>
      <c r="F330" s="6"/>
      <c r="G330" s="6">
        <f t="shared" si="5"/>
        <v>0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6" t="s">
        <v>271</v>
      </c>
    </row>
    <row r="331" spans="1:34" ht="15.75" customHeight="1">
      <c r="A331" s="6" t="s">
        <v>17</v>
      </c>
      <c r="B331" s="6" t="s">
        <v>378</v>
      </c>
      <c r="C331" s="6">
        <v>4252636</v>
      </c>
      <c r="D331" s="6" t="s">
        <v>270</v>
      </c>
      <c r="E331" s="6"/>
      <c r="F331" s="6"/>
      <c r="G331" s="6">
        <f t="shared" si="5"/>
        <v>0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6" t="s">
        <v>271</v>
      </c>
    </row>
    <row r="332" spans="1:34" ht="15.75" customHeight="1">
      <c r="A332" s="6" t="s">
        <v>17</v>
      </c>
      <c r="B332" s="6" t="s">
        <v>379</v>
      </c>
      <c r="C332" s="6">
        <v>2801125</v>
      </c>
      <c r="D332" s="6" t="s">
        <v>270</v>
      </c>
      <c r="E332" s="6"/>
      <c r="F332" s="6"/>
      <c r="G332" s="6">
        <f t="shared" si="5"/>
        <v>0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6" t="s">
        <v>271</v>
      </c>
    </row>
    <row r="333" spans="1:34" ht="15.75" customHeight="1">
      <c r="A333" s="6" t="s">
        <v>17</v>
      </c>
      <c r="B333" s="6" t="s">
        <v>380</v>
      </c>
      <c r="C333" s="6">
        <v>2677051</v>
      </c>
      <c r="D333" s="6" t="s">
        <v>270</v>
      </c>
      <c r="E333" s="6"/>
      <c r="F333" s="6"/>
      <c r="G333" s="6">
        <f t="shared" si="5"/>
        <v>0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6" t="s">
        <v>271</v>
      </c>
    </row>
    <row r="334" spans="1:34" ht="15.75" customHeight="1">
      <c r="A334" s="6" t="s">
        <v>17</v>
      </c>
      <c r="B334" s="6" t="s">
        <v>381</v>
      </c>
      <c r="C334" s="6">
        <v>4252656</v>
      </c>
      <c r="D334" s="6" t="s">
        <v>270</v>
      </c>
      <c r="E334" s="6"/>
      <c r="F334" s="6"/>
      <c r="G334" s="6">
        <f t="shared" si="5"/>
        <v>0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6" t="s">
        <v>271</v>
      </c>
    </row>
    <row r="335" spans="1:34" ht="15.75" customHeight="1">
      <c r="A335" s="6" t="s">
        <v>17</v>
      </c>
      <c r="B335" s="6" t="s">
        <v>382</v>
      </c>
      <c r="C335" s="6">
        <v>6558143</v>
      </c>
      <c r="D335" s="6" t="s">
        <v>270</v>
      </c>
      <c r="E335" s="6"/>
      <c r="F335" s="6"/>
      <c r="G335" s="6">
        <f t="shared" si="5"/>
        <v>0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6" t="s">
        <v>271</v>
      </c>
    </row>
    <row r="336" spans="1:34" ht="15.75" customHeight="1">
      <c r="A336" s="6" t="s">
        <v>17</v>
      </c>
      <c r="B336" s="6" t="s">
        <v>383</v>
      </c>
      <c r="C336" s="6">
        <v>5254253</v>
      </c>
      <c r="D336" s="6" t="s">
        <v>270</v>
      </c>
      <c r="E336" s="6"/>
      <c r="F336" s="6"/>
      <c r="G336" s="6">
        <f t="shared" si="5"/>
        <v>0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6" t="s">
        <v>271</v>
      </c>
    </row>
    <row r="337" spans="1:34" ht="15.75" customHeight="1">
      <c r="A337" s="6" t="s">
        <v>17</v>
      </c>
      <c r="B337" s="6" t="s">
        <v>384</v>
      </c>
      <c r="C337" s="6">
        <v>5122873</v>
      </c>
      <c r="D337" s="6" t="s">
        <v>270</v>
      </c>
      <c r="E337" s="6"/>
      <c r="F337" s="6"/>
      <c r="G337" s="6">
        <f t="shared" si="5"/>
        <v>0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6" t="s">
        <v>271</v>
      </c>
    </row>
    <row r="338" spans="1:34" ht="15.75" customHeight="1">
      <c r="A338" s="6" t="s">
        <v>17</v>
      </c>
      <c r="B338" s="6" t="s">
        <v>385</v>
      </c>
      <c r="C338" s="6">
        <v>5454984</v>
      </c>
      <c r="D338" s="6" t="s">
        <v>270</v>
      </c>
      <c r="E338" s="6"/>
      <c r="F338" s="6"/>
      <c r="G338" s="6">
        <f t="shared" si="5"/>
        <v>0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6" t="s">
        <v>271</v>
      </c>
    </row>
    <row r="339" spans="1:34" ht="15.75" customHeight="1">
      <c r="A339" s="6" t="s">
        <v>17</v>
      </c>
      <c r="B339" s="6" t="s">
        <v>386</v>
      </c>
      <c r="C339" s="6">
        <v>5454981</v>
      </c>
      <c r="D339" s="6" t="s">
        <v>270</v>
      </c>
      <c r="E339" s="6"/>
      <c r="F339" s="6"/>
      <c r="G339" s="6">
        <f t="shared" si="5"/>
        <v>0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6" t="s">
        <v>271</v>
      </c>
    </row>
    <row r="340" spans="1:34" ht="15.75" customHeight="1">
      <c r="A340" s="6" t="s">
        <v>17</v>
      </c>
      <c r="B340" s="6" t="s">
        <v>387</v>
      </c>
      <c r="C340" s="6">
        <v>2703549</v>
      </c>
      <c r="D340" s="6" t="s">
        <v>270</v>
      </c>
      <c r="E340" s="6"/>
      <c r="F340" s="6"/>
      <c r="G340" s="6">
        <f t="shared" si="5"/>
        <v>0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6" t="s">
        <v>271</v>
      </c>
    </row>
    <row r="341" spans="1:34" ht="15.75" customHeight="1">
      <c r="A341" s="6" t="s">
        <v>17</v>
      </c>
      <c r="B341" s="6" t="s">
        <v>388</v>
      </c>
      <c r="C341" s="6">
        <v>10419</v>
      </c>
      <c r="D341" s="6" t="s">
        <v>270</v>
      </c>
      <c r="E341" s="6"/>
      <c r="F341" s="6"/>
      <c r="G341" s="6">
        <f t="shared" si="5"/>
        <v>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6" t="s">
        <v>271</v>
      </c>
    </row>
    <row r="342" spans="1:34" ht="15.75" customHeight="1">
      <c r="A342" s="6" t="s">
        <v>17</v>
      </c>
      <c r="B342" s="6" t="s">
        <v>389</v>
      </c>
      <c r="C342" s="6">
        <v>2930166</v>
      </c>
      <c r="D342" s="6" t="s">
        <v>270</v>
      </c>
      <c r="E342" s="6"/>
      <c r="F342" s="6"/>
      <c r="G342" s="6">
        <f t="shared" si="5"/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6" t="s">
        <v>271</v>
      </c>
    </row>
    <row r="343" spans="1:34" ht="15.75" customHeight="1">
      <c r="A343" s="6" t="s">
        <v>17</v>
      </c>
      <c r="B343" s="6" t="s">
        <v>390</v>
      </c>
      <c r="C343" s="6">
        <v>4044457</v>
      </c>
      <c r="D343" s="6" t="s">
        <v>270</v>
      </c>
      <c r="E343" s="6"/>
      <c r="F343" s="6"/>
      <c r="G343" s="6">
        <f t="shared" si="5"/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6" t="s">
        <v>271</v>
      </c>
    </row>
    <row r="344" spans="1:34" ht="15.75" customHeight="1">
      <c r="A344" s="6" t="s">
        <v>17</v>
      </c>
      <c r="B344" s="6" t="s">
        <v>391</v>
      </c>
      <c r="C344" s="6">
        <v>5733719</v>
      </c>
      <c r="D344" s="6" t="s">
        <v>270</v>
      </c>
      <c r="E344" s="6"/>
      <c r="F344" s="6"/>
      <c r="G344" s="6">
        <f t="shared" si="5"/>
        <v>0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6" t="s">
        <v>271</v>
      </c>
    </row>
    <row r="345" spans="1:34" ht="15.75" customHeight="1">
      <c r="A345" s="6" t="s">
        <v>17</v>
      </c>
      <c r="B345" s="6" t="s">
        <v>392</v>
      </c>
      <c r="C345" s="6">
        <v>5733732</v>
      </c>
      <c r="D345" s="6" t="s">
        <v>270</v>
      </c>
      <c r="E345" s="6"/>
      <c r="F345" s="6"/>
      <c r="G345" s="6">
        <f t="shared" si="5"/>
        <v>0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6" t="s">
        <v>271</v>
      </c>
    </row>
    <row r="346" spans="1:34" ht="15.75" customHeight="1">
      <c r="A346" s="6" t="s">
        <v>17</v>
      </c>
      <c r="B346" s="6" t="s">
        <v>393</v>
      </c>
      <c r="C346" s="6">
        <v>5733690</v>
      </c>
      <c r="D346" s="6" t="s">
        <v>270</v>
      </c>
      <c r="E346" s="6"/>
      <c r="F346" s="6"/>
      <c r="G346" s="6">
        <f t="shared" si="5"/>
        <v>0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6" t="s">
        <v>271</v>
      </c>
    </row>
    <row r="347" spans="1:34" ht="15.75" customHeight="1">
      <c r="A347" s="6" t="s">
        <v>17</v>
      </c>
      <c r="B347" s="6" t="s">
        <v>394</v>
      </c>
      <c r="C347" s="6">
        <v>6731540</v>
      </c>
      <c r="D347" s="6" t="s">
        <v>25</v>
      </c>
      <c r="E347" s="6"/>
      <c r="F347" s="6"/>
      <c r="G347" s="6">
        <f t="shared" si="5"/>
        <v>0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6" t="s">
        <v>271</v>
      </c>
    </row>
    <row r="348" spans="1:34" ht="15.75" customHeight="1">
      <c r="A348" s="6" t="s">
        <v>17</v>
      </c>
      <c r="B348" s="6" t="s">
        <v>395</v>
      </c>
      <c r="C348" s="6">
        <v>10358</v>
      </c>
      <c r="D348" s="6" t="s">
        <v>270</v>
      </c>
      <c r="E348" s="6"/>
      <c r="F348" s="6"/>
      <c r="G348" s="6">
        <f t="shared" si="5"/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6" t="s">
        <v>271</v>
      </c>
    </row>
    <row r="349" spans="1:34" ht="15.75" customHeight="1">
      <c r="A349" s="6" t="s">
        <v>17</v>
      </c>
      <c r="B349" s="6" t="s">
        <v>396</v>
      </c>
      <c r="C349" s="6">
        <v>10335</v>
      </c>
      <c r="D349" s="6" t="s">
        <v>270</v>
      </c>
      <c r="E349" s="6"/>
      <c r="F349" s="6"/>
      <c r="G349" s="6">
        <f t="shared" si="5"/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6" t="s">
        <v>271</v>
      </c>
    </row>
    <row r="350" spans="1:34" ht="15.75" customHeight="1">
      <c r="A350" s="6" t="s">
        <v>17</v>
      </c>
      <c r="B350" s="6" t="s">
        <v>397</v>
      </c>
      <c r="C350" s="6">
        <v>2636432</v>
      </c>
      <c r="D350" s="6" t="s">
        <v>270</v>
      </c>
      <c r="E350" s="6"/>
      <c r="F350" s="6"/>
      <c r="G350" s="6">
        <f t="shared" si="5"/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6" t="s">
        <v>271</v>
      </c>
    </row>
    <row r="351" spans="1:34" ht="15.75" customHeight="1">
      <c r="A351" s="6" t="s">
        <v>17</v>
      </c>
      <c r="B351" s="6" t="s">
        <v>398</v>
      </c>
      <c r="C351" s="6">
        <v>2841593</v>
      </c>
      <c r="D351" s="6" t="s">
        <v>270</v>
      </c>
      <c r="E351" s="6"/>
      <c r="F351" s="6"/>
      <c r="G351" s="6">
        <f t="shared" si="5"/>
        <v>0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6" t="s">
        <v>271</v>
      </c>
    </row>
    <row r="352" spans="1:34" ht="15.75" customHeight="1">
      <c r="A352" s="6" t="s">
        <v>17</v>
      </c>
      <c r="B352" s="6" t="s">
        <v>399</v>
      </c>
      <c r="C352" s="6">
        <v>3826020</v>
      </c>
      <c r="D352" s="6" t="s">
        <v>270</v>
      </c>
      <c r="E352" s="6"/>
      <c r="F352" s="6"/>
      <c r="G352" s="6">
        <f t="shared" si="5"/>
        <v>0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6" t="s">
        <v>271</v>
      </c>
    </row>
    <row r="353" spans="1:34" ht="15.75" customHeight="1">
      <c r="A353" s="6" t="s">
        <v>17</v>
      </c>
      <c r="B353" s="6" t="s">
        <v>400</v>
      </c>
      <c r="C353" s="6">
        <v>3815045</v>
      </c>
      <c r="D353" s="6" t="s">
        <v>270</v>
      </c>
      <c r="E353" s="6"/>
      <c r="F353" s="6"/>
      <c r="G353" s="6">
        <f t="shared" si="5"/>
        <v>0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6" t="s">
        <v>271</v>
      </c>
    </row>
    <row r="354" spans="1:34" ht="15.75" customHeight="1">
      <c r="A354" s="6" t="s">
        <v>17</v>
      </c>
      <c r="B354" s="6" t="s">
        <v>401</v>
      </c>
      <c r="C354" s="6">
        <v>6477591</v>
      </c>
      <c r="D354" s="6" t="s">
        <v>270</v>
      </c>
      <c r="E354" s="6"/>
      <c r="F354" s="6"/>
      <c r="G354" s="6">
        <f t="shared" si="5"/>
        <v>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6" t="s">
        <v>271</v>
      </c>
    </row>
    <row r="355" spans="1:34" ht="15.75" customHeight="1">
      <c r="A355" s="6" t="s">
        <v>17</v>
      </c>
      <c r="B355" s="6" t="s">
        <v>402</v>
      </c>
      <c r="C355" s="6">
        <v>6469542</v>
      </c>
      <c r="D355" s="6" t="s">
        <v>270</v>
      </c>
      <c r="E355" s="6"/>
      <c r="F355" s="6"/>
      <c r="G355" s="6">
        <f t="shared" si="5"/>
        <v>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6" t="s">
        <v>271</v>
      </c>
    </row>
    <row r="356" spans="1:34" ht="15.75" customHeight="1">
      <c r="A356" s="6" t="s">
        <v>17</v>
      </c>
      <c r="B356" s="6" t="s">
        <v>403</v>
      </c>
      <c r="C356" s="6">
        <v>2595732</v>
      </c>
      <c r="D356" s="6" t="s">
        <v>270</v>
      </c>
      <c r="E356" s="6"/>
      <c r="F356" s="6"/>
      <c r="G356" s="6">
        <f t="shared" si="5"/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6" t="s">
        <v>271</v>
      </c>
    </row>
    <row r="357" spans="1:34" ht="15.75" customHeight="1">
      <c r="A357" s="6" t="s">
        <v>17</v>
      </c>
      <c r="B357" s="6" t="s">
        <v>404</v>
      </c>
      <c r="C357" s="6">
        <v>4121946</v>
      </c>
      <c r="D357" s="6" t="s">
        <v>270</v>
      </c>
      <c r="E357" s="6"/>
      <c r="F357" s="6"/>
      <c r="G357" s="6">
        <f t="shared" si="5"/>
        <v>0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6" t="s">
        <v>271</v>
      </c>
    </row>
    <row r="358" spans="1:34" ht="15.75" customHeight="1">
      <c r="A358" s="6" t="s">
        <v>17</v>
      </c>
      <c r="B358" s="6" t="s">
        <v>405</v>
      </c>
      <c r="C358" s="6">
        <v>4076987</v>
      </c>
      <c r="D358" s="6" t="s">
        <v>270</v>
      </c>
      <c r="E358" s="6"/>
      <c r="F358" s="6"/>
      <c r="G358" s="6">
        <f t="shared" si="5"/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6" t="s">
        <v>271</v>
      </c>
    </row>
    <row r="359" spans="1:34" ht="15.75" customHeight="1">
      <c r="A359" s="6" t="s">
        <v>17</v>
      </c>
      <c r="B359" s="6" t="s">
        <v>406</v>
      </c>
      <c r="C359" s="6">
        <v>4042138</v>
      </c>
      <c r="D359" s="6" t="s">
        <v>270</v>
      </c>
      <c r="E359" s="6"/>
      <c r="F359" s="6"/>
      <c r="G359" s="6">
        <f t="shared" si="5"/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6" t="s">
        <v>271</v>
      </c>
    </row>
    <row r="360" spans="1:34" ht="15.75" customHeight="1">
      <c r="A360" s="6" t="s">
        <v>17</v>
      </c>
      <c r="B360" s="6" t="s">
        <v>407</v>
      </c>
      <c r="C360" s="6">
        <v>25247</v>
      </c>
      <c r="D360" s="6" t="s">
        <v>270</v>
      </c>
      <c r="E360" s="6"/>
      <c r="F360" s="6"/>
      <c r="G360" s="6">
        <f t="shared" si="5"/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6" t="s">
        <v>271</v>
      </c>
    </row>
    <row r="361" spans="1:34" ht="15.75" customHeight="1">
      <c r="A361" s="6" t="s">
        <v>76</v>
      </c>
      <c r="B361" s="6" t="s">
        <v>408</v>
      </c>
      <c r="C361" s="6">
        <v>7429422</v>
      </c>
      <c r="D361" s="6" t="s">
        <v>25</v>
      </c>
      <c r="E361" s="6"/>
      <c r="F361" s="6"/>
      <c r="G361" s="6">
        <f t="shared" si="5"/>
        <v>0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6" t="s">
        <v>409</v>
      </c>
    </row>
    <row r="362" spans="1:34" ht="15.75" customHeight="1">
      <c r="A362" s="6" t="s">
        <v>410</v>
      </c>
      <c r="B362" s="6" t="s">
        <v>411</v>
      </c>
      <c r="C362" s="6">
        <v>3686965</v>
      </c>
      <c r="D362" s="6" t="s">
        <v>25</v>
      </c>
      <c r="E362" s="6"/>
      <c r="F362" s="6"/>
      <c r="G362" s="6">
        <f t="shared" si="5"/>
        <v>0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6" t="s">
        <v>409</v>
      </c>
    </row>
    <row r="363" spans="1:34" ht="15.75" customHeight="1">
      <c r="A363" s="6" t="s">
        <v>17</v>
      </c>
      <c r="B363" s="6" t="s">
        <v>412</v>
      </c>
      <c r="C363" s="6">
        <v>25103</v>
      </c>
      <c r="D363" s="6" t="s">
        <v>25</v>
      </c>
      <c r="E363" s="6"/>
      <c r="F363" s="6"/>
      <c r="G363" s="6">
        <f t="shared" si="5"/>
        <v>0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6" t="s">
        <v>413</v>
      </c>
    </row>
    <row r="364" spans="1:34" ht="15.75" customHeight="1">
      <c r="A364" s="6" t="s">
        <v>17</v>
      </c>
      <c r="B364" s="6" t="s">
        <v>414</v>
      </c>
      <c r="C364" s="6">
        <v>10322</v>
      </c>
      <c r="D364" s="6" t="s">
        <v>25</v>
      </c>
      <c r="E364" s="6"/>
      <c r="F364" s="6"/>
      <c r="G364" s="6">
        <f t="shared" si="5"/>
        <v>0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6" t="s">
        <v>413</v>
      </c>
    </row>
    <row r="365" spans="1:34" ht="15.75" customHeight="1">
      <c r="A365" s="6" t="s">
        <v>17</v>
      </c>
      <c r="B365" s="6" t="s">
        <v>415</v>
      </c>
      <c r="C365" s="6">
        <v>10240</v>
      </c>
      <c r="D365" s="6" t="s">
        <v>25</v>
      </c>
      <c r="E365" s="6"/>
      <c r="F365" s="6"/>
      <c r="G365" s="6">
        <f t="shared" si="5"/>
        <v>0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6" t="s">
        <v>413</v>
      </c>
    </row>
    <row r="366" spans="1:34" ht="15.75" customHeight="1">
      <c r="A366" s="6" t="s">
        <v>17</v>
      </c>
      <c r="B366" s="6" t="s">
        <v>416</v>
      </c>
      <c r="C366" s="6">
        <v>10260</v>
      </c>
      <c r="D366" s="6" t="s">
        <v>25</v>
      </c>
      <c r="E366" s="6"/>
      <c r="F366" s="6"/>
      <c r="G366" s="6">
        <f t="shared" si="5"/>
        <v>0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6" t="s">
        <v>413</v>
      </c>
    </row>
    <row r="367" spans="1:34" ht="15.75" customHeight="1">
      <c r="A367" s="6" t="s">
        <v>17</v>
      </c>
      <c r="B367" s="6" t="s">
        <v>417</v>
      </c>
      <c r="C367" s="6">
        <v>3169312</v>
      </c>
      <c r="D367" s="6" t="s">
        <v>25</v>
      </c>
      <c r="E367" s="6"/>
      <c r="F367" s="6"/>
      <c r="G367" s="6">
        <f t="shared" si="5"/>
        <v>0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6" t="s">
        <v>413</v>
      </c>
    </row>
    <row r="368" spans="1:34" ht="15.75" customHeight="1">
      <c r="A368" s="6" t="s">
        <v>17</v>
      </c>
      <c r="B368" s="6" t="s">
        <v>418</v>
      </c>
      <c r="C368" s="6" t="s">
        <v>419</v>
      </c>
      <c r="D368" s="6" t="s">
        <v>25</v>
      </c>
      <c r="E368" s="6"/>
      <c r="F368" s="6"/>
      <c r="G368" s="6">
        <f t="shared" si="5"/>
        <v>0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6" t="s">
        <v>413</v>
      </c>
    </row>
    <row r="369" spans="1:34" ht="15.75" customHeight="1">
      <c r="A369" s="6" t="s">
        <v>17</v>
      </c>
      <c r="B369" s="6" t="s">
        <v>420</v>
      </c>
      <c r="C369" s="6">
        <v>8225841</v>
      </c>
      <c r="D369" s="6" t="s">
        <v>25</v>
      </c>
      <c r="E369" s="6"/>
      <c r="F369" s="6"/>
      <c r="G369" s="6">
        <f t="shared" si="5"/>
        <v>0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6" t="s">
        <v>413</v>
      </c>
    </row>
    <row r="370" spans="1:34" ht="15.75" customHeight="1">
      <c r="A370" s="6" t="s">
        <v>17</v>
      </c>
      <c r="B370" s="6" t="s">
        <v>421</v>
      </c>
      <c r="C370" s="6">
        <v>1450899</v>
      </c>
      <c r="D370" s="6" t="s">
        <v>25</v>
      </c>
      <c r="E370" s="6"/>
      <c r="F370" s="6"/>
      <c r="G370" s="6">
        <f t="shared" si="5"/>
        <v>0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6" t="s">
        <v>413</v>
      </c>
    </row>
    <row r="371" spans="1:34" ht="15.75" customHeight="1">
      <c r="A371" s="6" t="s">
        <v>17</v>
      </c>
      <c r="B371" s="6" t="s">
        <v>422</v>
      </c>
      <c r="C371" s="6">
        <v>176610</v>
      </c>
      <c r="D371" s="6" t="s">
        <v>25</v>
      </c>
      <c r="E371" s="6"/>
      <c r="F371" s="6"/>
      <c r="G371" s="6">
        <f t="shared" si="5"/>
        <v>0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6" t="s">
        <v>413</v>
      </c>
    </row>
    <row r="372" spans="1:34" ht="15.75" customHeight="1">
      <c r="A372" s="6" t="s">
        <v>17</v>
      </c>
      <c r="B372" s="6" t="s">
        <v>423</v>
      </c>
      <c r="C372" s="6">
        <v>3658499</v>
      </c>
      <c r="D372" s="6" t="s">
        <v>25</v>
      </c>
      <c r="E372" s="6"/>
      <c r="F372" s="6"/>
      <c r="G372" s="6">
        <f t="shared" si="5"/>
        <v>0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6" t="s">
        <v>413</v>
      </c>
    </row>
    <row r="373" spans="1:34" ht="15.75" customHeight="1">
      <c r="A373" s="6" t="s">
        <v>17</v>
      </c>
      <c r="B373" s="6" t="s">
        <v>424</v>
      </c>
      <c r="C373" s="6">
        <v>4043768</v>
      </c>
      <c r="D373" s="6" t="s">
        <v>25</v>
      </c>
      <c r="E373" s="6"/>
      <c r="F373" s="6"/>
      <c r="G373" s="6">
        <f t="shared" si="5"/>
        <v>0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6" t="s">
        <v>413</v>
      </c>
    </row>
    <row r="374" spans="1:34" ht="15.75" customHeight="1">
      <c r="A374" s="6" t="s">
        <v>17</v>
      </c>
      <c r="B374" s="6" t="s">
        <v>425</v>
      </c>
      <c r="C374" s="6">
        <v>10385</v>
      </c>
      <c r="D374" s="6" t="s">
        <v>25</v>
      </c>
      <c r="E374" s="6"/>
      <c r="F374" s="6"/>
      <c r="G374" s="6">
        <f t="shared" si="5"/>
        <v>0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6" t="s">
        <v>413</v>
      </c>
    </row>
    <row r="375" spans="1:34" ht="15.75" customHeight="1">
      <c r="A375" s="6" t="s">
        <v>17</v>
      </c>
      <c r="B375" s="6" t="s">
        <v>426</v>
      </c>
      <c r="C375" s="6">
        <v>4739434</v>
      </c>
      <c r="D375" s="6" t="s">
        <v>25</v>
      </c>
      <c r="E375" s="6"/>
      <c r="F375" s="6"/>
      <c r="G375" s="6">
        <f t="shared" si="5"/>
        <v>0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6" t="s">
        <v>413</v>
      </c>
    </row>
    <row r="376" spans="1:34" ht="15.75" customHeight="1">
      <c r="A376" s="6" t="s">
        <v>17</v>
      </c>
      <c r="B376" s="6" t="s">
        <v>427</v>
      </c>
      <c r="C376" s="6">
        <v>4623274</v>
      </c>
      <c r="D376" s="6" t="s">
        <v>25</v>
      </c>
      <c r="E376" s="6"/>
      <c r="F376" s="6"/>
      <c r="G376" s="6">
        <f t="shared" si="5"/>
        <v>0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6" t="s">
        <v>413</v>
      </c>
    </row>
    <row r="377" spans="1:34" ht="15.75" customHeight="1">
      <c r="A377" s="6" t="s">
        <v>17</v>
      </c>
      <c r="B377" s="6" t="s">
        <v>428</v>
      </c>
      <c r="C377" s="6">
        <v>4724670</v>
      </c>
      <c r="D377" s="6" t="s">
        <v>25</v>
      </c>
      <c r="E377" s="6"/>
      <c r="F377" s="6"/>
      <c r="G377" s="6">
        <f t="shared" si="5"/>
        <v>0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6" t="s">
        <v>413</v>
      </c>
    </row>
    <row r="378" spans="1:34" ht="15.75" customHeight="1">
      <c r="A378" s="6" t="s">
        <v>17</v>
      </c>
      <c r="B378" s="6" t="s">
        <v>429</v>
      </c>
      <c r="C378" s="6">
        <v>3808149</v>
      </c>
      <c r="D378" s="6" t="s">
        <v>25</v>
      </c>
      <c r="E378" s="6"/>
      <c r="F378" s="6"/>
      <c r="G378" s="6">
        <f t="shared" si="5"/>
        <v>0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6" t="s">
        <v>413</v>
      </c>
    </row>
    <row r="379" spans="1:34" ht="15.75" customHeight="1">
      <c r="A379" s="6" t="s">
        <v>17</v>
      </c>
      <c r="B379" s="6" t="s">
        <v>430</v>
      </c>
      <c r="C379" s="6">
        <v>3811449</v>
      </c>
      <c r="D379" s="6" t="s">
        <v>25</v>
      </c>
      <c r="E379" s="6"/>
      <c r="F379" s="6"/>
      <c r="G379" s="6">
        <f t="shared" si="5"/>
        <v>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6" t="s">
        <v>413</v>
      </c>
    </row>
    <row r="380" spans="1:34" ht="15.75" customHeight="1">
      <c r="A380" s="6" t="s">
        <v>17</v>
      </c>
      <c r="B380" s="6" t="s">
        <v>431</v>
      </c>
      <c r="C380" s="6">
        <v>3808219</v>
      </c>
      <c r="D380" s="6" t="s">
        <v>25</v>
      </c>
      <c r="E380" s="6"/>
      <c r="F380" s="6"/>
      <c r="G380" s="6">
        <f t="shared" si="5"/>
        <v>0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6" t="s">
        <v>413</v>
      </c>
    </row>
    <row r="381" spans="1:34" ht="15.75" customHeight="1">
      <c r="A381" s="6" t="s">
        <v>17</v>
      </c>
      <c r="B381" s="6" t="s">
        <v>432</v>
      </c>
      <c r="C381" s="6">
        <v>6518095</v>
      </c>
      <c r="D381" s="6" t="s">
        <v>25</v>
      </c>
      <c r="E381" s="6"/>
      <c r="F381" s="6"/>
      <c r="G381" s="6">
        <f t="shared" si="5"/>
        <v>0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6" t="s">
        <v>413</v>
      </c>
    </row>
    <row r="382" spans="1:34" ht="15.75" customHeight="1">
      <c r="A382" s="6" t="s">
        <v>17</v>
      </c>
      <c r="B382" s="6" t="s">
        <v>433</v>
      </c>
      <c r="C382" s="6">
        <v>590161</v>
      </c>
      <c r="D382" s="6" t="s">
        <v>25</v>
      </c>
      <c r="E382" s="6"/>
      <c r="F382" s="6"/>
      <c r="G382" s="6">
        <f t="shared" si="5"/>
        <v>0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6" t="s">
        <v>413</v>
      </c>
    </row>
    <row r="383" spans="1:34" ht="15.75" customHeight="1">
      <c r="A383" s="6" t="s">
        <v>17</v>
      </c>
      <c r="B383" s="6" t="s">
        <v>434</v>
      </c>
      <c r="C383" s="6">
        <v>10336</v>
      </c>
      <c r="D383" s="6" t="s">
        <v>25</v>
      </c>
      <c r="E383" s="6"/>
      <c r="F383" s="6"/>
      <c r="G383" s="6">
        <f t="shared" si="5"/>
        <v>0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6" t="s">
        <v>413</v>
      </c>
    </row>
    <row r="384" spans="1:34" ht="15.75" customHeight="1">
      <c r="A384" s="6" t="s">
        <v>17</v>
      </c>
      <c r="B384" s="6" t="s">
        <v>435</v>
      </c>
      <c r="C384" s="6">
        <v>10340</v>
      </c>
      <c r="D384" s="6" t="s">
        <v>25</v>
      </c>
      <c r="E384" s="6"/>
      <c r="F384" s="6"/>
      <c r="G384" s="6">
        <f t="shared" si="5"/>
        <v>0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6" t="s">
        <v>413</v>
      </c>
    </row>
    <row r="385" spans="1:34" ht="15.75" customHeight="1">
      <c r="A385" s="6" t="s">
        <v>17</v>
      </c>
      <c r="B385" s="6" t="s">
        <v>436</v>
      </c>
      <c r="C385" s="6">
        <v>3199692</v>
      </c>
      <c r="D385" s="6" t="s">
        <v>25</v>
      </c>
      <c r="E385" s="6"/>
      <c r="F385" s="6"/>
      <c r="G385" s="6">
        <f t="shared" si="5"/>
        <v>0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6" t="s">
        <v>413</v>
      </c>
    </row>
    <row r="386" spans="1:34" ht="15.75" customHeight="1">
      <c r="A386" s="6" t="s">
        <v>17</v>
      </c>
      <c r="B386" s="6" t="s">
        <v>437</v>
      </c>
      <c r="C386" s="6">
        <v>2453694</v>
      </c>
      <c r="D386" s="6" t="s">
        <v>25</v>
      </c>
      <c r="E386" s="6"/>
      <c r="F386" s="6"/>
      <c r="G386" s="6">
        <f t="shared" si="5"/>
        <v>0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6" t="s">
        <v>413</v>
      </c>
    </row>
    <row r="387" spans="1:34" ht="15.75" customHeight="1">
      <c r="A387" s="6" t="s">
        <v>17</v>
      </c>
      <c r="B387" s="6" t="s">
        <v>438</v>
      </c>
      <c r="C387" s="6">
        <v>1616947</v>
      </c>
      <c r="D387" s="6" t="s">
        <v>25</v>
      </c>
      <c r="E387" s="6"/>
      <c r="F387" s="6"/>
      <c r="G387" s="6">
        <f t="shared" si="5"/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6" t="s">
        <v>413</v>
      </c>
    </row>
    <row r="388" spans="1:34" ht="15.75" customHeight="1">
      <c r="A388" s="6" t="s">
        <v>17</v>
      </c>
      <c r="B388" s="6" t="s">
        <v>439</v>
      </c>
      <c r="C388" s="6">
        <v>4226159</v>
      </c>
      <c r="D388" s="6" t="s">
        <v>25</v>
      </c>
      <c r="E388" s="6"/>
      <c r="F388" s="6"/>
      <c r="G388" s="6">
        <f t="shared" si="5"/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6" t="s">
        <v>413</v>
      </c>
    </row>
    <row r="389" spans="1:34" ht="15.75" customHeight="1">
      <c r="A389" s="6" t="s">
        <v>17</v>
      </c>
      <c r="B389" s="6" t="s">
        <v>440</v>
      </c>
      <c r="C389" s="6">
        <v>24501</v>
      </c>
      <c r="D389" s="6" t="s">
        <v>25</v>
      </c>
      <c r="E389" s="6"/>
      <c r="F389" s="6"/>
      <c r="G389" s="6">
        <f t="shared" si="5"/>
        <v>0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6" t="s">
        <v>413</v>
      </c>
    </row>
    <row r="390" spans="1:34" ht="15.75" customHeight="1">
      <c r="A390" s="6" t="s">
        <v>17</v>
      </c>
      <c r="B390" s="6" t="s">
        <v>441</v>
      </c>
      <c r="C390" s="6">
        <v>24497</v>
      </c>
      <c r="D390" s="6" t="s">
        <v>25</v>
      </c>
      <c r="E390" s="6"/>
      <c r="F390" s="6"/>
      <c r="G390" s="6">
        <f t="shared" ref="G390:G453" si="6">E390-F390</f>
        <v>0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6" t="s">
        <v>413</v>
      </c>
    </row>
    <row r="391" spans="1:34" ht="15.75" customHeight="1">
      <c r="A391" s="6" t="s">
        <v>17</v>
      </c>
      <c r="B391" s="6" t="s">
        <v>442</v>
      </c>
      <c r="C391" s="6">
        <v>2670072</v>
      </c>
      <c r="D391" s="6" t="s">
        <v>25</v>
      </c>
      <c r="E391" s="6"/>
      <c r="F391" s="6"/>
      <c r="G391" s="6">
        <f t="shared" si="6"/>
        <v>0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6" t="s">
        <v>413</v>
      </c>
    </row>
    <row r="392" spans="1:34" ht="15.75" customHeight="1">
      <c r="A392" s="6" t="s">
        <v>17</v>
      </c>
      <c r="B392" s="6" t="s">
        <v>443</v>
      </c>
      <c r="C392" s="6">
        <v>841177</v>
      </c>
      <c r="D392" s="6" t="s">
        <v>25</v>
      </c>
      <c r="E392" s="6"/>
      <c r="F392" s="6"/>
      <c r="G392" s="6">
        <f t="shared" si="6"/>
        <v>0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6" t="s">
        <v>413</v>
      </c>
    </row>
    <row r="393" spans="1:34" ht="15.75" customHeight="1">
      <c r="A393" s="6" t="s">
        <v>444</v>
      </c>
      <c r="B393" s="6" t="s">
        <v>445</v>
      </c>
      <c r="C393" s="6">
        <v>2847275</v>
      </c>
      <c r="D393" s="6" t="s">
        <v>25</v>
      </c>
      <c r="E393" s="6"/>
      <c r="F393" s="6"/>
      <c r="G393" s="6">
        <f t="shared" si="6"/>
        <v>0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6" t="s">
        <v>413</v>
      </c>
    </row>
    <row r="394" spans="1:34" ht="15.75" customHeight="1">
      <c r="A394" s="6" t="s">
        <v>444</v>
      </c>
      <c r="B394" s="6" t="s">
        <v>446</v>
      </c>
      <c r="C394" s="6">
        <v>342987</v>
      </c>
      <c r="D394" s="6" t="s">
        <v>25</v>
      </c>
      <c r="E394" s="6"/>
      <c r="F394" s="6"/>
      <c r="G394" s="6">
        <f t="shared" si="6"/>
        <v>0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6" t="s">
        <v>413</v>
      </c>
    </row>
    <row r="395" spans="1:34" ht="15.75" customHeight="1">
      <c r="A395" s="6" t="s">
        <v>444</v>
      </c>
      <c r="B395" s="6" t="s">
        <v>447</v>
      </c>
      <c r="C395" s="6">
        <v>343476</v>
      </c>
      <c r="D395" s="6" t="s">
        <v>25</v>
      </c>
      <c r="E395" s="6"/>
      <c r="F395" s="6"/>
      <c r="G395" s="6">
        <f t="shared" si="6"/>
        <v>0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6" t="s">
        <v>413</v>
      </c>
    </row>
    <row r="396" spans="1:34" ht="15.75" customHeight="1">
      <c r="A396" s="6" t="s">
        <v>444</v>
      </c>
      <c r="B396" s="6" t="s">
        <v>448</v>
      </c>
      <c r="C396" s="6">
        <v>10401</v>
      </c>
      <c r="D396" s="6" t="s">
        <v>25</v>
      </c>
      <c r="E396" s="6"/>
      <c r="F396" s="6"/>
      <c r="G396" s="6">
        <f t="shared" si="6"/>
        <v>0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6" t="s">
        <v>413</v>
      </c>
    </row>
    <row r="397" spans="1:34" ht="15.75" customHeight="1">
      <c r="A397" s="6" t="s">
        <v>444</v>
      </c>
      <c r="B397" s="6" t="s">
        <v>448</v>
      </c>
      <c r="C397" s="6">
        <v>25045</v>
      </c>
      <c r="D397" s="6" t="s">
        <v>25</v>
      </c>
      <c r="E397" s="6"/>
      <c r="F397" s="6"/>
      <c r="G397" s="6">
        <f t="shared" si="6"/>
        <v>0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6" t="s">
        <v>413</v>
      </c>
    </row>
    <row r="398" spans="1:34" ht="15.75" customHeight="1">
      <c r="A398" s="6" t="s">
        <v>444</v>
      </c>
      <c r="B398" s="6" t="s">
        <v>449</v>
      </c>
      <c r="C398" s="6">
        <v>3735627</v>
      </c>
      <c r="D398" s="6" t="s">
        <v>25</v>
      </c>
      <c r="E398" s="6"/>
      <c r="F398" s="6"/>
      <c r="G398" s="6">
        <f t="shared" si="6"/>
        <v>0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6" t="s">
        <v>413</v>
      </c>
    </row>
    <row r="399" spans="1:34" ht="15.75" customHeight="1">
      <c r="A399" s="6" t="s">
        <v>444</v>
      </c>
      <c r="B399" s="6" t="s">
        <v>450</v>
      </c>
      <c r="C399" s="6">
        <v>3811468</v>
      </c>
      <c r="D399" s="6" t="s">
        <v>25</v>
      </c>
      <c r="E399" s="6"/>
      <c r="F399" s="6"/>
      <c r="G399" s="6">
        <f t="shared" si="6"/>
        <v>0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6" t="s">
        <v>413</v>
      </c>
    </row>
    <row r="400" spans="1:34" ht="15.75" customHeight="1">
      <c r="A400" s="6" t="s">
        <v>444</v>
      </c>
      <c r="B400" s="6" t="s">
        <v>451</v>
      </c>
      <c r="C400" s="6">
        <v>3808169</v>
      </c>
      <c r="D400" s="6" t="s">
        <v>25</v>
      </c>
      <c r="E400" s="6"/>
      <c r="F400" s="6"/>
      <c r="G400" s="6">
        <f t="shared" si="6"/>
        <v>0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6" t="s">
        <v>413</v>
      </c>
    </row>
    <row r="401" spans="1:34" ht="15.75" customHeight="1">
      <c r="A401" s="6" t="s">
        <v>444</v>
      </c>
      <c r="B401" s="6" t="s">
        <v>452</v>
      </c>
      <c r="C401" s="6">
        <v>3808207</v>
      </c>
      <c r="D401" s="6" t="s">
        <v>25</v>
      </c>
      <c r="E401" s="6"/>
      <c r="F401" s="6"/>
      <c r="G401" s="6">
        <f t="shared" si="6"/>
        <v>0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6" t="s">
        <v>413</v>
      </c>
    </row>
    <row r="402" spans="1:34" ht="15.75" customHeight="1">
      <c r="A402" s="6" t="s">
        <v>444</v>
      </c>
      <c r="B402" s="6" t="s">
        <v>453</v>
      </c>
      <c r="C402" s="6">
        <v>5209659</v>
      </c>
      <c r="D402" s="6" t="s">
        <v>25</v>
      </c>
      <c r="E402" s="6"/>
      <c r="F402" s="6"/>
      <c r="G402" s="6">
        <f t="shared" si="6"/>
        <v>0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6" t="s">
        <v>413</v>
      </c>
    </row>
    <row r="403" spans="1:34" ht="15.75" customHeight="1">
      <c r="A403" s="6" t="s">
        <v>444</v>
      </c>
      <c r="B403" s="6" t="s">
        <v>454</v>
      </c>
      <c r="C403" s="6">
        <v>10261</v>
      </c>
      <c r="D403" s="6" t="s">
        <v>25</v>
      </c>
      <c r="E403" s="6"/>
      <c r="F403" s="6"/>
      <c r="G403" s="6">
        <f t="shared" si="6"/>
        <v>0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6" t="s">
        <v>413</v>
      </c>
    </row>
    <row r="404" spans="1:34" ht="15.75" customHeight="1">
      <c r="A404" s="6" t="s">
        <v>444</v>
      </c>
      <c r="B404" s="6" t="s">
        <v>455</v>
      </c>
      <c r="C404" s="6">
        <v>7861260</v>
      </c>
      <c r="D404" s="6" t="s">
        <v>25</v>
      </c>
      <c r="E404" s="6"/>
      <c r="F404" s="6"/>
      <c r="G404" s="6">
        <f t="shared" si="6"/>
        <v>0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6" t="s">
        <v>413</v>
      </c>
    </row>
    <row r="405" spans="1:34" ht="15.75" customHeight="1">
      <c r="A405" s="6" t="s">
        <v>444</v>
      </c>
      <c r="B405" s="6" t="s">
        <v>456</v>
      </c>
      <c r="C405" s="6">
        <v>5899338</v>
      </c>
      <c r="D405" s="6" t="s">
        <v>25</v>
      </c>
      <c r="E405" s="6"/>
      <c r="F405" s="6"/>
      <c r="G405" s="6">
        <f t="shared" si="6"/>
        <v>0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6" t="s">
        <v>413</v>
      </c>
    </row>
    <row r="406" spans="1:34" ht="15.75" customHeight="1">
      <c r="A406" s="6" t="s">
        <v>444</v>
      </c>
      <c r="B406" s="6" t="s">
        <v>457</v>
      </c>
      <c r="C406" s="6">
        <v>3811456</v>
      </c>
      <c r="D406" s="6" t="s">
        <v>25</v>
      </c>
      <c r="E406" s="6"/>
      <c r="F406" s="6"/>
      <c r="G406" s="6">
        <f t="shared" si="6"/>
        <v>0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6" t="s">
        <v>413</v>
      </c>
    </row>
    <row r="407" spans="1:34" ht="15.75" customHeight="1">
      <c r="A407" s="6" t="s">
        <v>444</v>
      </c>
      <c r="B407" s="6" t="s">
        <v>458</v>
      </c>
      <c r="C407" s="6">
        <v>7861217</v>
      </c>
      <c r="D407" s="6" t="s">
        <v>25</v>
      </c>
      <c r="E407" s="6"/>
      <c r="F407" s="6"/>
      <c r="G407" s="6">
        <f t="shared" si="6"/>
        <v>0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6" t="s">
        <v>413</v>
      </c>
    </row>
    <row r="408" spans="1:34" ht="15.75" customHeight="1">
      <c r="A408" s="6" t="s">
        <v>444</v>
      </c>
      <c r="B408" s="6" t="s">
        <v>459</v>
      </c>
      <c r="C408" s="6" t="s">
        <v>460</v>
      </c>
      <c r="D408" s="6" t="s">
        <v>25</v>
      </c>
      <c r="E408" s="6"/>
      <c r="F408" s="6"/>
      <c r="G408" s="6">
        <f t="shared" si="6"/>
        <v>0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6" t="s">
        <v>413</v>
      </c>
    </row>
    <row r="409" spans="1:34" ht="15.75" customHeight="1">
      <c r="A409" s="6" t="s">
        <v>444</v>
      </c>
      <c r="B409" s="6" t="s">
        <v>461</v>
      </c>
      <c r="C409" s="6">
        <v>61252696</v>
      </c>
      <c r="D409" s="6" t="s">
        <v>25</v>
      </c>
      <c r="E409" s="6"/>
      <c r="F409" s="6"/>
      <c r="G409" s="6">
        <f t="shared" si="6"/>
        <v>0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6" t="s">
        <v>413</v>
      </c>
    </row>
    <row r="410" spans="1:34" ht="15.75" customHeight="1">
      <c r="A410" s="6" t="s">
        <v>444</v>
      </c>
      <c r="B410" s="6" t="s">
        <v>462</v>
      </c>
      <c r="C410" s="6">
        <v>3808069</v>
      </c>
      <c r="D410" s="6" t="s">
        <v>25</v>
      </c>
      <c r="E410" s="6"/>
      <c r="F410" s="6"/>
      <c r="G410" s="6">
        <f t="shared" si="6"/>
        <v>0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6" t="s">
        <v>413</v>
      </c>
    </row>
    <row r="411" spans="1:34" ht="15.75" customHeight="1">
      <c r="A411" s="6" t="s">
        <v>444</v>
      </c>
      <c r="B411" s="6" t="s">
        <v>463</v>
      </c>
      <c r="C411" s="6">
        <v>5311838</v>
      </c>
      <c r="D411" s="6" t="s">
        <v>25</v>
      </c>
      <c r="E411" s="6"/>
      <c r="F411" s="6"/>
      <c r="G411" s="6">
        <f t="shared" si="6"/>
        <v>0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6" t="s">
        <v>413</v>
      </c>
    </row>
    <row r="412" spans="1:34" ht="15.75" customHeight="1">
      <c r="A412" s="6" t="s">
        <v>444</v>
      </c>
      <c r="B412" s="6" t="s">
        <v>464</v>
      </c>
      <c r="C412" s="6">
        <v>1096863</v>
      </c>
      <c r="D412" s="6" t="s">
        <v>25</v>
      </c>
      <c r="E412" s="6"/>
      <c r="F412" s="6"/>
      <c r="G412" s="6">
        <f t="shared" si="6"/>
        <v>0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6" t="s">
        <v>413</v>
      </c>
    </row>
    <row r="413" spans="1:34" ht="15.75" customHeight="1">
      <c r="A413" s="6" t="s">
        <v>444</v>
      </c>
      <c r="B413" s="6" t="s">
        <v>465</v>
      </c>
      <c r="C413" s="6">
        <v>1614077</v>
      </c>
      <c r="D413" s="6" t="s">
        <v>25</v>
      </c>
      <c r="E413" s="6"/>
      <c r="F413" s="6"/>
      <c r="G413" s="6">
        <f t="shared" si="6"/>
        <v>0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6" t="s">
        <v>413</v>
      </c>
    </row>
    <row r="414" spans="1:34" ht="15.75" customHeight="1">
      <c r="A414" s="6" t="s">
        <v>444</v>
      </c>
      <c r="B414" s="6" t="s">
        <v>466</v>
      </c>
      <c r="C414" s="6">
        <v>8345008</v>
      </c>
      <c r="D414" s="6" t="s">
        <v>25</v>
      </c>
      <c r="E414" s="6"/>
      <c r="F414" s="6"/>
      <c r="G414" s="6">
        <f t="shared" si="6"/>
        <v>0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6" t="s">
        <v>413</v>
      </c>
    </row>
    <row r="415" spans="1:34" ht="15.75" customHeight="1">
      <c r="A415" s="6" t="s">
        <v>444</v>
      </c>
      <c r="B415" s="6" t="s">
        <v>467</v>
      </c>
      <c r="C415" s="6">
        <v>2730099</v>
      </c>
      <c r="D415" s="6" t="s">
        <v>25</v>
      </c>
      <c r="E415" s="6"/>
      <c r="F415" s="6"/>
      <c r="G415" s="6">
        <f t="shared" si="6"/>
        <v>0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6" t="s">
        <v>413</v>
      </c>
    </row>
    <row r="416" spans="1:34" ht="15.75" customHeight="1">
      <c r="A416" s="6" t="s">
        <v>444</v>
      </c>
      <c r="B416" s="6" t="s">
        <v>468</v>
      </c>
      <c r="C416" s="6">
        <v>2759386</v>
      </c>
      <c r="D416" s="6" t="s">
        <v>25</v>
      </c>
      <c r="E416" s="6"/>
      <c r="F416" s="6"/>
      <c r="G416" s="6">
        <f t="shared" si="6"/>
        <v>0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6" t="s">
        <v>413</v>
      </c>
    </row>
    <row r="417" spans="1:34" ht="15.75" customHeight="1">
      <c r="A417" s="6" t="s">
        <v>444</v>
      </c>
      <c r="B417" s="6" t="s">
        <v>469</v>
      </c>
      <c r="C417" s="6">
        <v>3533231</v>
      </c>
      <c r="D417" s="6" t="s">
        <v>25</v>
      </c>
      <c r="E417" s="6"/>
      <c r="F417" s="6"/>
      <c r="G417" s="6">
        <f t="shared" si="6"/>
        <v>0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6" t="s">
        <v>413</v>
      </c>
    </row>
    <row r="418" spans="1:34" ht="15.75" customHeight="1">
      <c r="A418" s="6" t="s">
        <v>444</v>
      </c>
      <c r="B418" s="6" t="s">
        <v>470</v>
      </c>
      <c r="C418" s="6">
        <v>3435529</v>
      </c>
      <c r="D418" s="6" t="s">
        <v>25</v>
      </c>
      <c r="E418" s="6"/>
      <c r="F418" s="6"/>
      <c r="G418" s="6">
        <f t="shared" si="6"/>
        <v>0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6" t="s">
        <v>413</v>
      </c>
    </row>
    <row r="419" spans="1:34" ht="15.75" customHeight="1">
      <c r="A419" s="6" t="s">
        <v>444</v>
      </c>
      <c r="B419" s="6" t="s">
        <v>471</v>
      </c>
      <c r="C419" s="6">
        <v>3364675</v>
      </c>
      <c r="D419" s="6" t="s">
        <v>25</v>
      </c>
      <c r="E419" s="6"/>
      <c r="F419" s="6"/>
      <c r="G419" s="6">
        <f t="shared" si="6"/>
        <v>0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6" t="s">
        <v>413</v>
      </c>
    </row>
    <row r="420" spans="1:34" ht="15.75" customHeight="1">
      <c r="A420" s="6" t="s">
        <v>444</v>
      </c>
      <c r="B420" s="6" t="s">
        <v>472</v>
      </c>
      <c r="C420" s="6">
        <v>2521022</v>
      </c>
      <c r="D420" s="6" t="s">
        <v>25</v>
      </c>
      <c r="E420" s="6"/>
      <c r="F420" s="6"/>
      <c r="G420" s="6">
        <f t="shared" si="6"/>
        <v>0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6" t="s">
        <v>413</v>
      </c>
    </row>
    <row r="421" spans="1:34" ht="15.75" customHeight="1">
      <c r="A421" s="6" t="s">
        <v>444</v>
      </c>
      <c r="B421" s="6" t="s">
        <v>473</v>
      </c>
      <c r="C421" s="6">
        <v>1450433</v>
      </c>
      <c r="D421" s="6" t="s">
        <v>25</v>
      </c>
      <c r="E421" s="6"/>
      <c r="F421" s="6"/>
      <c r="G421" s="6">
        <f t="shared" si="6"/>
        <v>0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6" t="s">
        <v>413</v>
      </c>
    </row>
    <row r="422" spans="1:34" ht="15.75" customHeight="1">
      <c r="A422" s="6" t="s">
        <v>444</v>
      </c>
      <c r="B422" s="6" t="s">
        <v>474</v>
      </c>
      <c r="C422" s="6">
        <v>6508096</v>
      </c>
      <c r="D422" s="6" t="s">
        <v>25</v>
      </c>
      <c r="E422" s="6"/>
      <c r="F422" s="6"/>
      <c r="G422" s="6">
        <f t="shared" si="6"/>
        <v>0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6" t="s">
        <v>413</v>
      </c>
    </row>
    <row r="423" spans="1:34" ht="15.75" customHeight="1">
      <c r="A423" s="6" t="s">
        <v>444</v>
      </c>
      <c r="B423" s="6" t="s">
        <v>475</v>
      </c>
      <c r="C423" s="6">
        <v>7619143</v>
      </c>
      <c r="D423" s="6" t="s">
        <v>25</v>
      </c>
      <c r="E423" s="6"/>
      <c r="F423" s="6"/>
      <c r="G423" s="6">
        <f t="shared" si="6"/>
        <v>0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6" t="s">
        <v>413</v>
      </c>
    </row>
    <row r="424" spans="1:34" ht="15.75" customHeight="1">
      <c r="A424" s="6" t="s">
        <v>444</v>
      </c>
      <c r="B424" s="6" t="s">
        <v>476</v>
      </c>
      <c r="C424" s="6">
        <v>26207</v>
      </c>
      <c r="D424" s="6" t="s">
        <v>25</v>
      </c>
      <c r="E424" s="6"/>
      <c r="F424" s="6"/>
      <c r="G424" s="6">
        <f t="shared" si="6"/>
        <v>0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6" t="s">
        <v>413</v>
      </c>
    </row>
    <row r="425" spans="1:34" ht="15.75" customHeight="1">
      <c r="A425" s="6" t="s">
        <v>444</v>
      </c>
      <c r="B425" s="6" t="s">
        <v>477</v>
      </c>
      <c r="C425" s="6">
        <v>21502</v>
      </c>
      <c r="D425" s="6" t="s">
        <v>25</v>
      </c>
      <c r="E425" s="6"/>
      <c r="F425" s="6"/>
      <c r="G425" s="6">
        <f t="shared" si="6"/>
        <v>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6" t="s">
        <v>413</v>
      </c>
    </row>
    <row r="426" spans="1:34" ht="15.75" customHeight="1">
      <c r="A426" s="6" t="s">
        <v>444</v>
      </c>
      <c r="B426" s="6" t="s">
        <v>478</v>
      </c>
      <c r="C426" s="6">
        <v>21865</v>
      </c>
      <c r="D426" s="6" t="s">
        <v>25</v>
      </c>
      <c r="E426" s="6"/>
      <c r="F426" s="6"/>
      <c r="G426" s="6">
        <f t="shared" si="6"/>
        <v>0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6" t="s">
        <v>413</v>
      </c>
    </row>
    <row r="427" spans="1:34" ht="15.75" customHeight="1">
      <c r="A427" s="6" t="s">
        <v>444</v>
      </c>
      <c r="B427" s="6" t="s">
        <v>479</v>
      </c>
      <c r="C427" s="6">
        <v>10237</v>
      </c>
      <c r="D427" s="6" t="s">
        <v>25</v>
      </c>
      <c r="E427" s="6"/>
      <c r="F427" s="6"/>
      <c r="G427" s="6">
        <f t="shared" si="6"/>
        <v>0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6" t="s">
        <v>413</v>
      </c>
    </row>
    <row r="428" spans="1:34" ht="15.75" customHeight="1">
      <c r="A428" s="6" t="s">
        <v>444</v>
      </c>
      <c r="B428" s="6" t="s">
        <v>480</v>
      </c>
      <c r="C428" s="6">
        <v>6948025</v>
      </c>
      <c r="D428" s="6" t="s">
        <v>25</v>
      </c>
      <c r="E428" s="6"/>
      <c r="F428" s="6"/>
      <c r="G428" s="6">
        <f t="shared" si="6"/>
        <v>0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6" t="s">
        <v>413</v>
      </c>
    </row>
    <row r="429" spans="1:34" ht="15.75" customHeight="1">
      <c r="A429" s="6" t="s">
        <v>444</v>
      </c>
      <c r="B429" s="6" t="s">
        <v>481</v>
      </c>
      <c r="C429" s="6">
        <v>10314</v>
      </c>
      <c r="D429" s="6" t="s">
        <v>25</v>
      </c>
      <c r="E429" s="6"/>
      <c r="F429" s="6"/>
      <c r="G429" s="6">
        <f t="shared" si="6"/>
        <v>0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6" t="s">
        <v>413</v>
      </c>
    </row>
    <row r="430" spans="1:34" ht="15.75" customHeight="1">
      <c r="A430" s="6" t="s">
        <v>444</v>
      </c>
      <c r="B430" s="6" t="s">
        <v>482</v>
      </c>
      <c r="C430" s="6">
        <v>10308</v>
      </c>
      <c r="D430" s="6" t="s">
        <v>25</v>
      </c>
      <c r="E430" s="6"/>
      <c r="F430" s="6"/>
      <c r="G430" s="6">
        <f t="shared" si="6"/>
        <v>0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6" t="s">
        <v>413</v>
      </c>
    </row>
    <row r="431" spans="1:34" ht="15.75" customHeight="1">
      <c r="A431" s="6" t="s">
        <v>444</v>
      </c>
      <c r="B431" s="6" t="s">
        <v>483</v>
      </c>
      <c r="C431" s="6">
        <v>3521888</v>
      </c>
      <c r="D431" s="6" t="s">
        <v>25</v>
      </c>
      <c r="E431" s="6"/>
      <c r="F431" s="6"/>
      <c r="G431" s="6">
        <f t="shared" si="6"/>
        <v>0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6" t="s">
        <v>413</v>
      </c>
    </row>
    <row r="432" spans="1:34" ht="15.75" customHeight="1">
      <c r="A432" s="6" t="s">
        <v>444</v>
      </c>
      <c r="B432" s="6" t="s">
        <v>484</v>
      </c>
      <c r="C432" s="6">
        <v>2953108</v>
      </c>
      <c r="D432" s="6" t="s">
        <v>25</v>
      </c>
      <c r="E432" s="6"/>
      <c r="F432" s="6"/>
      <c r="G432" s="6">
        <f t="shared" si="6"/>
        <v>0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6" t="s">
        <v>413</v>
      </c>
    </row>
    <row r="433" spans="1:34" ht="15.75" customHeight="1">
      <c r="A433" s="6" t="s">
        <v>444</v>
      </c>
      <c r="B433" s="6" t="s">
        <v>485</v>
      </c>
      <c r="C433" s="6">
        <v>4853564</v>
      </c>
      <c r="D433" s="6" t="s">
        <v>25</v>
      </c>
      <c r="E433" s="6"/>
      <c r="F433" s="6"/>
      <c r="G433" s="6">
        <f t="shared" si="6"/>
        <v>0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6" t="s">
        <v>413</v>
      </c>
    </row>
    <row r="434" spans="1:34" ht="15.75" customHeight="1">
      <c r="A434" s="6" t="s">
        <v>444</v>
      </c>
      <c r="B434" s="6" t="s">
        <v>486</v>
      </c>
      <c r="C434" s="6">
        <v>4043785</v>
      </c>
      <c r="D434" s="6" t="s">
        <v>25</v>
      </c>
      <c r="E434" s="6"/>
      <c r="F434" s="6"/>
      <c r="G434" s="6">
        <f t="shared" si="6"/>
        <v>0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6" t="s">
        <v>413</v>
      </c>
    </row>
    <row r="435" spans="1:34" ht="15.75" customHeight="1">
      <c r="A435" s="6" t="s">
        <v>444</v>
      </c>
      <c r="B435" s="6" t="s">
        <v>487</v>
      </c>
      <c r="C435" s="6">
        <v>3808202</v>
      </c>
      <c r="D435" s="6" t="s">
        <v>25</v>
      </c>
      <c r="E435" s="6"/>
      <c r="F435" s="6"/>
      <c r="G435" s="6">
        <f t="shared" si="6"/>
        <v>0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6" t="s">
        <v>413</v>
      </c>
    </row>
    <row r="436" spans="1:34" ht="15.75" customHeight="1">
      <c r="A436" s="6" t="s">
        <v>444</v>
      </c>
      <c r="B436" s="6" t="s">
        <v>488</v>
      </c>
      <c r="C436" s="6">
        <v>2259213</v>
      </c>
      <c r="D436" s="6" t="s">
        <v>25</v>
      </c>
      <c r="E436" s="6"/>
      <c r="F436" s="6"/>
      <c r="G436" s="6">
        <f t="shared" si="6"/>
        <v>0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6" t="s">
        <v>413</v>
      </c>
    </row>
    <row r="437" spans="1:34" ht="15.75" customHeight="1">
      <c r="A437" s="6" t="s">
        <v>444</v>
      </c>
      <c r="B437" s="6" t="s">
        <v>489</v>
      </c>
      <c r="C437" s="6">
        <v>2595712</v>
      </c>
      <c r="D437" s="6" t="s">
        <v>25</v>
      </c>
      <c r="E437" s="6"/>
      <c r="F437" s="6"/>
      <c r="G437" s="6">
        <f t="shared" si="6"/>
        <v>0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6" t="s">
        <v>413</v>
      </c>
    </row>
    <row r="438" spans="1:34" ht="15.75" customHeight="1">
      <c r="A438" s="6" t="s">
        <v>444</v>
      </c>
      <c r="B438" s="6" t="s">
        <v>490</v>
      </c>
      <c r="C438" s="6">
        <v>5585256</v>
      </c>
      <c r="D438" s="6" t="s">
        <v>25</v>
      </c>
      <c r="E438" s="6"/>
      <c r="F438" s="6"/>
      <c r="G438" s="6">
        <f t="shared" si="6"/>
        <v>0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6" t="s">
        <v>413</v>
      </c>
    </row>
    <row r="439" spans="1:34" ht="15.75" customHeight="1">
      <c r="A439" s="6" t="s">
        <v>444</v>
      </c>
      <c r="B439" s="6" t="s">
        <v>491</v>
      </c>
      <c r="C439" s="6">
        <v>10207</v>
      </c>
      <c r="D439" s="6" t="s">
        <v>25</v>
      </c>
      <c r="E439" s="6"/>
      <c r="F439" s="6"/>
      <c r="G439" s="6">
        <f t="shared" si="6"/>
        <v>0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6" t="s">
        <v>413</v>
      </c>
    </row>
    <row r="440" spans="1:34" ht="15.75" customHeight="1">
      <c r="A440" s="6" t="s">
        <v>444</v>
      </c>
      <c r="B440" s="6" t="s">
        <v>492</v>
      </c>
      <c r="C440" s="6">
        <v>25498</v>
      </c>
      <c r="D440" s="6" t="s">
        <v>25</v>
      </c>
      <c r="E440" s="6"/>
      <c r="F440" s="6"/>
      <c r="G440" s="6">
        <f t="shared" si="6"/>
        <v>0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6" t="s">
        <v>413</v>
      </c>
    </row>
    <row r="441" spans="1:34" ht="15.75" customHeight="1">
      <c r="A441" s="6" t="s">
        <v>444</v>
      </c>
      <c r="B441" s="6" t="s">
        <v>493</v>
      </c>
      <c r="C441" s="6">
        <v>25714</v>
      </c>
      <c r="D441" s="6" t="s">
        <v>25</v>
      </c>
      <c r="E441" s="6"/>
      <c r="F441" s="6"/>
      <c r="G441" s="6">
        <f t="shared" si="6"/>
        <v>0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6" t="s">
        <v>413</v>
      </c>
    </row>
    <row r="442" spans="1:34" ht="15.75" customHeight="1">
      <c r="A442" s="6" t="s">
        <v>444</v>
      </c>
      <c r="B442" s="6" t="s">
        <v>494</v>
      </c>
      <c r="C442" s="6">
        <v>10399</v>
      </c>
      <c r="D442" s="6" t="s">
        <v>25</v>
      </c>
      <c r="E442" s="6"/>
      <c r="F442" s="6"/>
      <c r="G442" s="6">
        <f t="shared" si="6"/>
        <v>0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6" t="s">
        <v>413</v>
      </c>
    </row>
    <row r="443" spans="1:34" ht="15.75" customHeight="1">
      <c r="A443" s="6" t="s">
        <v>444</v>
      </c>
      <c r="B443" s="6" t="s">
        <v>495</v>
      </c>
      <c r="C443" s="6">
        <v>10269</v>
      </c>
      <c r="D443" s="6" t="s">
        <v>25</v>
      </c>
      <c r="E443" s="6"/>
      <c r="F443" s="6"/>
      <c r="G443" s="6">
        <f t="shared" si="6"/>
        <v>0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6" t="s">
        <v>413</v>
      </c>
    </row>
    <row r="444" spans="1:34" ht="15.75" customHeight="1">
      <c r="A444" s="6" t="s">
        <v>444</v>
      </c>
      <c r="B444" s="6" t="s">
        <v>496</v>
      </c>
      <c r="C444" s="6">
        <v>7995593</v>
      </c>
      <c r="D444" s="6" t="s">
        <v>25</v>
      </c>
      <c r="E444" s="6"/>
      <c r="F444" s="6"/>
      <c r="G444" s="6">
        <f t="shared" si="6"/>
        <v>0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6" t="s">
        <v>413</v>
      </c>
    </row>
    <row r="445" spans="1:34" ht="15.75" customHeight="1">
      <c r="A445" s="6" t="s">
        <v>444</v>
      </c>
      <c r="B445" s="6" t="s">
        <v>497</v>
      </c>
      <c r="C445" s="6">
        <v>10421</v>
      </c>
      <c r="D445" s="6" t="s">
        <v>25</v>
      </c>
      <c r="E445" s="6"/>
      <c r="F445" s="6"/>
      <c r="G445" s="6">
        <f t="shared" si="6"/>
        <v>0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6" t="s">
        <v>413</v>
      </c>
    </row>
    <row r="446" spans="1:34" ht="15.75" customHeight="1">
      <c r="A446" s="6" t="s">
        <v>444</v>
      </c>
      <c r="B446" s="6" t="s">
        <v>498</v>
      </c>
      <c r="C446" s="6">
        <v>10363</v>
      </c>
      <c r="D446" s="6" t="s">
        <v>25</v>
      </c>
      <c r="E446" s="6"/>
      <c r="F446" s="6"/>
      <c r="G446" s="6">
        <f t="shared" si="6"/>
        <v>0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6" t="s">
        <v>413</v>
      </c>
    </row>
    <row r="447" spans="1:34" ht="15.75" customHeight="1">
      <c r="A447" s="6" t="s">
        <v>444</v>
      </c>
      <c r="B447" s="6" t="s">
        <v>499</v>
      </c>
      <c r="C447" s="6">
        <v>10441</v>
      </c>
      <c r="D447" s="6" t="s">
        <v>25</v>
      </c>
      <c r="E447" s="6"/>
      <c r="F447" s="6"/>
      <c r="G447" s="6">
        <f t="shared" si="6"/>
        <v>0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6" t="s">
        <v>413</v>
      </c>
    </row>
    <row r="448" spans="1:34" ht="15.75" customHeight="1">
      <c r="A448" s="6" t="s">
        <v>444</v>
      </c>
      <c r="B448" s="6" t="s">
        <v>500</v>
      </c>
      <c r="C448" s="6">
        <v>10080</v>
      </c>
      <c r="D448" s="6" t="s">
        <v>25</v>
      </c>
      <c r="E448" s="6"/>
      <c r="F448" s="6"/>
      <c r="G448" s="6">
        <f t="shared" si="6"/>
        <v>0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6" t="s">
        <v>413</v>
      </c>
    </row>
    <row r="449" spans="1:34" ht="15.75" customHeight="1">
      <c r="A449" s="6" t="s">
        <v>444</v>
      </c>
      <c r="B449" s="6" t="s">
        <v>501</v>
      </c>
      <c r="C449" s="6">
        <v>2572661</v>
      </c>
      <c r="D449" s="6" t="s">
        <v>25</v>
      </c>
      <c r="E449" s="6"/>
      <c r="F449" s="6"/>
      <c r="G449" s="6">
        <f t="shared" si="6"/>
        <v>0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6" t="s">
        <v>413</v>
      </c>
    </row>
    <row r="450" spans="1:34" ht="15.75" customHeight="1">
      <c r="A450" s="6" t="s">
        <v>444</v>
      </c>
      <c r="B450" s="6" t="s">
        <v>502</v>
      </c>
      <c r="C450" s="6">
        <v>2379521</v>
      </c>
      <c r="D450" s="6" t="s">
        <v>25</v>
      </c>
      <c r="E450" s="6"/>
      <c r="F450" s="6"/>
      <c r="G450" s="6">
        <f t="shared" si="6"/>
        <v>0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6" t="s">
        <v>413</v>
      </c>
    </row>
    <row r="451" spans="1:34" ht="15.75" customHeight="1">
      <c r="A451" s="6" t="s">
        <v>444</v>
      </c>
      <c r="B451" s="6" t="s">
        <v>503</v>
      </c>
      <c r="C451" s="6">
        <v>25713</v>
      </c>
      <c r="D451" s="6" t="s">
        <v>25</v>
      </c>
      <c r="E451" s="6"/>
      <c r="F451" s="6"/>
      <c r="G451" s="6">
        <f t="shared" si="6"/>
        <v>0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6" t="s">
        <v>413</v>
      </c>
    </row>
    <row r="452" spans="1:34" ht="15.75" customHeight="1">
      <c r="A452" s="6" t="s">
        <v>444</v>
      </c>
      <c r="B452" s="6" t="s">
        <v>504</v>
      </c>
      <c r="C452" s="6">
        <v>6231791</v>
      </c>
      <c r="D452" s="6" t="s">
        <v>25</v>
      </c>
      <c r="E452" s="6"/>
      <c r="F452" s="6"/>
      <c r="G452" s="6">
        <f t="shared" si="6"/>
        <v>0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6" t="s">
        <v>413</v>
      </c>
    </row>
    <row r="453" spans="1:34" ht="15.75" customHeight="1">
      <c r="A453" s="6" t="s">
        <v>444</v>
      </c>
      <c r="B453" s="6" t="s">
        <v>505</v>
      </c>
      <c r="C453" s="6">
        <v>5172072</v>
      </c>
      <c r="D453" s="6" t="s">
        <v>25</v>
      </c>
      <c r="E453" s="6"/>
      <c r="F453" s="6"/>
      <c r="G453" s="6">
        <f t="shared" si="6"/>
        <v>0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6" t="s">
        <v>413</v>
      </c>
    </row>
    <row r="454" spans="1:34" ht="15.75" customHeight="1">
      <c r="A454" s="6" t="s">
        <v>444</v>
      </c>
      <c r="B454" s="6" t="s">
        <v>506</v>
      </c>
      <c r="C454" s="6">
        <v>3476742</v>
      </c>
      <c r="D454" s="6" t="s">
        <v>25</v>
      </c>
      <c r="E454" s="6"/>
      <c r="F454" s="6"/>
      <c r="G454" s="6">
        <f t="shared" ref="G454:G517" si="7">E454-F454</f>
        <v>0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6" t="s">
        <v>413</v>
      </c>
    </row>
    <row r="455" spans="1:34" ht="15.75" customHeight="1">
      <c r="A455" s="6" t="s">
        <v>444</v>
      </c>
      <c r="B455" s="6" t="s">
        <v>507</v>
      </c>
      <c r="C455" s="6">
        <v>3608572</v>
      </c>
      <c r="D455" s="6" t="s">
        <v>25</v>
      </c>
      <c r="E455" s="6"/>
      <c r="F455" s="6"/>
      <c r="G455" s="6">
        <f t="shared" si="7"/>
        <v>0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6" t="s">
        <v>413</v>
      </c>
    </row>
    <row r="456" spans="1:34" ht="15.75" customHeight="1">
      <c r="A456" s="6" t="s">
        <v>444</v>
      </c>
      <c r="B456" s="6" t="s">
        <v>508</v>
      </c>
      <c r="C456" s="6">
        <v>921880</v>
      </c>
      <c r="D456" s="6" t="s">
        <v>25</v>
      </c>
      <c r="E456" s="6"/>
      <c r="F456" s="6"/>
      <c r="G456" s="6">
        <f t="shared" si="7"/>
        <v>0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6" t="s">
        <v>413</v>
      </c>
    </row>
    <row r="457" spans="1:34" ht="15.75" customHeight="1">
      <c r="A457" s="6" t="s">
        <v>444</v>
      </c>
      <c r="B457" s="6" t="s">
        <v>509</v>
      </c>
      <c r="C457" s="6">
        <v>7531923</v>
      </c>
      <c r="D457" s="6" t="s">
        <v>25</v>
      </c>
      <c r="E457" s="6"/>
      <c r="F457" s="6"/>
      <c r="G457" s="6">
        <f t="shared" si="7"/>
        <v>0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6" t="s">
        <v>413</v>
      </c>
    </row>
    <row r="458" spans="1:34" ht="15.75" customHeight="1">
      <c r="A458" s="6" t="s">
        <v>444</v>
      </c>
      <c r="B458" s="6" t="s">
        <v>510</v>
      </c>
      <c r="C458" s="6">
        <v>10128</v>
      </c>
      <c r="D458" s="6" t="s">
        <v>25</v>
      </c>
      <c r="E458" s="6"/>
      <c r="F458" s="6"/>
      <c r="G458" s="6">
        <f t="shared" si="7"/>
        <v>0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6" t="s">
        <v>413</v>
      </c>
    </row>
    <row r="459" spans="1:34" ht="15.75" customHeight="1">
      <c r="A459" s="6" t="s">
        <v>444</v>
      </c>
      <c r="B459" s="6" t="s">
        <v>511</v>
      </c>
      <c r="C459" s="6">
        <v>10330</v>
      </c>
      <c r="D459" s="6" t="s">
        <v>25</v>
      </c>
      <c r="E459" s="6"/>
      <c r="F459" s="6"/>
      <c r="G459" s="6">
        <f t="shared" si="7"/>
        <v>0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6" t="s">
        <v>413</v>
      </c>
    </row>
    <row r="460" spans="1:34" ht="15.75" customHeight="1">
      <c r="A460" s="6" t="s">
        <v>444</v>
      </c>
      <c r="B460" s="6" t="s">
        <v>512</v>
      </c>
      <c r="C460" s="6">
        <v>10362</v>
      </c>
      <c r="D460" s="6" t="s">
        <v>25</v>
      </c>
      <c r="E460" s="6"/>
      <c r="F460" s="6"/>
      <c r="G460" s="6">
        <f t="shared" si="7"/>
        <v>0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6" t="s">
        <v>413</v>
      </c>
    </row>
    <row r="461" spans="1:34" ht="15.75" customHeight="1">
      <c r="A461" s="6" t="s">
        <v>444</v>
      </c>
      <c r="B461" s="6" t="s">
        <v>513</v>
      </c>
      <c r="C461" s="6">
        <v>2421073</v>
      </c>
      <c r="D461" s="6" t="s">
        <v>25</v>
      </c>
      <c r="E461" s="6"/>
      <c r="F461" s="6"/>
      <c r="G461" s="6">
        <f t="shared" si="7"/>
        <v>0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6" t="s">
        <v>413</v>
      </c>
    </row>
    <row r="462" spans="1:34" ht="15.75" customHeight="1">
      <c r="A462" s="6" t="s">
        <v>444</v>
      </c>
      <c r="B462" s="6" t="s">
        <v>514</v>
      </c>
      <c r="C462" s="6">
        <v>429335</v>
      </c>
      <c r="D462" s="6" t="s">
        <v>25</v>
      </c>
      <c r="E462" s="6"/>
      <c r="F462" s="6"/>
      <c r="G462" s="6">
        <f t="shared" si="7"/>
        <v>0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6" t="s">
        <v>413</v>
      </c>
    </row>
    <row r="463" spans="1:34" ht="15.75" customHeight="1">
      <c r="A463" s="6" t="s">
        <v>444</v>
      </c>
      <c r="B463" s="6" t="s">
        <v>515</v>
      </c>
      <c r="C463" s="6">
        <v>24128</v>
      </c>
      <c r="D463" s="6" t="s">
        <v>25</v>
      </c>
      <c r="E463" s="6"/>
      <c r="F463" s="6"/>
      <c r="G463" s="6">
        <f t="shared" si="7"/>
        <v>0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6" t="s">
        <v>413</v>
      </c>
    </row>
    <row r="464" spans="1:34" ht="15.75" customHeight="1">
      <c r="A464" s="6" t="s">
        <v>444</v>
      </c>
      <c r="B464" s="6" t="s">
        <v>516</v>
      </c>
      <c r="C464" s="6">
        <v>7861289</v>
      </c>
      <c r="D464" s="6" t="s">
        <v>25</v>
      </c>
      <c r="E464" s="6"/>
      <c r="F464" s="6"/>
      <c r="G464" s="6">
        <f t="shared" si="7"/>
        <v>0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6" t="s">
        <v>413</v>
      </c>
    </row>
    <row r="465" spans="1:34" ht="15.75" customHeight="1">
      <c r="A465" s="6" t="s">
        <v>444</v>
      </c>
      <c r="B465" s="6" t="s">
        <v>517</v>
      </c>
      <c r="C465" s="6" t="s">
        <v>518</v>
      </c>
      <c r="D465" s="6" t="s">
        <v>25</v>
      </c>
      <c r="E465" s="6"/>
      <c r="F465" s="6"/>
      <c r="G465" s="6">
        <f t="shared" si="7"/>
        <v>0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6" t="s">
        <v>413</v>
      </c>
    </row>
    <row r="466" spans="1:34" ht="15.75" customHeight="1">
      <c r="A466" s="6" t="s">
        <v>444</v>
      </c>
      <c r="B466" s="6" t="s">
        <v>519</v>
      </c>
      <c r="C466" s="6" t="s">
        <v>520</v>
      </c>
      <c r="D466" s="6" t="s">
        <v>25</v>
      </c>
      <c r="E466" s="6"/>
      <c r="F466" s="6"/>
      <c r="G466" s="6">
        <f t="shared" si="7"/>
        <v>0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6" t="s">
        <v>413</v>
      </c>
    </row>
    <row r="467" spans="1:34" ht="15.75" customHeight="1">
      <c r="A467" s="6" t="s">
        <v>444</v>
      </c>
      <c r="B467" s="6" t="s">
        <v>521</v>
      </c>
      <c r="C467" s="6">
        <v>3808180</v>
      </c>
      <c r="D467" s="6" t="s">
        <v>25</v>
      </c>
      <c r="E467" s="6"/>
      <c r="F467" s="6"/>
      <c r="G467" s="6">
        <f t="shared" si="7"/>
        <v>0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6" t="s">
        <v>413</v>
      </c>
    </row>
    <row r="468" spans="1:34" ht="15.75" customHeight="1">
      <c r="A468" s="6" t="s">
        <v>444</v>
      </c>
      <c r="B468" s="6" t="s">
        <v>522</v>
      </c>
      <c r="C468" s="6">
        <v>3121328</v>
      </c>
      <c r="D468" s="6" t="s">
        <v>25</v>
      </c>
      <c r="E468" s="6"/>
      <c r="F468" s="6"/>
      <c r="G468" s="6">
        <f t="shared" si="7"/>
        <v>0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6" t="s">
        <v>413</v>
      </c>
    </row>
    <row r="469" spans="1:34" ht="15.75" customHeight="1">
      <c r="A469" s="6" t="s">
        <v>444</v>
      </c>
      <c r="B469" s="6" t="s">
        <v>523</v>
      </c>
      <c r="C469" s="6">
        <v>5617767</v>
      </c>
      <c r="D469" s="6" t="s">
        <v>25</v>
      </c>
      <c r="E469" s="6"/>
      <c r="F469" s="6"/>
      <c r="G469" s="6">
        <f t="shared" si="7"/>
        <v>0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6" t="s">
        <v>413</v>
      </c>
    </row>
    <row r="470" spans="1:34" ht="15.75" customHeight="1">
      <c r="A470" s="6" t="s">
        <v>444</v>
      </c>
      <c r="B470" s="6" t="s">
        <v>524</v>
      </c>
      <c r="C470" s="6">
        <v>5030024</v>
      </c>
      <c r="D470" s="6" t="s">
        <v>25</v>
      </c>
      <c r="E470" s="6"/>
      <c r="F470" s="6"/>
      <c r="G470" s="6">
        <f t="shared" si="7"/>
        <v>0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6" t="s">
        <v>413</v>
      </c>
    </row>
    <row r="471" spans="1:34" ht="15.75" customHeight="1">
      <c r="A471" s="6" t="s">
        <v>444</v>
      </c>
      <c r="B471" s="6" t="s">
        <v>525</v>
      </c>
      <c r="C471" s="6">
        <v>10284</v>
      </c>
      <c r="D471" s="6" t="s">
        <v>25</v>
      </c>
      <c r="E471" s="6"/>
      <c r="F471" s="6"/>
      <c r="G471" s="6">
        <f t="shared" si="7"/>
        <v>0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6" t="s">
        <v>413</v>
      </c>
    </row>
    <row r="472" spans="1:34" ht="15.75" customHeight="1">
      <c r="A472" s="6" t="s">
        <v>444</v>
      </c>
      <c r="B472" s="6" t="s">
        <v>526</v>
      </c>
      <c r="C472" s="6">
        <v>8008786</v>
      </c>
      <c r="D472" s="6" t="s">
        <v>25</v>
      </c>
      <c r="E472" s="6"/>
      <c r="F472" s="6"/>
      <c r="G472" s="6">
        <f t="shared" si="7"/>
        <v>0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6" t="s">
        <v>413</v>
      </c>
    </row>
    <row r="473" spans="1:34" ht="15.75" customHeight="1">
      <c r="A473" s="6" t="s">
        <v>444</v>
      </c>
      <c r="B473" s="6" t="s">
        <v>527</v>
      </c>
      <c r="C473" s="6">
        <v>10309</v>
      </c>
      <c r="D473" s="6" t="s">
        <v>25</v>
      </c>
      <c r="E473" s="6"/>
      <c r="F473" s="6"/>
      <c r="G473" s="6">
        <f t="shared" si="7"/>
        <v>0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6" t="s">
        <v>413</v>
      </c>
    </row>
    <row r="474" spans="1:34" ht="15.75" customHeight="1">
      <c r="A474" s="6" t="s">
        <v>444</v>
      </c>
      <c r="B474" s="6" t="s">
        <v>528</v>
      </c>
      <c r="C474" s="6">
        <v>21618</v>
      </c>
      <c r="D474" s="6" t="s">
        <v>25</v>
      </c>
      <c r="E474" s="6"/>
      <c r="F474" s="6"/>
      <c r="G474" s="6">
        <f t="shared" si="7"/>
        <v>0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6" t="s">
        <v>413</v>
      </c>
    </row>
    <row r="475" spans="1:34" ht="15.75" customHeight="1">
      <c r="A475" s="6" t="s">
        <v>444</v>
      </c>
      <c r="B475" s="6" t="s">
        <v>529</v>
      </c>
      <c r="C475" s="6">
        <v>10304</v>
      </c>
      <c r="D475" s="6" t="s">
        <v>25</v>
      </c>
      <c r="E475" s="6"/>
      <c r="F475" s="6"/>
      <c r="G475" s="6">
        <f t="shared" si="7"/>
        <v>0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6" t="s">
        <v>413</v>
      </c>
    </row>
    <row r="476" spans="1:34" ht="15.75" customHeight="1">
      <c r="A476" s="6" t="s">
        <v>444</v>
      </c>
      <c r="B476" s="6" t="s">
        <v>530</v>
      </c>
      <c r="C476" s="6">
        <v>25882</v>
      </c>
      <c r="D476" s="6" t="s">
        <v>25</v>
      </c>
      <c r="E476" s="6"/>
      <c r="F476" s="6"/>
      <c r="G476" s="6">
        <f t="shared" si="7"/>
        <v>0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6" t="s">
        <v>413</v>
      </c>
    </row>
    <row r="477" spans="1:34" ht="15.75" customHeight="1">
      <c r="A477" s="6" t="s">
        <v>444</v>
      </c>
      <c r="B477" s="6" t="s">
        <v>531</v>
      </c>
      <c r="C477" s="6">
        <v>6289987</v>
      </c>
      <c r="D477" s="6" t="s">
        <v>25</v>
      </c>
      <c r="E477" s="6"/>
      <c r="F477" s="6"/>
      <c r="G477" s="6">
        <f t="shared" si="7"/>
        <v>0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6" t="s">
        <v>413</v>
      </c>
    </row>
    <row r="478" spans="1:34" ht="15.75" customHeight="1">
      <c r="A478" s="6" t="s">
        <v>444</v>
      </c>
      <c r="B478" s="6" t="s">
        <v>532</v>
      </c>
      <c r="C478" s="6">
        <v>6734506</v>
      </c>
      <c r="D478" s="6" t="s">
        <v>25</v>
      </c>
      <c r="E478" s="6"/>
      <c r="F478" s="6"/>
      <c r="G478" s="6">
        <f t="shared" si="7"/>
        <v>0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6" t="s">
        <v>413</v>
      </c>
    </row>
    <row r="479" spans="1:34" ht="15.75" customHeight="1">
      <c r="A479" s="6" t="s">
        <v>444</v>
      </c>
      <c r="B479" s="6" t="s">
        <v>533</v>
      </c>
      <c r="C479" s="6">
        <v>7553707</v>
      </c>
      <c r="D479" s="6" t="s">
        <v>25</v>
      </c>
      <c r="E479" s="6"/>
      <c r="F479" s="6"/>
      <c r="G479" s="6">
        <f t="shared" si="7"/>
        <v>0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6" t="s">
        <v>413</v>
      </c>
    </row>
    <row r="480" spans="1:34" ht="15.75" customHeight="1">
      <c r="A480" s="6" t="s">
        <v>444</v>
      </c>
      <c r="B480" s="6" t="s">
        <v>534</v>
      </c>
      <c r="C480" s="6">
        <v>5144160</v>
      </c>
      <c r="D480" s="6" t="s">
        <v>25</v>
      </c>
      <c r="E480" s="6"/>
      <c r="F480" s="6"/>
      <c r="G480" s="6">
        <f t="shared" si="7"/>
        <v>0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6" t="s">
        <v>413</v>
      </c>
    </row>
    <row r="481" spans="1:34" ht="15.75" customHeight="1">
      <c r="A481" s="6" t="s">
        <v>444</v>
      </c>
      <c r="B481" s="6" t="s">
        <v>535</v>
      </c>
      <c r="C481" s="6">
        <v>4640198</v>
      </c>
      <c r="D481" s="6" t="s">
        <v>25</v>
      </c>
      <c r="E481" s="6"/>
      <c r="F481" s="6"/>
      <c r="G481" s="6">
        <f t="shared" si="7"/>
        <v>0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6" t="s">
        <v>413</v>
      </c>
    </row>
    <row r="482" spans="1:34" ht="15.75" customHeight="1">
      <c r="A482" s="6" t="s">
        <v>444</v>
      </c>
      <c r="B482" s="6" t="s">
        <v>536</v>
      </c>
      <c r="C482" s="6">
        <v>2051151</v>
      </c>
      <c r="D482" s="6" t="s">
        <v>25</v>
      </c>
      <c r="E482" s="6"/>
      <c r="F482" s="6"/>
      <c r="G482" s="6">
        <f t="shared" si="7"/>
        <v>0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6" t="s">
        <v>413</v>
      </c>
    </row>
    <row r="483" spans="1:34" ht="15.75" customHeight="1">
      <c r="A483" s="6" t="s">
        <v>444</v>
      </c>
      <c r="B483" s="6" t="s">
        <v>537</v>
      </c>
      <c r="C483" s="6">
        <v>4356375</v>
      </c>
      <c r="D483" s="6" t="s">
        <v>25</v>
      </c>
      <c r="E483" s="6"/>
      <c r="F483" s="6"/>
      <c r="G483" s="6">
        <f t="shared" si="7"/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6" t="s">
        <v>413</v>
      </c>
    </row>
    <row r="484" spans="1:34" ht="15.75" customHeight="1">
      <c r="A484" s="6" t="s">
        <v>444</v>
      </c>
      <c r="B484" s="6" t="s">
        <v>538</v>
      </c>
      <c r="C484" s="6">
        <v>3811477</v>
      </c>
      <c r="D484" s="6" t="s">
        <v>25</v>
      </c>
      <c r="E484" s="6"/>
      <c r="F484" s="6"/>
      <c r="G484" s="6">
        <f t="shared" si="7"/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6" t="s">
        <v>413</v>
      </c>
    </row>
    <row r="485" spans="1:34" ht="15.75" customHeight="1">
      <c r="A485" s="6" t="s">
        <v>444</v>
      </c>
      <c r="B485" s="6" t="s">
        <v>539</v>
      </c>
      <c r="C485" s="6">
        <v>2866635</v>
      </c>
      <c r="D485" s="6" t="s">
        <v>25</v>
      </c>
      <c r="E485" s="6"/>
      <c r="F485" s="6"/>
      <c r="G485" s="6">
        <f t="shared" si="7"/>
        <v>0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6" t="s">
        <v>413</v>
      </c>
    </row>
    <row r="486" spans="1:34" ht="15.75" customHeight="1">
      <c r="A486" s="6" t="s">
        <v>444</v>
      </c>
      <c r="B486" s="6" t="s">
        <v>540</v>
      </c>
      <c r="C486" s="6">
        <v>1276467</v>
      </c>
      <c r="D486" s="6" t="s">
        <v>25</v>
      </c>
      <c r="E486" s="6"/>
      <c r="F486" s="6"/>
      <c r="G486" s="6">
        <f t="shared" si="7"/>
        <v>0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6" t="s">
        <v>413</v>
      </c>
    </row>
    <row r="487" spans="1:34" ht="15.75" customHeight="1">
      <c r="A487" s="6" t="s">
        <v>444</v>
      </c>
      <c r="B487" s="6" t="s">
        <v>541</v>
      </c>
      <c r="C487" s="6">
        <v>1349590</v>
      </c>
      <c r="D487" s="6" t="s">
        <v>25</v>
      </c>
      <c r="E487" s="6"/>
      <c r="F487" s="6"/>
      <c r="G487" s="6">
        <f t="shared" si="7"/>
        <v>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6" t="s">
        <v>413</v>
      </c>
    </row>
    <row r="488" spans="1:34" ht="15.75" customHeight="1">
      <c r="A488" s="6" t="s">
        <v>444</v>
      </c>
      <c r="B488" s="6" t="s">
        <v>542</v>
      </c>
      <c r="C488" s="6">
        <v>1533610</v>
      </c>
      <c r="D488" s="6" t="s">
        <v>25</v>
      </c>
      <c r="E488" s="6"/>
      <c r="F488" s="6"/>
      <c r="G488" s="6">
        <f t="shared" si="7"/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6" t="s">
        <v>413</v>
      </c>
    </row>
    <row r="489" spans="1:34" ht="15.75" customHeight="1">
      <c r="A489" s="6" t="s">
        <v>444</v>
      </c>
      <c r="B489" s="6" t="s">
        <v>543</v>
      </c>
      <c r="C489" s="6">
        <v>10238</v>
      </c>
      <c r="D489" s="6" t="s">
        <v>25</v>
      </c>
      <c r="E489" s="6"/>
      <c r="F489" s="6"/>
      <c r="G489" s="6">
        <f t="shared" si="7"/>
        <v>0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6" t="s">
        <v>413</v>
      </c>
    </row>
    <row r="490" spans="1:34" ht="15.75" customHeight="1">
      <c r="A490" s="6" t="s">
        <v>444</v>
      </c>
      <c r="B490" s="6" t="s">
        <v>544</v>
      </c>
      <c r="C490" s="6">
        <v>10235</v>
      </c>
      <c r="D490" s="6" t="s">
        <v>25</v>
      </c>
      <c r="E490" s="6"/>
      <c r="F490" s="6"/>
      <c r="G490" s="6">
        <f t="shared" si="7"/>
        <v>0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6" t="s">
        <v>413</v>
      </c>
    </row>
    <row r="491" spans="1:34" ht="15.75" customHeight="1">
      <c r="A491" s="6" t="s">
        <v>444</v>
      </c>
      <c r="B491" s="6" t="s">
        <v>545</v>
      </c>
      <c r="C491" s="6">
        <v>10312</v>
      </c>
      <c r="D491" s="6" t="s">
        <v>25</v>
      </c>
      <c r="E491" s="6"/>
      <c r="F491" s="6"/>
      <c r="G491" s="6">
        <f t="shared" si="7"/>
        <v>0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6" t="s">
        <v>413</v>
      </c>
    </row>
    <row r="492" spans="1:34" ht="15.75" customHeight="1">
      <c r="A492" s="6" t="s">
        <v>444</v>
      </c>
      <c r="B492" s="6" t="s">
        <v>546</v>
      </c>
      <c r="C492" s="6">
        <v>10356</v>
      </c>
      <c r="D492" s="6" t="s">
        <v>25</v>
      </c>
      <c r="E492" s="6"/>
      <c r="F492" s="6"/>
      <c r="G492" s="6">
        <f t="shared" si="7"/>
        <v>0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6" t="s">
        <v>413</v>
      </c>
    </row>
    <row r="493" spans="1:34" ht="15.75" customHeight="1">
      <c r="A493" s="6" t="s">
        <v>444</v>
      </c>
      <c r="B493" s="6" t="s">
        <v>547</v>
      </c>
      <c r="C493" s="6">
        <v>4043779</v>
      </c>
      <c r="D493" s="6" t="s">
        <v>25</v>
      </c>
      <c r="E493" s="6"/>
      <c r="F493" s="6"/>
      <c r="G493" s="6">
        <f t="shared" si="7"/>
        <v>0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6" t="s">
        <v>413</v>
      </c>
    </row>
    <row r="494" spans="1:34" ht="15.75" customHeight="1">
      <c r="A494" s="6" t="s">
        <v>444</v>
      </c>
      <c r="B494" s="6" t="s">
        <v>548</v>
      </c>
      <c r="C494" s="6">
        <v>3971447</v>
      </c>
      <c r="D494" s="6" t="s">
        <v>25</v>
      </c>
      <c r="E494" s="6"/>
      <c r="F494" s="6"/>
      <c r="G494" s="6">
        <f t="shared" si="7"/>
        <v>0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6" t="s">
        <v>413</v>
      </c>
    </row>
    <row r="495" spans="1:34" ht="15.75" customHeight="1">
      <c r="A495" s="6" t="s">
        <v>444</v>
      </c>
      <c r="B495" s="6" t="s">
        <v>549</v>
      </c>
      <c r="C495" s="6">
        <v>3655170</v>
      </c>
      <c r="D495" s="6" t="s">
        <v>25</v>
      </c>
      <c r="E495" s="6"/>
      <c r="F495" s="6"/>
      <c r="G495" s="6">
        <f t="shared" si="7"/>
        <v>0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6" t="s">
        <v>413</v>
      </c>
    </row>
    <row r="496" spans="1:34" ht="15.75" customHeight="1">
      <c r="A496" s="6" t="s">
        <v>444</v>
      </c>
      <c r="B496" s="6" t="s">
        <v>550</v>
      </c>
      <c r="C496" s="6">
        <v>7567808</v>
      </c>
      <c r="D496" s="6" t="s">
        <v>25</v>
      </c>
      <c r="E496" s="6"/>
      <c r="F496" s="6"/>
      <c r="G496" s="6">
        <f t="shared" si="7"/>
        <v>0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6" t="s">
        <v>413</v>
      </c>
    </row>
    <row r="497" spans="1:34" ht="15.75" customHeight="1">
      <c r="A497" s="6" t="s">
        <v>444</v>
      </c>
      <c r="B497" s="6" t="s">
        <v>551</v>
      </c>
      <c r="C497" s="6">
        <v>7999665</v>
      </c>
      <c r="D497" s="6" t="s">
        <v>25</v>
      </c>
      <c r="E497" s="6"/>
      <c r="F497" s="6"/>
      <c r="G497" s="6">
        <f t="shared" si="7"/>
        <v>0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6" t="s">
        <v>413</v>
      </c>
    </row>
    <row r="498" spans="1:34" ht="15.75" customHeight="1">
      <c r="A498" s="6" t="s">
        <v>444</v>
      </c>
      <c r="B498" s="6" t="s">
        <v>552</v>
      </c>
      <c r="C498" s="6">
        <v>8433361</v>
      </c>
      <c r="D498" s="6" t="s">
        <v>25</v>
      </c>
      <c r="E498" s="6"/>
      <c r="F498" s="6"/>
      <c r="G498" s="6">
        <f t="shared" si="7"/>
        <v>0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6" t="s">
        <v>413</v>
      </c>
    </row>
    <row r="499" spans="1:34" ht="15.75" customHeight="1">
      <c r="A499" s="6" t="s">
        <v>444</v>
      </c>
      <c r="B499" s="6" t="s">
        <v>553</v>
      </c>
      <c r="C499" s="6">
        <v>8433457</v>
      </c>
      <c r="D499" s="6" t="s">
        <v>25</v>
      </c>
      <c r="E499" s="6"/>
      <c r="F499" s="6"/>
      <c r="G499" s="6">
        <f t="shared" si="7"/>
        <v>0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6" t="s">
        <v>413</v>
      </c>
    </row>
    <row r="500" spans="1:34" ht="15.75" customHeight="1">
      <c r="A500" s="6" t="s">
        <v>444</v>
      </c>
      <c r="B500" s="6" t="s">
        <v>554</v>
      </c>
      <c r="C500" s="6">
        <v>6627286</v>
      </c>
      <c r="D500" s="6" t="s">
        <v>25</v>
      </c>
      <c r="E500" s="6"/>
      <c r="F500" s="6"/>
      <c r="G500" s="6">
        <f t="shared" si="7"/>
        <v>0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6" t="s">
        <v>413</v>
      </c>
    </row>
    <row r="501" spans="1:34" ht="15.75" customHeight="1">
      <c r="A501" s="6" t="s">
        <v>444</v>
      </c>
      <c r="B501" s="6" t="s">
        <v>555</v>
      </c>
      <c r="C501" s="6">
        <v>10259</v>
      </c>
      <c r="D501" s="6" t="s">
        <v>25</v>
      </c>
      <c r="E501" s="6"/>
      <c r="F501" s="6"/>
      <c r="G501" s="6">
        <f t="shared" si="7"/>
        <v>0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6" t="s">
        <v>413</v>
      </c>
    </row>
    <row r="502" spans="1:34" ht="15.75" customHeight="1">
      <c r="A502" s="6" t="s">
        <v>444</v>
      </c>
      <c r="B502" s="6" t="s">
        <v>556</v>
      </c>
      <c r="C502" s="6">
        <v>10321</v>
      </c>
      <c r="D502" s="6" t="s">
        <v>25</v>
      </c>
      <c r="E502" s="6"/>
      <c r="F502" s="6"/>
      <c r="G502" s="6">
        <f t="shared" si="7"/>
        <v>0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6" t="s">
        <v>413</v>
      </c>
    </row>
    <row r="503" spans="1:34" ht="15.75" customHeight="1">
      <c r="A503" s="6" t="s">
        <v>444</v>
      </c>
      <c r="B503" s="6" t="s">
        <v>557</v>
      </c>
      <c r="C503" s="6">
        <v>24499</v>
      </c>
      <c r="D503" s="6" t="s">
        <v>25</v>
      </c>
      <c r="E503" s="6"/>
      <c r="F503" s="6"/>
      <c r="G503" s="6">
        <f t="shared" si="7"/>
        <v>0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6" t="s">
        <v>413</v>
      </c>
    </row>
    <row r="504" spans="1:34" ht="15.75" customHeight="1">
      <c r="A504" s="6" t="s">
        <v>444</v>
      </c>
      <c r="B504" s="6" t="s">
        <v>558</v>
      </c>
      <c r="C504" s="6">
        <v>2541910</v>
      </c>
      <c r="D504" s="6" t="s">
        <v>25</v>
      </c>
      <c r="E504" s="6"/>
      <c r="F504" s="6"/>
      <c r="G504" s="6">
        <f t="shared" si="7"/>
        <v>0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6" t="s">
        <v>413</v>
      </c>
    </row>
    <row r="505" spans="1:34" ht="15.75" customHeight="1">
      <c r="A505" s="6" t="s">
        <v>444</v>
      </c>
      <c r="B505" s="6" t="s">
        <v>559</v>
      </c>
      <c r="C505" s="6">
        <v>3021104</v>
      </c>
      <c r="D505" s="6" t="s">
        <v>25</v>
      </c>
      <c r="E505" s="6"/>
      <c r="F505" s="6"/>
      <c r="G505" s="6">
        <f t="shared" si="7"/>
        <v>0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6" t="s">
        <v>413</v>
      </c>
    </row>
    <row r="506" spans="1:34" ht="15.75" customHeight="1">
      <c r="A506" s="6" t="s">
        <v>444</v>
      </c>
      <c r="B506" s="6" t="s">
        <v>560</v>
      </c>
      <c r="C506" s="6">
        <v>2811648</v>
      </c>
      <c r="D506" s="6" t="s">
        <v>25</v>
      </c>
      <c r="E506" s="6"/>
      <c r="F506" s="6"/>
      <c r="G506" s="6">
        <f t="shared" si="7"/>
        <v>0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6" t="s">
        <v>413</v>
      </c>
    </row>
    <row r="507" spans="1:34" ht="15.75" customHeight="1">
      <c r="A507" s="6" t="s">
        <v>444</v>
      </c>
      <c r="B507" s="6" t="s">
        <v>561</v>
      </c>
      <c r="C507" s="6">
        <v>3808176</v>
      </c>
      <c r="D507" s="6" t="s">
        <v>25</v>
      </c>
      <c r="E507" s="6"/>
      <c r="F507" s="6"/>
      <c r="G507" s="6">
        <f t="shared" si="7"/>
        <v>0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6" t="s">
        <v>413</v>
      </c>
    </row>
    <row r="508" spans="1:34" ht="15.75" customHeight="1">
      <c r="A508" s="6" t="s">
        <v>444</v>
      </c>
      <c r="B508" s="6" t="s">
        <v>562</v>
      </c>
      <c r="C508" s="6">
        <v>3177251</v>
      </c>
      <c r="D508" s="6" t="s">
        <v>25</v>
      </c>
      <c r="E508" s="6"/>
      <c r="F508" s="6"/>
      <c r="G508" s="6">
        <f t="shared" si="7"/>
        <v>0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6" t="s">
        <v>413</v>
      </c>
    </row>
    <row r="509" spans="1:34" ht="15.75" customHeight="1">
      <c r="A509" s="6" t="s">
        <v>444</v>
      </c>
      <c r="B509" s="6" t="s">
        <v>563</v>
      </c>
      <c r="C509" s="6">
        <v>24021</v>
      </c>
      <c r="D509" s="6" t="s">
        <v>25</v>
      </c>
      <c r="E509" s="6"/>
      <c r="F509" s="6"/>
      <c r="G509" s="6">
        <f t="shared" si="7"/>
        <v>0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6" t="s">
        <v>413</v>
      </c>
    </row>
    <row r="510" spans="1:34" ht="15.75" customHeight="1">
      <c r="A510" s="6" t="s">
        <v>444</v>
      </c>
      <c r="B510" s="6" t="s">
        <v>564</v>
      </c>
      <c r="C510" s="6">
        <v>20839</v>
      </c>
      <c r="D510" s="6" t="s">
        <v>25</v>
      </c>
      <c r="E510" s="6"/>
      <c r="F510" s="6"/>
      <c r="G510" s="6">
        <f t="shared" si="7"/>
        <v>0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6" t="s">
        <v>413</v>
      </c>
    </row>
    <row r="511" spans="1:34" ht="15.75" customHeight="1">
      <c r="A511" s="6" t="s">
        <v>444</v>
      </c>
      <c r="B511" s="6" t="s">
        <v>565</v>
      </c>
      <c r="C511" s="6">
        <v>3192881</v>
      </c>
      <c r="D511" s="6" t="s">
        <v>25</v>
      </c>
      <c r="E511" s="6"/>
      <c r="F511" s="6"/>
      <c r="G511" s="6">
        <f t="shared" si="7"/>
        <v>0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6" t="s">
        <v>413</v>
      </c>
    </row>
    <row r="512" spans="1:34" ht="15.75" customHeight="1">
      <c r="A512" s="6" t="s">
        <v>444</v>
      </c>
      <c r="B512" s="6" t="s">
        <v>566</v>
      </c>
      <c r="C512" s="6">
        <v>25432</v>
      </c>
      <c r="D512" s="6" t="s">
        <v>25</v>
      </c>
      <c r="E512" s="6"/>
      <c r="F512" s="6"/>
      <c r="G512" s="6">
        <f t="shared" si="7"/>
        <v>0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6" t="s">
        <v>413</v>
      </c>
    </row>
    <row r="513" spans="1:34" ht="15.75" customHeight="1">
      <c r="A513" s="6" t="s">
        <v>444</v>
      </c>
      <c r="B513" s="6" t="s">
        <v>567</v>
      </c>
      <c r="C513" s="6">
        <v>10360</v>
      </c>
      <c r="D513" s="6" t="s">
        <v>25</v>
      </c>
      <c r="E513" s="6"/>
      <c r="F513" s="6"/>
      <c r="G513" s="6">
        <f t="shared" si="7"/>
        <v>0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6" t="s">
        <v>413</v>
      </c>
    </row>
    <row r="514" spans="1:34" ht="15.75" customHeight="1">
      <c r="A514" s="6" t="s">
        <v>444</v>
      </c>
      <c r="B514" s="6" t="s">
        <v>568</v>
      </c>
      <c r="C514" s="6">
        <v>10328</v>
      </c>
      <c r="D514" s="6" t="s">
        <v>25</v>
      </c>
      <c r="E514" s="6"/>
      <c r="F514" s="6"/>
      <c r="G514" s="6">
        <f t="shared" si="7"/>
        <v>0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6" t="s">
        <v>413</v>
      </c>
    </row>
    <row r="515" spans="1:34" ht="15.75" customHeight="1">
      <c r="A515" s="6" t="s">
        <v>444</v>
      </c>
      <c r="B515" s="6" t="s">
        <v>569</v>
      </c>
      <c r="C515" s="6">
        <v>10428</v>
      </c>
      <c r="D515" s="6" t="s">
        <v>25</v>
      </c>
      <c r="E515" s="6"/>
      <c r="F515" s="6"/>
      <c r="G515" s="6">
        <f t="shared" si="7"/>
        <v>0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6" t="s">
        <v>413</v>
      </c>
    </row>
    <row r="516" spans="1:34" ht="15.75" customHeight="1">
      <c r="A516" s="6" t="s">
        <v>444</v>
      </c>
      <c r="B516" s="6" t="s">
        <v>570</v>
      </c>
      <c r="C516" s="6">
        <v>10315</v>
      </c>
      <c r="D516" s="6" t="s">
        <v>25</v>
      </c>
      <c r="E516" s="6"/>
      <c r="F516" s="6"/>
      <c r="G516" s="6">
        <f t="shared" si="7"/>
        <v>0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6" t="s">
        <v>413</v>
      </c>
    </row>
    <row r="517" spans="1:34" ht="15.75" customHeight="1">
      <c r="A517" s="6" t="s">
        <v>444</v>
      </c>
      <c r="B517" s="6" t="s">
        <v>571</v>
      </c>
      <c r="C517" s="6">
        <v>2622489</v>
      </c>
      <c r="D517" s="6" t="s">
        <v>25</v>
      </c>
      <c r="E517" s="6"/>
      <c r="F517" s="6"/>
      <c r="G517" s="6">
        <f t="shared" si="7"/>
        <v>0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6" t="s">
        <v>413</v>
      </c>
    </row>
    <row r="518" spans="1:34" ht="15.75" customHeight="1">
      <c r="A518" s="6" t="s">
        <v>444</v>
      </c>
      <c r="B518" s="6" t="s">
        <v>572</v>
      </c>
      <c r="C518" s="6">
        <v>2421048</v>
      </c>
      <c r="D518" s="6" t="s">
        <v>25</v>
      </c>
      <c r="E518" s="6"/>
      <c r="F518" s="6"/>
      <c r="G518" s="6">
        <f t="shared" ref="G518:G581" si="8">E518-F518</f>
        <v>0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6" t="s">
        <v>413</v>
      </c>
    </row>
    <row r="519" spans="1:34" ht="15.75" customHeight="1">
      <c r="A519" s="6" t="s">
        <v>444</v>
      </c>
      <c r="B519" s="6" t="s">
        <v>573</v>
      </c>
      <c r="C519" s="6">
        <v>6643297</v>
      </c>
      <c r="D519" s="6" t="s">
        <v>25</v>
      </c>
      <c r="E519" s="6"/>
      <c r="F519" s="6"/>
      <c r="G519" s="6">
        <f t="shared" si="8"/>
        <v>0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6" t="s">
        <v>413</v>
      </c>
    </row>
    <row r="520" spans="1:34" ht="15.75" customHeight="1">
      <c r="A520" s="6" t="s">
        <v>444</v>
      </c>
      <c r="B520" s="6" t="s">
        <v>574</v>
      </c>
      <c r="C520" s="6">
        <v>2233801</v>
      </c>
      <c r="D520" s="6" t="s">
        <v>25</v>
      </c>
      <c r="E520" s="6"/>
      <c r="F520" s="6"/>
      <c r="G520" s="6">
        <f t="shared" si="8"/>
        <v>0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6" t="s">
        <v>413</v>
      </c>
    </row>
    <row r="521" spans="1:34" ht="15.75" customHeight="1">
      <c r="A521" s="6" t="s">
        <v>444</v>
      </c>
      <c r="B521" s="6" t="s">
        <v>575</v>
      </c>
      <c r="C521" s="6">
        <v>2683423</v>
      </c>
      <c r="D521" s="6" t="s">
        <v>25</v>
      </c>
      <c r="E521" s="6"/>
      <c r="F521" s="6"/>
      <c r="G521" s="6">
        <f t="shared" si="8"/>
        <v>0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6" t="s">
        <v>413</v>
      </c>
    </row>
    <row r="522" spans="1:34" ht="15.75" customHeight="1">
      <c r="A522" s="6" t="s">
        <v>444</v>
      </c>
      <c r="B522" s="6" t="s">
        <v>576</v>
      </c>
      <c r="C522" s="6">
        <v>1617079</v>
      </c>
      <c r="D522" s="6" t="s">
        <v>25</v>
      </c>
      <c r="E522" s="6"/>
      <c r="F522" s="6"/>
      <c r="G522" s="6">
        <f t="shared" si="8"/>
        <v>0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6" t="s">
        <v>413</v>
      </c>
    </row>
    <row r="523" spans="1:34" ht="15.75" customHeight="1">
      <c r="A523" s="6" t="s">
        <v>444</v>
      </c>
      <c r="B523" s="6" t="s">
        <v>577</v>
      </c>
      <c r="C523" s="6">
        <v>1099744</v>
      </c>
      <c r="D523" s="6" t="s">
        <v>25</v>
      </c>
      <c r="E523" s="6"/>
      <c r="F523" s="6"/>
      <c r="G523" s="6">
        <f t="shared" si="8"/>
        <v>0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6" t="s">
        <v>413</v>
      </c>
    </row>
    <row r="524" spans="1:34" ht="15.75" customHeight="1">
      <c r="A524" s="6" t="s">
        <v>444</v>
      </c>
      <c r="B524" s="6" t="s">
        <v>578</v>
      </c>
      <c r="C524" s="6">
        <v>1099745</v>
      </c>
      <c r="D524" s="6" t="s">
        <v>25</v>
      </c>
      <c r="E524" s="6"/>
      <c r="F524" s="6"/>
      <c r="G524" s="6">
        <f t="shared" si="8"/>
        <v>0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6" t="s">
        <v>413</v>
      </c>
    </row>
    <row r="525" spans="1:34" ht="15.75" customHeight="1">
      <c r="A525" s="6" t="s">
        <v>444</v>
      </c>
      <c r="B525" s="6" t="s">
        <v>579</v>
      </c>
      <c r="C525" s="6">
        <v>3808162</v>
      </c>
      <c r="D525" s="6" t="s">
        <v>25</v>
      </c>
      <c r="E525" s="6"/>
      <c r="F525" s="6"/>
      <c r="G525" s="6">
        <f t="shared" si="8"/>
        <v>0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6" t="s">
        <v>413</v>
      </c>
    </row>
    <row r="526" spans="1:34" ht="15.75" customHeight="1">
      <c r="A526" s="6" t="s">
        <v>444</v>
      </c>
      <c r="B526" s="6" t="s">
        <v>580</v>
      </c>
      <c r="C526" s="6">
        <v>3811438</v>
      </c>
      <c r="D526" s="6" t="s">
        <v>25</v>
      </c>
      <c r="E526" s="6"/>
      <c r="F526" s="6"/>
      <c r="G526" s="6">
        <f t="shared" si="8"/>
        <v>0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6" t="s">
        <v>413</v>
      </c>
    </row>
    <row r="527" spans="1:34" ht="15.75" customHeight="1">
      <c r="A527" s="6" t="s">
        <v>444</v>
      </c>
      <c r="B527" s="6" t="s">
        <v>581</v>
      </c>
      <c r="C527" s="6">
        <v>5329554</v>
      </c>
      <c r="D527" s="6" t="s">
        <v>25</v>
      </c>
      <c r="E527" s="6"/>
      <c r="F527" s="6"/>
      <c r="G527" s="6">
        <f t="shared" si="8"/>
        <v>0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6" t="s">
        <v>413</v>
      </c>
    </row>
    <row r="528" spans="1:34" ht="15.75" customHeight="1">
      <c r="A528" s="6" t="s">
        <v>444</v>
      </c>
      <c r="B528" s="6" t="s">
        <v>582</v>
      </c>
      <c r="C528" s="6">
        <v>2970552</v>
      </c>
      <c r="D528" s="6" t="s">
        <v>25</v>
      </c>
      <c r="E528" s="6"/>
      <c r="F528" s="6"/>
      <c r="G528" s="6">
        <f t="shared" si="8"/>
        <v>0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6" t="s">
        <v>413</v>
      </c>
    </row>
    <row r="529" spans="1:34" ht="15.75" customHeight="1">
      <c r="A529" s="6" t="s">
        <v>444</v>
      </c>
      <c r="B529" s="6" t="s">
        <v>583</v>
      </c>
      <c r="C529" s="6">
        <v>10234</v>
      </c>
      <c r="D529" s="6" t="s">
        <v>25</v>
      </c>
      <c r="E529" s="6"/>
      <c r="F529" s="6"/>
      <c r="G529" s="6">
        <f t="shared" si="8"/>
        <v>0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6" t="s">
        <v>413</v>
      </c>
    </row>
    <row r="530" spans="1:34" ht="15.75" customHeight="1">
      <c r="A530" s="6" t="s">
        <v>444</v>
      </c>
      <c r="B530" s="6" t="s">
        <v>584</v>
      </c>
      <c r="C530" s="6">
        <v>10355</v>
      </c>
      <c r="D530" s="6" t="s">
        <v>25</v>
      </c>
      <c r="E530" s="6"/>
      <c r="F530" s="6"/>
      <c r="G530" s="6">
        <f t="shared" si="8"/>
        <v>0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6" t="s">
        <v>413</v>
      </c>
    </row>
    <row r="531" spans="1:34" ht="15.75" customHeight="1">
      <c r="A531" s="6" t="s">
        <v>444</v>
      </c>
      <c r="B531" s="6" t="s">
        <v>585</v>
      </c>
      <c r="C531" s="6">
        <v>10348</v>
      </c>
      <c r="D531" s="6" t="s">
        <v>25</v>
      </c>
      <c r="E531" s="6"/>
      <c r="F531" s="6"/>
      <c r="G531" s="6">
        <f t="shared" si="8"/>
        <v>0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6" t="s">
        <v>413</v>
      </c>
    </row>
    <row r="532" spans="1:34" ht="15.75" customHeight="1">
      <c r="A532" s="6" t="s">
        <v>444</v>
      </c>
      <c r="B532" s="6" t="s">
        <v>586</v>
      </c>
      <c r="C532" s="6">
        <v>24559</v>
      </c>
      <c r="D532" s="6" t="s">
        <v>25</v>
      </c>
      <c r="E532" s="6"/>
      <c r="F532" s="6"/>
      <c r="G532" s="6">
        <f t="shared" si="8"/>
        <v>0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6" t="s">
        <v>413</v>
      </c>
    </row>
    <row r="533" spans="1:34" ht="15.75" customHeight="1">
      <c r="A533" s="6" t="s">
        <v>444</v>
      </c>
      <c r="B533" s="6" t="s">
        <v>583</v>
      </c>
      <c r="C533" s="6">
        <v>25241</v>
      </c>
      <c r="D533" s="6" t="s">
        <v>25</v>
      </c>
      <c r="E533" s="6"/>
      <c r="F533" s="6"/>
      <c r="G533" s="6">
        <f t="shared" si="8"/>
        <v>0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6" t="s">
        <v>413</v>
      </c>
    </row>
    <row r="534" spans="1:34" ht="15.75" customHeight="1">
      <c r="A534" s="6" t="s">
        <v>444</v>
      </c>
      <c r="B534" s="6" t="s">
        <v>587</v>
      </c>
      <c r="C534" s="6">
        <v>7564584</v>
      </c>
      <c r="D534" s="6" t="s">
        <v>25</v>
      </c>
      <c r="E534" s="6"/>
      <c r="F534" s="6"/>
      <c r="G534" s="6">
        <f t="shared" si="8"/>
        <v>0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6" t="s">
        <v>413</v>
      </c>
    </row>
    <row r="535" spans="1:34" ht="15.75" customHeight="1">
      <c r="A535" s="6" t="s">
        <v>444</v>
      </c>
      <c r="B535" s="6" t="s">
        <v>588</v>
      </c>
      <c r="C535" s="6">
        <v>7564517</v>
      </c>
      <c r="D535" s="6" t="s">
        <v>25</v>
      </c>
      <c r="E535" s="6"/>
      <c r="F535" s="6"/>
      <c r="G535" s="6">
        <f t="shared" si="8"/>
        <v>0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6" t="s">
        <v>413</v>
      </c>
    </row>
    <row r="536" spans="1:34" ht="15.75" customHeight="1">
      <c r="A536" s="6" t="s">
        <v>444</v>
      </c>
      <c r="B536" s="6" t="s">
        <v>589</v>
      </c>
      <c r="C536" s="6">
        <v>7567964</v>
      </c>
      <c r="D536" s="6" t="s">
        <v>25</v>
      </c>
      <c r="E536" s="6"/>
      <c r="F536" s="6"/>
      <c r="G536" s="6">
        <f t="shared" si="8"/>
        <v>0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6" t="s">
        <v>413</v>
      </c>
    </row>
    <row r="537" spans="1:34" ht="15.75" customHeight="1">
      <c r="A537" s="6" t="s">
        <v>444</v>
      </c>
      <c r="B537" s="6" t="s">
        <v>487</v>
      </c>
      <c r="C537" s="6">
        <v>3808166</v>
      </c>
      <c r="D537" s="6" t="s">
        <v>25</v>
      </c>
      <c r="E537" s="6"/>
      <c r="F537" s="6"/>
      <c r="G537" s="6">
        <f t="shared" si="8"/>
        <v>0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6" t="s">
        <v>413</v>
      </c>
    </row>
    <row r="538" spans="1:34" ht="15.75" customHeight="1">
      <c r="A538" s="6" t="s">
        <v>444</v>
      </c>
      <c r="B538" s="6" t="s">
        <v>590</v>
      </c>
      <c r="C538" s="6">
        <v>3481915</v>
      </c>
      <c r="D538" s="6" t="s">
        <v>25</v>
      </c>
      <c r="E538" s="6"/>
      <c r="F538" s="6"/>
      <c r="G538" s="6">
        <f t="shared" si="8"/>
        <v>0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6" t="s">
        <v>413</v>
      </c>
    </row>
    <row r="539" spans="1:34" ht="15.75" customHeight="1">
      <c r="A539" s="6" t="s">
        <v>444</v>
      </c>
      <c r="B539" s="6" t="s">
        <v>591</v>
      </c>
      <c r="C539" s="6">
        <v>4215578</v>
      </c>
      <c r="D539" s="6" t="s">
        <v>25</v>
      </c>
      <c r="E539" s="6"/>
      <c r="F539" s="6"/>
      <c r="G539" s="6">
        <f t="shared" si="8"/>
        <v>0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6" t="s">
        <v>413</v>
      </c>
    </row>
    <row r="540" spans="1:34" ht="15.75" customHeight="1">
      <c r="A540" s="6" t="s">
        <v>444</v>
      </c>
      <c r="B540" s="6" t="s">
        <v>592</v>
      </c>
      <c r="C540" s="6">
        <v>3170263</v>
      </c>
      <c r="D540" s="6" t="s">
        <v>25</v>
      </c>
      <c r="E540" s="6"/>
      <c r="F540" s="6"/>
      <c r="G540" s="6">
        <f t="shared" si="8"/>
        <v>0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6" t="s">
        <v>413</v>
      </c>
    </row>
    <row r="541" spans="1:34" ht="15.75" customHeight="1">
      <c r="A541" s="6" t="s">
        <v>444</v>
      </c>
      <c r="B541" s="6" t="s">
        <v>593</v>
      </c>
      <c r="C541" s="6">
        <v>5484552</v>
      </c>
      <c r="D541" s="6" t="s">
        <v>25</v>
      </c>
      <c r="E541" s="6"/>
      <c r="F541" s="6"/>
      <c r="G541" s="6">
        <f t="shared" si="8"/>
        <v>0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6" t="s">
        <v>413</v>
      </c>
    </row>
    <row r="542" spans="1:34" ht="15.75" customHeight="1">
      <c r="A542" s="6" t="s">
        <v>444</v>
      </c>
      <c r="B542" s="6" t="s">
        <v>594</v>
      </c>
      <c r="C542" s="6">
        <v>5276454</v>
      </c>
      <c r="D542" s="6" t="s">
        <v>25</v>
      </c>
      <c r="E542" s="6"/>
      <c r="F542" s="6"/>
      <c r="G542" s="6">
        <f t="shared" si="8"/>
        <v>0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6" t="s">
        <v>413</v>
      </c>
    </row>
    <row r="543" spans="1:34" ht="15.75" customHeight="1">
      <c r="A543" s="6" t="s">
        <v>444</v>
      </c>
      <c r="B543" s="6" t="s">
        <v>595</v>
      </c>
      <c r="C543" s="6">
        <v>9968</v>
      </c>
      <c r="D543" s="6" t="s">
        <v>25</v>
      </c>
      <c r="E543" s="6"/>
      <c r="F543" s="6"/>
      <c r="G543" s="6">
        <f t="shared" si="8"/>
        <v>0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6" t="s">
        <v>413</v>
      </c>
    </row>
    <row r="544" spans="1:34" ht="15.75" customHeight="1">
      <c r="A544" s="6" t="s">
        <v>444</v>
      </c>
      <c r="B544" s="6" t="s">
        <v>596</v>
      </c>
      <c r="C544" s="6">
        <v>2595741</v>
      </c>
      <c r="D544" s="6" t="s">
        <v>25</v>
      </c>
      <c r="E544" s="6"/>
      <c r="F544" s="6"/>
      <c r="G544" s="6">
        <f t="shared" si="8"/>
        <v>0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6" t="s">
        <v>413</v>
      </c>
    </row>
    <row r="545" spans="1:34" ht="15.75" customHeight="1">
      <c r="A545" s="6" t="s">
        <v>444</v>
      </c>
      <c r="B545" s="6" t="s">
        <v>597</v>
      </c>
      <c r="C545" s="6">
        <v>24487</v>
      </c>
      <c r="D545" s="6" t="s">
        <v>25</v>
      </c>
      <c r="E545" s="6"/>
      <c r="F545" s="6"/>
      <c r="G545" s="6">
        <f t="shared" si="8"/>
        <v>0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6" t="s">
        <v>413</v>
      </c>
    </row>
    <row r="546" spans="1:34" ht="15.75" customHeight="1">
      <c r="A546" s="6" t="s">
        <v>444</v>
      </c>
      <c r="B546" s="6" t="s">
        <v>598</v>
      </c>
      <c r="C546" s="6">
        <v>10320</v>
      </c>
      <c r="D546" s="6" t="s">
        <v>25</v>
      </c>
      <c r="E546" s="6"/>
      <c r="F546" s="6"/>
      <c r="G546" s="6">
        <f t="shared" si="8"/>
        <v>0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6" t="s">
        <v>413</v>
      </c>
    </row>
    <row r="547" spans="1:34" ht="15.75" customHeight="1">
      <c r="A547" s="6" t="s">
        <v>444</v>
      </c>
      <c r="B547" s="6" t="s">
        <v>599</v>
      </c>
      <c r="C547" s="6">
        <v>20049</v>
      </c>
      <c r="D547" s="6" t="s">
        <v>25</v>
      </c>
      <c r="E547" s="6"/>
      <c r="F547" s="6"/>
      <c r="G547" s="6">
        <f t="shared" si="8"/>
        <v>0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6" t="s">
        <v>413</v>
      </c>
    </row>
    <row r="548" spans="1:34" ht="15.75" customHeight="1">
      <c r="A548" s="6" t="s">
        <v>444</v>
      </c>
      <c r="B548" s="6" t="s">
        <v>600</v>
      </c>
      <c r="C548" s="6">
        <v>25920</v>
      </c>
      <c r="D548" s="6" t="s">
        <v>25</v>
      </c>
      <c r="E548" s="6"/>
      <c r="F548" s="6"/>
      <c r="G548" s="6">
        <f t="shared" si="8"/>
        <v>0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6" t="s">
        <v>413</v>
      </c>
    </row>
    <row r="549" spans="1:34" ht="15.75" customHeight="1">
      <c r="A549" s="6" t="s">
        <v>444</v>
      </c>
      <c r="B549" s="6" t="s">
        <v>601</v>
      </c>
      <c r="C549" s="6">
        <v>511076</v>
      </c>
      <c r="D549" s="6" t="s">
        <v>25</v>
      </c>
      <c r="E549" s="6"/>
      <c r="F549" s="6"/>
      <c r="G549" s="6">
        <f t="shared" si="8"/>
        <v>0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6" t="s">
        <v>413</v>
      </c>
    </row>
    <row r="550" spans="1:34" ht="15.75" customHeight="1">
      <c r="A550" s="6" t="s">
        <v>444</v>
      </c>
      <c r="B550" s="6" t="s">
        <v>602</v>
      </c>
      <c r="C550" s="6">
        <v>7676894</v>
      </c>
      <c r="D550" s="6" t="s">
        <v>25</v>
      </c>
      <c r="E550" s="6"/>
      <c r="F550" s="6"/>
      <c r="G550" s="6">
        <f t="shared" si="8"/>
        <v>0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6" t="s">
        <v>413</v>
      </c>
    </row>
    <row r="551" spans="1:34" ht="15.75" customHeight="1">
      <c r="A551" s="6" t="s">
        <v>444</v>
      </c>
      <c r="B551" s="6" t="s">
        <v>603</v>
      </c>
      <c r="C551" s="6">
        <v>7861275</v>
      </c>
      <c r="D551" s="6" t="s">
        <v>25</v>
      </c>
      <c r="E551" s="6"/>
      <c r="F551" s="6"/>
      <c r="G551" s="6">
        <f t="shared" si="8"/>
        <v>0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6" t="s">
        <v>413</v>
      </c>
    </row>
    <row r="552" spans="1:34" ht="15.75" customHeight="1">
      <c r="A552" s="6" t="s">
        <v>444</v>
      </c>
      <c r="B552" s="6" t="s">
        <v>604</v>
      </c>
      <c r="C552" s="6">
        <v>59668906</v>
      </c>
      <c r="D552" s="6" t="s">
        <v>25</v>
      </c>
      <c r="E552" s="6"/>
      <c r="F552" s="6"/>
      <c r="G552" s="6">
        <f t="shared" si="8"/>
        <v>0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6" t="s">
        <v>413</v>
      </c>
    </row>
    <row r="553" spans="1:34" ht="15.75" customHeight="1">
      <c r="A553" s="6" t="s">
        <v>444</v>
      </c>
      <c r="B553" s="6" t="s">
        <v>605</v>
      </c>
      <c r="C553" s="6">
        <v>10174</v>
      </c>
      <c r="D553" s="6" t="s">
        <v>25</v>
      </c>
      <c r="E553" s="6"/>
      <c r="F553" s="6"/>
      <c r="G553" s="6">
        <f t="shared" si="8"/>
        <v>0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6" t="s">
        <v>413</v>
      </c>
    </row>
    <row r="554" spans="1:34" ht="15.75" customHeight="1">
      <c r="A554" s="6" t="s">
        <v>444</v>
      </c>
      <c r="B554" s="6" t="s">
        <v>606</v>
      </c>
      <c r="C554" s="6">
        <v>10276</v>
      </c>
      <c r="D554" s="6" t="s">
        <v>25</v>
      </c>
      <c r="E554" s="6"/>
      <c r="F554" s="6"/>
      <c r="G554" s="6">
        <f t="shared" si="8"/>
        <v>0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6" t="s">
        <v>413</v>
      </c>
    </row>
    <row r="555" spans="1:34" ht="15.75" customHeight="1">
      <c r="A555" s="6" t="s">
        <v>444</v>
      </c>
      <c r="B555" s="6" t="s">
        <v>607</v>
      </c>
      <c r="C555" s="6">
        <v>10265</v>
      </c>
      <c r="D555" s="6" t="s">
        <v>25</v>
      </c>
      <c r="E555" s="6"/>
      <c r="F555" s="6"/>
      <c r="G555" s="6">
        <f t="shared" si="8"/>
        <v>0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6" t="s">
        <v>413</v>
      </c>
    </row>
    <row r="556" spans="1:34" ht="15.75" customHeight="1">
      <c r="A556" s="6" t="s">
        <v>444</v>
      </c>
      <c r="B556" s="6" t="s">
        <v>608</v>
      </c>
      <c r="C556" s="6" t="s">
        <v>609</v>
      </c>
      <c r="D556" s="6" t="s">
        <v>25</v>
      </c>
      <c r="E556" s="6"/>
      <c r="F556" s="6"/>
      <c r="G556" s="6">
        <f t="shared" si="8"/>
        <v>0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6" t="s">
        <v>413</v>
      </c>
    </row>
    <row r="557" spans="1:34" ht="15.75" customHeight="1">
      <c r="A557" s="6" t="s">
        <v>444</v>
      </c>
      <c r="B557" s="6" t="s">
        <v>610</v>
      </c>
      <c r="C557" s="6">
        <v>6438451</v>
      </c>
      <c r="D557" s="6" t="s">
        <v>25</v>
      </c>
      <c r="E557" s="6"/>
      <c r="F557" s="6"/>
      <c r="G557" s="6">
        <f t="shared" si="8"/>
        <v>0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6" t="s">
        <v>413</v>
      </c>
    </row>
    <row r="558" spans="1:34" ht="15.75" customHeight="1">
      <c r="A558" s="6" t="s">
        <v>444</v>
      </c>
      <c r="B558" s="6" t="s">
        <v>611</v>
      </c>
      <c r="C558" s="6">
        <v>24561</v>
      </c>
      <c r="D558" s="6" t="s">
        <v>25</v>
      </c>
      <c r="E558" s="6"/>
      <c r="F558" s="6"/>
      <c r="G558" s="6">
        <f t="shared" si="8"/>
        <v>0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6" t="s">
        <v>413</v>
      </c>
    </row>
    <row r="559" spans="1:34" ht="15.75" customHeight="1">
      <c r="A559" s="6" t="s">
        <v>444</v>
      </c>
      <c r="B559" s="6" t="s">
        <v>612</v>
      </c>
      <c r="C559" s="6">
        <v>10376</v>
      </c>
      <c r="D559" s="6" t="s">
        <v>25</v>
      </c>
      <c r="E559" s="6"/>
      <c r="F559" s="6"/>
      <c r="G559" s="6">
        <f t="shared" si="8"/>
        <v>0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6" t="s">
        <v>413</v>
      </c>
    </row>
    <row r="560" spans="1:34" ht="15.75" customHeight="1">
      <c r="A560" s="6" t="s">
        <v>444</v>
      </c>
      <c r="B560" s="6" t="s">
        <v>613</v>
      </c>
      <c r="C560" s="6">
        <v>10279</v>
      </c>
      <c r="D560" s="6" t="s">
        <v>25</v>
      </c>
      <c r="E560" s="6"/>
      <c r="F560" s="6"/>
      <c r="G560" s="6">
        <f t="shared" si="8"/>
        <v>0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6" t="s">
        <v>413</v>
      </c>
    </row>
    <row r="561" spans="1:34" ht="15.75" customHeight="1">
      <c r="A561" s="6" t="s">
        <v>444</v>
      </c>
      <c r="B561" s="6" t="s">
        <v>614</v>
      </c>
      <c r="C561" s="6">
        <v>10287</v>
      </c>
      <c r="D561" s="6" t="s">
        <v>25</v>
      </c>
      <c r="E561" s="6"/>
      <c r="F561" s="6"/>
      <c r="G561" s="6">
        <f t="shared" si="8"/>
        <v>0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6" t="s">
        <v>413</v>
      </c>
    </row>
    <row r="562" spans="1:34" ht="15.75" customHeight="1">
      <c r="A562" s="6" t="s">
        <v>444</v>
      </c>
      <c r="B562" s="6" t="s">
        <v>615</v>
      </c>
      <c r="C562" s="6">
        <v>10293</v>
      </c>
      <c r="D562" s="6" t="s">
        <v>25</v>
      </c>
      <c r="E562" s="6"/>
      <c r="F562" s="6"/>
      <c r="G562" s="6">
        <f t="shared" si="8"/>
        <v>0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6" t="s">
        <v>413</v>
      </c>
    </row>
    <row r="563" spans="1:34" ht="15.75" customHeight="1">
      <c r="A563" s="6" t="s">
        <v>444</v>
      </c>
      <c r="B563" s="6" t="s">
        <v>616</v>
      </c>
      <c r="C563" s="6">
        <v>10294</v>
      </c>
      <c r="D563" s="6" t="s">
        <v>25</v>
      </c>
      <c r="E563" s="6"/>
      <c r="F563" s="6"/>
      <c r="G563" s="6">
        <f t="shared" si="8"/>
        <v>0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6" t="s">
        <v>413</v>
      </c>
    </row>
    <row r="564" spans="1:34" ht="15.75" customHeight="1">
      <c r="A564" s="6" t="s">
        <v>444</v>
      </c>
      <c r="B564" s="6" t="s">
        <v>617</v>
      </c>
      <c r="C564" s="6">
        <v>5556615</v>
      </c>
      <c r="D564" s="6" t="s">
        <v>25</v>
      </c>
      <c r="E564" s="6"/>
      <c r="F564" s="6"/>
      <c r="G564" s="6">
        <f t="shared" si="8"/>
        <v>0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6" t="s">
        <v>413</v>
      </c>
    </row>
    <row r="565" spans="1:34" ht="15.75" customHeight="1">
      <c r="A565" s="6" t="s">
        <v>444</v>
      </c>
      <c r="B565" s="6" t="s">
        <v>618</v>
      </c>
      <c r="C565" s="6">
        <v>4259999</v>
      </c>
      <c r="D565" s="6" t="s">
        <v>25</v>
      </c>
      <c r="E565" s="6"/>
      <c r="F565" s="6"/>
      <c r="G565" s="6">
        <f t="shared" si="8"/>
        <v>0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6" t="s">
        <v>413</v>
      </c>
    </row>
    <row r="566" spans="1:34" ht="15.75" customHeight="1">
      <c r="A566" s="6" t="s">
        <v>444</v>
      </c>
      <c r="B566" s="6" t="s">
        <v>619</v>
      </c>
      <c r="C566" s="6">
        <v>5142675</v>
      </c>
      <c r="D566" s="6" t="s">
        <v>25</v>
      </c>
      <c r="E566" s="6"/>
      <c r="F566" s="6"/>
      <c r="G566" s="6">
        <f t="shared" si="8"/>
        <v>0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6" t="s">
        <v>413</v>
      </c>
    </row>
    <row r="567" spans="1:34" ht="15.75" customHeight="1">
      <c r="A567" s="6" t="s">
        <v>444</v>
      </c>
      <c r="B567" s="6" t="s">
        <v>620</v>
      </c>
      <c r="C567" s="6">
        <v>4876266</v>
      </c>
      <c r="D567" s="6" t="s">
        <v>25</v>
      </c>
      <c r="E567" s="6"/>
      <c r="F567" s="6"/>
      <c r="G567" s="6">
        <f t="shared" si="8"/>
        <v>0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6" t="s">
        <v>413</v>
      </c>
    </row>
    <row r="568" spans="1:34" ht="15.75" customHeight="1">
      <c r="A568" s="6" t="s">
        <v>444</v>
      </c>
      <c r="B568" s="6" t="s">
        <v>621</v>
      </c>
      <c r="C568" s="6">
        <v>3511441</v>
      </c>
      <c r="D568" s="6" t="s">
        <v>25</v>
      </c>
      <c r="E568" s="6"/>
      <c r="F568" s="6"/>
      <c r="G568" s="6">
        <f t="shared" si="8"/>
        <v>0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6" t="s">
        <v>413</v>
      </c>
    </row>
    <row r="569" spans="1:34" ht="15.75" customHeight="1">
      <c r="A569" s="6" t="s">
        <v>444</v>
      </c>
      <c r="B569" s="6" t="s">
        <v>620</v>
      </c>
      <c r="C569" s="6">
        <v>4876266</v>
      </c>
      <c r="D569" s="6" t="s">
        <v>25</v>
      </c>
      <c r="E569" s="6"/>
      <c r="F569" s="6"/>
      <c r="G569" s="6">
        <f t="shared" si="8"/>
        <v>0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6" t="s">
        <v>413</v>
      </c>
    </row>
    <row r="570" spans="1:34" ht="15.75" customHeight="1">
      <c r="A570" s="6" t="s">
        <v>444</v>
      </c>
      <c r="B570" s="6" t="s">
        <v>621</v>
      </c>
      <c r="C570" s="6">
        <v>3511441</v>
      </c>
      <c r="D570" s="6" t="s">
        <v>25</v>
      </c>
      <c r="E570" s="6"/>
      <c r="F570" s="6"/>
      <c r="G570" s="6">
        <f t="shared" si="8"/>
        <v>0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6" t="s">
        <v>413</v>
      </c>
    </row>
    <row r="571" spans="1:34" ht="15.75" customHeight="1">
      <c r="A571" s="6" t="s">
        <v>444</v>
      </c>
      <c r="B571" s="6" t="s">
        <v>622</v>
      </c>
      <c r="C571" s="6">
        <v>3808190</v>
      </c>
      <c r="D571" s="6" t="s">
        <v>25</v>
      </c>
      <c r="E571" s="6"/>
      <c r="F571" s="6"/>
      <c r="G571" s="6">
        <f t="shared" si="8"/>
        <v>0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6" t="s">
        <v>413</v>
      </c>
    </row>
    <row r="572" spans="1:34" ht="15.75" customHeight="1">
      <c r="A572" s="6" t="s">
        <v>444</v>
      </c>
      <c r="B572" s="6" t="s">
        <v>623</v>
      </c>
      <c r="C572" s="6">
        <v>4050093</v>
      </c>
      <c r="D572" s="6" t="s">
        <v>25</v>
      </c>
      <c r="E572" s="6"/>
      <c r="F572" s="6"/>
      <c r="G572" s="6">
        <f t="shared" si="8"/>
        <v>0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6" t="s">
        <v>413</v>
      </c>
    </row>
    <row r="573" spans="1:34" ht="15.75" customHeight="1">
      <c r="A573" s="6" t="s">
        <v>444</v>
      </c>
      <c r="B573" s="6" t="s">
        <v>624</v>
      </c>
      <c r="C573" s="6">
        <v>3869323</v>
      </c>
      <c r="D573" s="6" t="s">
        <v>25</v>
      </c>
      <c r="E573" s="6"/>
      <c r="F573" s="6"/>
      <c r="G573" s="6">
        <f t="shared" si="8"/>
        <v>0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6" t="s">
        <v>413</v>
      </c>
    </row>
    <row r="574" spans="1:34" ht="15.75" customHeight="1">
      <c r="A574" s="6" t="s">
        <v>444</v>
      </c>
      <c r="B574" s="6" t="s">
        <v>625</v>
      </c>
      <c r="C574" s="6">
        <v>2734966</v>
      </c>
      <c r="D574" s="6" t="s">
        <v>25</v>
      </c>
      <c r="E574" s="6"/>
      <c r="F574" s="6"/>
      <c r="G574" s="6">
        <f t="shared" si="8"/>
        <v>0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6" t="s">
        <v>413</v>
      </c>
    </row>
    <row r="575" spans="1:34" ht="15.75" customHeight="1">
      <c r="A575" s="6" t="s">
        <v>444</v>
      </c>
      <c r="B575" s="6" t="s">
        <v>626</v>
      </c>
      <c r="C575" s="6">
        <v>6287882</v>
      </c>
      <c r="D575" s="6" t="s">
        <v>25</v>
      </c>
      <c r="E575" s="6"/>
      <c r="F575" s="6"/>
      <c r="G575" s="6">
        <f t="shared" si="8"/>
        <v>0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6" t="s">
        <v>413</v>
      </c>
    </row>
    <row r="576" spans="1:34" ht="15.75" customHeight="1">
      <c r="A576" s="6" t="s">
        <v>444</v>
      </c>
      <c r="B576" s="6" t="s">
        <v>627</v>
      </c>
      <c r="C576" s="6">
        <v>6502384</v>
      </c>
      <c r="D576" s="6" t="s">
        <v>25</v>
      </c>
      <c r="E576" s="6"/>
      <c r="F576" s="6"/>
      <c r="G576" s="6">
        <f t="shared" si="8"/>
        <v>0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6" t="s">
        <v>413</v>
      </c>
    </row>
    <row r="577" spans="1:34" ht="15.75" customHeight="1">
      <c r="A577" s="6" t="s">
        <v>444</v>
      </c>
      <c r="B577" s="6" t="s">
        <v>628</v>
      </c>
      <c r="C577" s="6">
        <v>4043794</v>
      </c>
      <c r="D577" s="6" t="s">
        <v>25</v>
      </c>
      <c r="E577" s="6"/>
      <c r="F577" s="6"/>
      <c r="G577" s="6">
        <f t="shared" si="8"/>
        <v>0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6" t="s">
        <v>413</v>
      </c>
    </row>
    <row r="578" spans="1:34" ht="15.75" customHeight="1">
      <c r="A578" s="6" t="s">
        <v>444</v>
      </c>
      <c r="B578" s="6" t="s">
        <v>629</v>
      </c>
      <c r="C578" s="6">
        <v>3808056</v>
      </c>
      <c r="D578" s="6" t="s">
        <v>25</v>
      </c>
      <c r="E578" s="6"/>
      <c r="F578" s="6"/>
      <c r="G578" s="6">
        <f t="shared" si="8"/>
        <v>0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6" t="s">
        <v>413</v>
      </c>
    </row>
    <row r="579" spans="1:34" ht="15.75" customHeight="1">
      <c r="A579" s="6" t="s">
        <v>444</v>
      </c>
      <c r="B579" s="6" t="s">
        <v>630</v>
      </c>
      <c r="C579" s="6">
        <v>3811460</v>
      </c>
      <c r="D579" s="6" t="s">
        <v>25</v>
      </c>
      <c r="E579" s="6"/>
      <c r="F579" s="6"/>
      <c r="G579" s="6">
        <f t="shared" si="8"/>
        <v>0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6" t="s">
        <v>413</v>
      </c>
    </row>
    <row r="580" spans="1:34" ht="15.75" customHeight="1">
      <c r="A580" s="6" t="s">
        <v>444</v>
      </c>
      <c r="B580" s="6" t="s">
        <v>631</v>
      </c>
      <c r="C580" s="6">
        <v>4662137</v>
      </c>
      <c r="D580" s="6" t="s">
        <v>25</v>
      </c>
      <c r="E580" s="6"/>
      <c r="F580" s="6"/>
      <c r="G580" s="6">
        <f t="shared" si="8"/>
        <v>0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6" t="s">
        <v>413</v>
      </c>
    </row>
    <row r="581" spans="1:34" ht="15.75" customHeight="1">
      <c r="A581" s="6" t="s">
        <v>444</v>
      </c>
      <c r="B581" s="6" t="s">
        <v>632</v>
      </c>
      <c r="C581" s="6">
        <v>5542861</v>
      </c>
      <c r="D581" s="6" t="s">
        <v>25</v>
      </c>
      <c r="E581" s="6"/>
      <c r="F581" s="6"/>
      <c r="G581" s="6">
        <f t="shared" si="8"/>
        <v>0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6" t="s">
        <v>413</v>
      </c>
    </row>
    <row r="582" spans="1:34" ht="15.75" customHeight="1">
      <c r="A582" s="6" t="s">
        <v>444</v>
      </c>
      <c r="B582" s="6" t="s">
        <v>633</v>
      </c>
      <c r="C582" s="6">
        <v>5494786</v>
      </c>
      <c r="D582" s="6" t="s">
        <v>25</v>
      </c>
      <c r="E582" s="6"/>
      <c r="F582" s="6"/>
      <c r="G582" s="6">
        <f t="shared" ref="G582:G630" si="9">E582-F582</f>
        <v>0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6" t="s">
        <v>413</v>
      </c>
    </row>
    <row r="583" spans="1:34" ht="15.75" customHeight="1">
      <c r="A583" s="6" t="s">
        <v>444</v>
      </c>
      <c r="B583" s="6" t="s">
        <v>634</v>
      </c>
      <c r="C583" s="6">
        <v>5706125</v>
      </c>
      <c r="D583" s="6" t="s">
        <v>25</v>
      </c>
      <c r="E583" s="6"/>
      <c r="F583" s="6"/>
      <c r="G583" s="6">
        <f t="shared" si="9"/>
        <v>0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6" t="s">
        <v>413</v>
      </c>
    </row>
    <row r="584" spans="1:34" ht="15.75" customHeight="1">
      <c r="A584" s="6" t="s">
        <v>444</v>
      </c>
      <c r="B584" s="6" t="s">
        <v>635</v>
      </c>
      <c r="C584" s="6">
        <v>1347935</v>
      </c>
      <c r="D584" s="6" t="s">
        <v>25</v>
      </c>
      <c r="E584" s="6"/>
      <c r="F584" s="6"/>
      <c r="G584" s="6">
        <f t="shared" si="9"/>
        <v>0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6" t="s">
        <v>413</v>
      </c>
    </row>
    <row r="585" spans="1:34" ht="15.75" customHeight="1">
      <c r="A585" s="6" t="s">
        <v>444</v>
      </c>
      <c r="B585" s="6" t="s">
        <v>636</v>
      </c>
      <c r="C585" s="6">
        <v>1348188</v>
      </c>
      <c r="D585" s="6" t="s">
        <v>25</v>
      </c>
      <c r="E585" s="6"/>
      <c r="F585" s="6"/>
      <c r="G585" s="6">
        <f t="shared" si="9"/>
        <v>0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6" t="s">
        <v>413</v>
      </c>
    </row>
    <row r="586" spans="1:34" ht="15.75" customHeight="1">
      <c r="A586" s="6" t="s">
        <v>444</v>
      </c>
      <c r="B586" s="6" t="s">
        <v>637</v>
      </c>
      <c r="C586" s="6">
        <v>269378</v>
      </c>
      <c r="D586" s="6" t="s">
        <v>25</v>
      </c>
      <c r="E586" s="6"/>
      <c r="F586" s="6"/>
      <c r="G586" s="6">
        <f t="shared" si="9"/>
        <v>0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6" t="s">
        <v>413</v>
      </c>
    </row>
    <row r="587" spans="1:34" ht="15.75" customHeight="1">
      <c r="A587" s="6" t="s">
        <v>444</v>
      </c>
      <c r="B587" s="6" t="s">
        <v>638</v>
      </c>
      <c r="C587" s="6">
        <v>10364</v>
      </c>
      <c r="D587" s="6" t="s">
        <v>25</v>
      </c>
      <c r="E587" s="6"/>
      <c r="F587" s="6"/>
      <c r="G587" s="6">
        <f t="shared" si="9"/>
        <v>0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6" t="s">
        <v>413</v>
      </c>
    </row>
    <row r="588" spans="1:34" ht="15.75" customHeight="1">
      <c r="A588" s="6" t="s">
        <v>444</v>
      </c>
      <c r="B588" s="6" t="s">
        <v>639</v>
      </c>
      <c r="C588" s="6">
        <v>10270</v>
      </c>
      <c r="D588" s="6" t="s">
        <v>25</v>
      </c>
      <c r="E588" s="6"/>
      <c r="F588" s="6"/>
      <c r="G588" s="6">
        <f t="shared" si="9"/>
        <v>0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6" t="s">
        <v>413</v>
      </c>
    </row>
    <row r="589" spans="1:34" ht="15.75" customHeight="1">
      <c r="A589" s="6" t="s">
        <v>444</v>
      </c>
      <c r="B589" s="6" t="s">
        <v>640</v>
      </c>
      <c r="C589" s="6">
        <v>6538518</v>
      </c>
      <c r="D589" s="6" t="s">
        <v>25</v>
      </c>
      <c r="E589" s="6"/>
      <c r="F589" s="6"/>
      <c r="G589" s="6">
        <f t="shared" si="9"/>
        <v>0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6" t="s">
        <v>413</v>
      </c>
    </row>
    <row r="590" spans="1:34" ht="15.75" customHeight="1">
      <c r="A590" s="6" t="s">
        <v>444</v>
      </c>
      <c r="B590" s="6" t="s">
        <v>641</v>
      </c>
      <c r="C590" s="6">
        <v>6439649</v>
      </c>
      <c r="D590" s="6" t="s">
        <v>25</v>
      </c>
      <c r="E590" s="6"/>
      <c r="F590" s="6"/>
      <c r="G590" s="6">
        <f t="shared" si="9"/>
        <v>0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6" t="s">
        <v>413</v>
      </c>
    </row>
    <row r="591" spans="1:34" ht="15.75" customHeight="1">
      <c r="A591" s="6" t="s">
        <v>444</v>
      </c>
      <c r="B591" s="6" t="s">
        <v>642</v>
      </c>
      <c r="C591" s="6">
        <v>2834718</v>
      </c>
      <c r="D591" s="6" t="s">
        <v>25</v>
      </c>
      <c r="E591" s="6"/>
      <c r="F591" s="6"/>
      <c r="G591" s="6">
        <f t="shared" si="9"/>
        <v>0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6" t="s">
        <v>413</v>
      </c>
    </row>
    <row r="592" spans="1:34" ht="15.75" customHeight="1">
      <c r="A592" s="6" t="s">
        <v>444</v>
      </c>
      <c r="B592" s="6" t="s">
        <v>643</v>
      </c>
      <c r="C592" s="6">
        <v>1528570</v>
      </c>
      <c r="D592" s="6" t="s">
        <v>25</v>
      </c>
      <c r="E592" s="6"/>
      <c r="F592" s="6"/>
      <c r="G592" s="6">
        <f t="shared" si="9"/>
        <v>0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6" t="s">
        <v>413</v>
      </c>
    </row>
    <row r="593" spans="1:34" ht="15.75" customHeight="1">
      <c r="A593" s="6" t="s">
        <v>444</v>
      </c>
      <c r="B593" s="6" t="s">
        <v>644</v>
      </c>
      <c r="C593" s="6">
        <v>4732899</v>
      </c>
      <c r="D593" s="6" t="s">
        <v>25</v>
      </c>
      <c r="E593" s="6"/>
      <c r="F593" s="6"/>
      <c r="G593" s="6">
        <f t="shared" si="9"/>
        <v>0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6" t="s">
        <v>413</v>
      </c>
    </row>
    <row r="594" spans="1:34" ht="15.75" customHeight="1">
      <c r="A594" s="6" t="s">
        <v>444</v>
      </c>
      <c r="B594" s="6" t="s">
        <v>645</v>
      </c>
      <c r="C594" s="6">
        <v>3946200</v>
      </c>
      <c r="D594" s="6" t="s">
        <v>25</v>
      </c>
      <c r="E594" s="6"/>
      <c r="F594" s="6"/>
      <c r="G594" s="6">
        <f t="shared" si="9"/>
        <v>0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6" t="s">
        <v>413</v>
      </c>
    </row>
    <row r="595" spans="1:34" ht="15.75" customHeight="1">
      <c r="A595" s="6" t="s">
        <v>444</v>
      </c>
      <c r="B595" s="6" t="s">
        <v>646</v>
      </c>
      <c r="C595" s="6">
        <v>21511</v>
      </c>
      <c r="D595" s="6" t="s">
        <v>25</v>
      </c>
      <c r="E595" s="6"/>
      <c r="F595" s="6"/>
      <c r="G595" s="6">
        <f t="shared" si="9"/>
        <v>0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6" t="s">
        <v>413</v>
      </c>
    </row>
    <row r="596" spans="1:34" ht="15.75" customHeight="1">
      <c r="A596" s="6" t="s">
        <v>444</v>
      </c>
      <c r="B596" s="6" t="s">
        <v>647</v>
      </c>
      <c r="C596" s="6">
        <v>10313</v>
      </c>
      <c r="D596" s="6" t="s">
        <v>25</v>
      </c>
      <c r="E596" s="6"/>
      <c r="F596" s="6"/>
      <c r="G596" s="6">
        <f t="shared" si="9"/>
        <v>0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6" t="s">
        <v>413</v>
      </c>
    </row>
    <row r="597" spans="1:34" ht="15.75" customHeight="1">
      <c r="A597" s="6" t="s">
        <v>444</v>
      </c>
      <c r="B597" s="6" t="s">
        <v>648</v>
      </c>
      <c r="C597" s="6">
        <v>10337</v>
      </c>
      <c r="D597" s="6" t="s">
        <v>25</v>
      </c>
      <c r="E597" s="6"/>
      <c r="F597" s="6"/>
      <c r="G597" s="6">
        <f t="shared" si="9"/>
        <v>0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6" t="s">
        <v>413</v>
      </c>
    </row>
    <row r="598" spans="1:34" ht="15.75" customHeight="1">
      <c r="A598" s="6" t="s">
        <v>444</v>
      </c>
      <c r="B598" s="6" t="s">
        <v>649</v>
      </c>
      <c r="C598" s="6">
        <v>10371</v>
      </c>
      <c r="D598" s="6" t="s">
        <v>25</v>
      </c>
      <c r="E598" s="6"/>
      <c r="F598" s="6"/>
      <c r="G598" s="6">
        <f t="shared" si="9"/>
        <v>0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6" t="s">
        <v>413</v>
      </c>
    </row>
    <row r="599" spans="1:34" ht="15.75" customHeight="1">
      <c r="A599" s="6" t="s">
        <v>444</v>
      </c>
      <c r="B599" s="6" t="s">
        <v>650</v>
      </c>
      <c r="C599" s="6">
        <v>10251</v>
      </c>
      <c r="D599" s="6" t="s">
        <v>25</v>
      </c>
      <c r="E599" s="6"/>
      <c r="F599" s="6"/>
      <c r="G599" s="6">
        <f t="shared" si="9"/>
        <v>0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6" t="s">
        <v>413</v>
      </c>
    </row>
    <row r="600" spans="1:34" ht="15.75" customHeight="1">
      <c r="A600" s="6" t="s">
        <v>76</v>
      </c>
      <c r="B600" s="6" t="s">
        <v>651</v>
      </c>
      <c r="C600" s="6">
        <v>841410</v>
      </c>
      <c r="D600" s="6" t="s">
        <v>25</v>
      </c>
      <c r="E600" s="6"/>
      <c r="F600" s="6"/>
      <c r="G600" s="6">
        <f t="shared" si="9"/>
        <v>0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6" t="s">
        <v>652</v>
      </c>
    </row>
    <row r="601" spans="1:34" ht="15.75" customHeight="1">
      <c r="A601" s="6" t="s">
        <v>653</v>
      </c>
      <c r="B601" s="6" t="s">
        <v>654</v>
      </c>
      <c r="C601" s="6">
        <v>10201</v>
      </c>
      <c r="D601" s="6" t="s">
        <v>270</v>
      </c>
      <c r="E601" s="6"/>
      <c r="F601" s="6"/>
      <c r="G601" s="6">
        <f t="shared" si="9"/>
        <v>0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6" t="s">
        <v>655</v>
      </c>
    </row>
    <row r="602" spans="1:34" ht="15.75" customHeight="1">
      <c r="A602" s="6" t="s">
        <v>76</v>
      </c>
      <c r="B602" s="6" t="s">
        <v>656</v>
      </c>
      <c r="C602" s="6">
        <v>3858181</v>
      </c>
      <c r="D602" s="6" t="s">
        <v>15</v>
      </c>
      <c r="E602" s="6"/>
      <c r="F602" s="6"/>
      <c r="G602" s="6">
        <f t="shared" si="9"/>
        <v>0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6" t="s">
        <v>657</v>
      </c>
    </row>
    <row r="603" spans="1:34" ht="15.75" customHeight="1">
      <c r="A603" s="6" t="s">
        <v>76</v>
      </c>
      <c r="B603" s="6" t="s">
        <v>658</v>
      </c>
      <c r="C603" s="6">
        <v>24495</v>
      </c>
      <c r="D603" s="6" t="s">
        <v>25</v>
      </c>
      <c r="E603" s="6"/>
      <c r="F603" s="6"/>
      <c r="G603" s="6">
        <f t="shared" si="9"/>
        <v>0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6" t="s">
        <v>657</v>
      </c>
    </row>
    <row r="604" spans="1:34" ht="15.75" customHeight="1">
      <c r="A604" s="6" t="s">
        <v>76</v>
      </c>
      <c r="B604" s="6" t="s">
        <v>659</v>
      </c>
      <c r="C604" s="6">
        <v>25099</v>
      </c>
      <c r="D604" s="6" t="s">
        <v>25</v>
      </c>
      <c r="E604" s="6"/>
      <c r="F604" s="6"/>
      <c r="G604" s="6">
        <f t="shared" si="9"/>
        <v>0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6" t="s">
        <v>657</v>
      </c>
    </row>
    <row r="605" spans="1:34" ht="15.75" customHeight="1">
      <c r="A605" s="6" t="s">
        <v>76</v>
      </c>
      <c r="B605" s="6" t="s">
        <v>660</v>
      </c>
      <c r="C605" s="6">
        <v>26421</v>
      </c>
      <c r="D605" s="6" t="s">
        <v>15</v>
      </c>
      <c r="E605" s="6"/>
      <c r="F605" s="6"/>
      <c r="G605" s="6">
        <f t="shared" si="9"/>
        <v>0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6" t="s">
        <v>657</v>
      </c>
    </row>
    <row r="606" spans="1:34" ht="15.75" customHeight="1">
      <c r="A606" s="6" t="s">
        <v>76</v>
      </c>
      <c r="B606" s="6" t="s">
        <v>661</v>
      </c>
      <c r="C606" s="6">
        <v>3836171</v>
      </c>
      <c r="D606" s="6" t="s">
        <v>15</v>
      </c>
      <c r="E606" s="6"/>
      <c r="F606" s="6"/>
      <c r="G606" s="6">
        <f t="shared" si="9"/>
        <v>0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6" t="s">
        <v>657</v>
      </c>
    </row>
    <row r="607" spans="1:34" ht="15.75" customHeight="1">
      <c r="A607" s="6" t="s">
        <v>76</v>
      </c>
      <c r="B607" s="6" t="s">
        <v>662</v>
      </c>
      <c r="C607" s="6">
        <v>2746838</v>
      </c>
      <c r="D607" s="6" t="s">
        <v>25</v>
      </c>
      <c r="E607" s="6"/>
      <c r="F607" s="6"/>
      <c r="G607" s="6">
        <f t="shared" si="9"/>
        <v>0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6" t="s">
        <v>657</v>
      </c>
    </row>
    <row r="608" spans="1:34" ht="15.75" customHeight="1">
      <c r="A608" s="6" t="s">
        <v>17</v>
      </c>
      <c r="B608" s="6" t="s">
        <v>31</v>
      </c>
      <c r="C608" s="6">
        <v>5916883</v>
      </c>
      <c r="D608" s="6" t="s">
        <v>15</v>
      </c>
      <c r="E608" s="6"/>
      <c r="F608" s="6"/>
      <c r="G608" s="6">
        <f t="shared" si="9"/>
        <v>0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6" t="s">
        <v>663</v>
      </c>
    </row>
    <row r="609" spans="1:34" ht="15.75" customHeight="1">
      <c r="A609" s="6" t="s">
        <v>17</v>
      </c>
      <c r="B609" s="6" t="s">
        <v>664</v>
      </c>
      <c r="C609" s="6">
        <v>2883304</v>
      </c>
      <c r="D609" s="6" t="s">
        <v>15</v>
      </c>
      <c r="E609" s="6"/>
      <c r="F609" s="6"/>
      <c r="G609" s="6">
        <f t="shared" si="9"/>
        <v>0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6" t="s">
        <v>665</v>
      </c>
    </row>
    <row r="610" spans="1:34" ht="15.75" customHeight="1">
      <c r="A610" s="6" t="s">
        <v>76</v>
      </c>
      <c r="B610" s="6" t="s">
        <v>666</v>
      </c>
      <c r="C610" s="6">
        <v>4544756</v>
      </c>
      <c r="D610" s="6" t="s">
        <v>15</v>
      </c>
      <c r="E610" s="6"/>
      <c r="F610" s="6"/>
      <c r="G610" s="6">
        <f t="shared" si="9"/>
        <v>0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6" t="s">
        <v>667</v>
      </c>
    </row>
    <row r="611" spans="1:34" ht="15.75" customHeight="1">
      <c r="A611" s="6" t="s">
        <v>76</v>
      </c>
      <c r="B611" s="6" t="s">
        <v>668</v>
      </c>
      <c r="C611" s="6">
        <v>6023283</v>
      </c>
      <c r="D611" s="6" t="s">
        <v>15</v>
      </c>
      <c r="E611" s="6"/>
      <c r="F611" s="6"/>
      <c r="G611" s="6">
        <f t="shared" si="9"/>
        <v>0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6" t="s">
        <v>667</v>
      </c>
    </row>
    <row r="612" spans="1:34" ht="15.75" customHeight="1">
      <c r="A612" s="6" t="s">
        <v>17</v>
      </c>
      <c r="B612" s="6" t="s">
        <v>38</v>
      </c>
      <c r="C612" s="6">
        <v>3081429</v>
      </c>
      <c r="D612" s="6" t="s">
        <v>15</v>
      </c>
      <c r="E612" s="6"/>
      <c r="F612" s="6"/>
      <c r="G612" s="6">
        <f t="shared" si="9"/>
        <v>0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6" t="s">
        <v>669</v>
      </c>
    </row>
    <row r="613" spans="1:34" ht="15.75" customHeight="1">
      <c r="A613" s="6" t="s">
        <v>17</v>
      </c>
      <c r="B613" s="6" t="s">
        <v>670</v>
      </c>
      <c r="C613" s="6">
        <v>26188</v>
      </c>
      <c r="D613" s="6" t="s">
        <v>25</v>
      </c>
      <c r="E613" s="6"/>
      <c r="F613" s="6"/>
      <c r="G613" s="6">
        <f t="shared" si="9"/>
        <v>0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6" t="s">
        <v>671</v>
      </c>
    </row>
    <row r="614" spans="1:34" ht="15.75" customHeight="1">
      <c r="A614" s="6" t="s">
        <v>17</v>
      </c>
      <c r="B614" s="6" t="s">
        <v>672</v>
      </c>
      <c r="C614" s="6">
        <v>3852</v>
      </c>
      <c r="D614" s="6" t="s">
        <v>25</v>
      </c>
      <c r="E614" s="6"/>
      <c r="F614" s="6"/>
      <c r="G614" s="6">
        <f t="shared" si="9"/>
        <v>0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6" t="s">
        <v>671</v>
      </c>
    </row>
    <row r="615" spans="1:34" ht="15.75" customHeight="1">
      <c r="A615" s="6" t="s">
        <v>673</v>
      </c>
      <c r="B615" s="6" t="s">
        <v>674</v>
      </c>
      <c r="C615" s="6">
        <v>21035</v>
      </c>
      <c r="D615" s="6" t="s">
        <v>15</v>
      </c>
      <c r="E615" s="6"/>
      <c r="F615" s="6"/>
      <c r="G615" s="6">
        <f t="shared" si="9"/>
        <v>0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6" t="s">
        <v>671</v>
      </c>
    </row>
    <row r="616" spans="1:34" ht="15.75" customHeight="1">
      <c r="A616" s="6" t="s">
        <v>17</v>
      </c>
      <c r="B616" s="6" t="s">
        <v>675</v>
      </c>
      <c r="C616" s="6">
        <v>4778950</v>
      </c>
      <c r="D616" s="6" t="s">
        <v>15</v>
      </c>
      <c r="E616" s="6"/>
      <c r="F616" s="6"/>
      <c r="G616" s="6">
        <f t="shared" si="9"/>
        <v>0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6" t="s">
        <v>671</v>
      </c>
    </row>
    <row r="617" spans="1:34" ht="15.75" customHeight="1">
      <c r="A617" s="6" t="s">
        <v>676</v>
      </c>
      <c r="B617" s="6" t="s">
        <v>677</v>
      </c>
      <c r="C617" s="6">
        <v>3123908</v>
      </c>
      <c r="D617" s="6" t="s">
        <v>15</v>
      </c>
      <c r="E617" s="6"/>
      <c r="F617" s="6"/>
      <c r="G617" s="6">
        <f t="shared" si="9"/>
        <v>0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6" t="s">
        <v>671</v>
      </c>
    </row>
    <row r="618" spans="1:34" ht="15.75" customHeight="1">
      <c r="A618" s="6" t="s">
        <v>17</v>
      </c>
      <c r="B618" s="6" t="s">
        <v>46</v>
      </c>
      <c r="C618" s="6">
        <v>20667</v>
      </c>
      <c r="D618" s="6" t="s">
        <v>15</v>
      </c>
      <c r="E618" s="6"/>
      <c r="F618" s="6"/>
      <c r="G618" s="6">
        <f t="shared" si="9"/>
        <v>0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6" t="s">
        <v>678</v>
      </c>
    </row>
    <row r="619" spans="1:34" ht="15.75" customHeight="1">
      <c r="A619" s="6" t="s">
        <v>17</v>
      </c>
      <c r="B619" s="6" t="s">
        <v>679</v>
      </c>
      <c r="C619" s="6">
        <v>3830</v>
      </c>
      <c r="D619" s="6" t="s">
        <v>15</v>
      </c>
      <c r="E619" s="6"/>
      <c r="F619" s="6"/>
      <c r="G619" s="6">
        <f t="shared" si="9"/>
        <v>0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6" t="s">
        <v>680</v>
      </c>
    </row>
    <row r="620" spans="1:34" ht="15.75" customHeight="1">
      <c r="A620" s="6" t="s">
        <v>17</v>
      </c>
      <c r="B620" s="6" t="s">
        <v>681</v>
      </c>
      <c r="C620" s="6">
        <v>2876426</v>
      </c>
      <c r="D620" s="6" t="s">
        <v>15</v>
      </c>
      <c r="E620" s="6"/>
      <c r="F620" s="6"/>
      <c r="G620" s="6">
        <f t="shared" si="9"/>
        <v>0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6" t="s">
        <v>680</v>
      </c>
    </row>
    <row r="621" spans="1:34" ht="15.75" customHeight="1">
      <c r="A621" s="6" t="s">
        <v>17</v>
      </c>
      <c r="B621" s="6" t="s">
        <v>682</v>
      </c>
      <c r="C621" s="6">
        <v>4133183</v>
      </c>
      <c r="D621" s="6" t="s">
        <v>15</v>
      </c>
      <c r="E621" s="6"/>
      <c r="F621" s="6"/>
      <c r="G621" s="6">
        <f t="shared" si="9"/>
        <v>0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6" t="s">
        <v>680</v>
      </c>
    </row>
    <row r="622" spans="1:34" ht="15.75" customHeight="1">
      <c r="A622" s="6" t="s">
        <v>17</v>
      </c>
      <c r="B622" s="6" t="s">
        <v>683</v>
      </c>
      <c r="C622" s="6">
        <v>5209172</v>
      </c>
      <c r="D622" s="6" t="s">
        <v>15</v>
      </c>
      <c r="E622" s="6"/>
      <c r="F622" s="6"/>
      <c r="G622" s="6">
        <f t="shared" si="9"/>
        <v>0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6" t="s">
        <v>680</v>
      </c>
    </row>
    <row r="623" spans="1:34" ht="15.75" customHeight="1">
      <c r="A623" s="6" t="s">
        <v>17</v>
      </c>
      <c r="B623" s="6" t="s">
        <v>684</v>
      </c>
      <c r="C623" s="6">
        <v>3826</v>
      </c>
      <c r="D623" s="6" t="s">
        <v>15</v>
      </c>
      <c r="E623" s="6"/>
      <c r="F623" s="6"/>
      <c r="G623" s="6">
        <f t="shared" si="9"/>
        <v>0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6" t="s">
        <v>680</v>
      </c>
    </row>
    <row r="624" spans="1:34" ht="15.75" customHeight="1">
      <c r="A624" s="6" t="s">
        <v>17</v>
      </c>
      <c r="B624" s="6" t="s">
        <v>685</v>
      </c>
      <c r="C624" s="6">
        <v>3841</v>
      </c>
      <c r="D624" s="6" t="s">
        <v>15</v>
      </c>
      <c r="E624" s="6"/>
      <c r="F624" s="6"/>
      <c r="G624" s="6">
        <f t="shared" si="9"/>
        <v>0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6" t="s">
        <v>680</v>
      </c>
    </row>
    <row r="625" spans="1:34" ht="15.75" customHeight="1">
      <c r="A625" s="6" t="s">
        <v>17</v>
      </c>
      <c r="B625" s="6" t="s">
        <v>686</v>
      </c>
      <c r="C625" s="6">
        <v>2800724</v>
      </c>
      <c r="D625" s="6" t="s">
        <v>15</v>
      </c>
      <c r="E625" s="6"/>
      <c r="F625" s="6"/>
      <c r="G625" s="6">
        <f t="shared" si="9"/>
        <v>0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6" t="s">
        <v>680</v>
      </c>
    </row>
    <row r="626" spans="1:34" ht="15.75" customHeight="1">
      <c r="A626" s="6" t="s">
        <v>17</v>
      </c>
      <c r="B626" s="6" t="s">
        <v>687</v>
      </c>
      <c r="C626" s="6">
        <v>4132979</v>
      </c>
      <c r="D626" s="6" t="s">
        <v>25</v>
      </c>
      <c r="E626" s="6"/>
      <c r="F626" s="6"/>
      <c r="G626" s="6">
        <f t="shared" si="9"/>
        <v>0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6" t="s">
        <v>680</v>
      </c>
    </row>
    <row r="627" spans="1:34" ht="15.75" customHeight="1">
      <c r="A627" s="6" t="s">
        <v>17</v>
      </c>
      <c r="B627" s="6" t="s">
        <v>688</v>
      </c>
      <c r="C627" s="6">
        <v>3547996</v>
      </c>
      <c r="D627" s="6" t="s">
        <v>15</v>
      </c>
      <c r="E627" s="6"/>
      <c r="F627" s="6"/>
      <c r="G627" s="6">
        <f t="shared" si="9"/>
        <v>0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6" t="s">
        <v>680</v>
      </c>
    </row>
    <row r="628" spans="1:34" ht="15.75" customHeight="1">
      <c r="A628" s="6" t="s">
        <v>17</v>
      </c>
      <c r="B628" s="6" t="s">
        <v>689</v>
      </c>
      <c r="C628" s="6">
        <v>2990106</v>
      </c>
      <c r="D628" s="6" t="s">
        <v>25</v>
      </c>
      <c r="E628" s="6"/>
      <c r="F628" s="6"/>
      <c r="G628" s="6">
        <f t="shared" si="9"/>
        <v>0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6" t="s">
        <v>680</v>
      </c>
    </row>
    <row r="629" spans="1:34" ht="15.75" customHeight="1">
      <c r="A629" s="6" t="s">
        <v>17</v>
      </c>
      <c r="B629" s="6" t="s">
        <v>690</v>
      </c>
      <c r="C629" s="6">
        <v>4055889</v>
      </c>
      <c r="D629" s="6" t="s">
        <v>15</v>
      </c>
      <c r="E629" s="6"/>
      <c r="F629" s="6"/>
      <c r="G629" s="6">
        <f t="shared" si="9"/>
        <v>0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6" t="s">
        <v>680</v>
      </c>
    </row>
    <row r="630" spans="1:34" ht="15.75" customHeight="1">
      <c r="A630" s="9"/>
      <c r="B630" s="9"/>
      <c r="C630" s="9"/>
      <c r="D630" s="9"/>
      <c r="E630" s="9"/>
      <c r="F630" s="9"/>
      <c r="G630" s="9">
        <f t="shared" si="9"/>
        <v>0</v>
      </c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 spans="1:34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</row>
    <row r="632" spans="1:34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</row>
    <row r="633" spans="1:34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</row>
    <row r="635" spans="1:34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</row>
    <row r="637" spans="1:34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</row>
    <row r="638" spans="1:34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</row>
    <row r="639" spans="1:34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</row>
    <row r="640" spans="1:34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</row>
    <row r="641" spans="1:34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</row>
    <row r="642" spans="1:34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</row>
    <row r="643" spans="1:34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</row>
    <row r="644" spans="1:3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</row>
    <row r="645" spans="1:34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</row>
    <row r="647" spans="1:34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</row>
    <row r="648" spans="1:34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</row>
    <row r="649" spans="1:34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</row>
    <row r="650" spans="1:34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</row>
    <row r="652" spans="1:34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</row>
    <row r="653" spans="1:34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</row>
    <row r="654" spans="1:3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</row>
    <row r="655" spans="1:34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</row>
    <row r="656" spans="1:34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</row>
    <row r="657" spans="1:34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</row>
    <row r="658" spans="1:34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</row>
    <row r="659" spans="1:34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</row>
    <row r="660" spans="1:34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</row>
    <row r="662" spans="1:34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</row>
    <row r="663" spans="1:34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</row>
    <row r="664" spans="1:3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</row>
    <row r="665" spans="1:34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</row>
    <row r="666" spans="1:34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</row>
    <row r="669" spans="1:34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</row>
    <row r="670" spans="1:34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</row>
    <row r="671" spans="1:34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</row>
    <row r="672" spans="1:34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</row>
    <row r="673" spans="1:34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</row>
    <row r="674" spans="1:3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</row>
    <row r="675" spans="1:34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</row>
    <row r="676" spans="1:34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</row>
    <row r="677" spans="1:34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</row>
    <row r="678" spans="1:34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</row>
    <row r="679" spans="1:34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</row>
    <row r="680" spans="1:34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</row>
    <row r="681" spans="1:34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</row>
    <row r="682" spans="1:34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</row>
    <row r="683" spans="1:34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</row>
    <row r="684" spans="1:3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</row>
    <row r="685" spans="1:34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</row>
    <row r="686" spans="1:34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</row>
    <row r="688" spans="1:34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</row>
    <row r="690" spans="1:34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</row>
    <row r="691" spans="1:34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</row>
    <row r="692" spans="1:34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</row>
    <row r="693" spans="1:34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</row>
    <row r="694" spans="1:3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</row>
    <row r="695" spans="1:34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</row>
    <row r="696" spans="1:34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</row>
    <row r="697" spans="1:34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</row>
    <row r="698" spans="1:34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</row>
    <row r="700" spans="1:34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</row>
    <row r="701" spans="1:34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</row>
    <row r="702" spans="1:34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</row>
    <row r="703" spans="1:34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</row>
    <row r="705" spans="1:34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</row>
    <row r="706" spans="1:34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</row>
    <row r="707" spans="1:34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</row>
    <row r="708" spans="1:34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</row>
    <row r="709" spans="1:34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</row>
    <row r="710" spans="1:34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</row>
    <row r="711" spans="1:34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</row>
    <row r="712" spans="1:34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</row>
    <row r="713" spans="1:34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</row>
    <row r="715" spans="1:34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</row>
    <row r="716" spans="1:34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</row>
    <row r="717" spans="1:34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</row>
    <row r="718" spans="1:34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</row>
    <row r="719" spans="1:34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</row>
    <row r="722" spans="1:34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</row>
    <row r="723" spans="1:34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</row>
    <row r="724" spans="1:3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</row>
    <row r="725" spans="1:34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</row>
    <row r="726" spans="1:34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</row>
    <row r="727" spans="1:34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</row>
    <row r="728" spans="1:34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</row>
    <row r="729" spans="1:34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</row>
    <row r="730" spans="1:34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</row>
    <row r="731" spans="1:34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</row>
    <row r="732" spans="1:34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</row>
    <row r="733" spans="1:34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</row>
    <row r="734" spans="1: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</row>
    <row r="735" spans="1:34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</row>
    <row r="736" spans="1:34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</row>
    <row r="737" spans="1:34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</row>
    <row r="738" spans="1:34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</row>
    <row r="739" spans="1:34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</row>
    <row r="741" spans="1:34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</row>
    <row r="743" spans="1:34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</row>
    <row r="744" spans="1:3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</row>
    <row r="745" spans="1:34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</row>
    <row r="746" spans="1:34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</row>
    <row r="747" spans="1:34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</row>
    <row r="748" spans="1:34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</row>
    <row r="749" spans="1:34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</row>
    <row r="750" spans="1:34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</row>
    <row r="751" spans="1:34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</row>
    <row r="753" spans="1:34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</row>
    <row r="754" spans="1:3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</row>
    <row r="755" spans="1:34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</row>
    <row r="756" spans="1:34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</row>
    <row r="758" spans="1:34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</row>
    <row r="759" spans="1:34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</row>
    <row r="760" spans="1:34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</row>
    <row r="761" spans="1:34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</row>
    <row r="762" spans="1:34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</row>
    <row r="763" spans="1:34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</row>
    <row r="764" spans="1:3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</row>
    <row r="765" spans="1:34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</row>
    <row r="766" spans="1:34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</row>
    <row r="768" spans="1:34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</row>
    <row r="769" spans="1:34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</row>
    <row r="770" spans="1:34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</row>
    <row r="771" spans="1:34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</row>
    <row r="772" spans="1:34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</row>
    <row r="775" spans="1:34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</row>
    <row r="776" spans="1:34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</row>
    <row r="777" spans="1:34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</row>
    <row r="778" spans="1:34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</row>
    <row r="779" spans="1:34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</row>
    <row r="780" spans="1:34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</row>
    <row r="781" spans="1:34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</row>
    <row r="782" spans="1:34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</row>
    <row r="783" spans="1:34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</row>
    <row r="784" spans="1:3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</row>
    <row r="785" spans="1:34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</row>
    <row r="786" spans="1:34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</row>
    <row r="787" spans="1:34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</row>
    <row r="788" spans="1:34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</row>
    <row r="789" spans="1:34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</row>
    <row r="790" spans="1:34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</row>
    <row r="791" spans="1:34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</row>
    <row r="792" spans="1:34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</row>
    <row r="794" spans="1:3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</row>
    <row r="796" spans="1:34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</row>
    <row r="797" spans="1:34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</row>
    <row r="798" spans="1:34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</row>
    <row r="799" spans="1:34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</row>
    <row r="800" spans="1:34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</row>
    <row r="801" spans="1:34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</row>
    <row r="802" spans="1:34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</row>
    <row r="803" spans="1:34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</row>
    <row r="804" spans="1:3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</row>
    <row r="806" spans="1:34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</row>
    <row r="807" spans="1:34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</row>
    <row r="808" spans="1:34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</row>
    <row r="809" spans="1:34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</row>
    <row r="811" spans="1:34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</row>
    <row r="812" spans="1:34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</row>
    <row r="813" spans="1:34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</row>
    <row r="814" spans="1:3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</row>
    <row r="815" spans="1:34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</row>
    <row r="816" spans="1:34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</row>
    <row r="817" spans="1:34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</row>
    <row r="818" spans="1:34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</row>
    <row r="819" spans="1:34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</row>
    <row r="821" spans="1:34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</row>
    <row r="822" spans="1:34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</row>
    <row r="823" spans="1:34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</row>
    <row r="824" spans="1:3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</row>
    <row r="825" spans="1:34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</row>
    <row r="828" spans="1:34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</row>
    <row r="829" spans="1:34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</row>
    <row r="830" spans="1:34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</row>
    <row r="831" spans="1:34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</row>
    <row r="832" spans="1:34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</row>
    <row r="833" spans="1:34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</row>
    <row r="834" spans="1: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</row>
    <row r="835" spans="1:34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</row>
    <row r="836" spans="1:34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</row>
    <row r="837" spans="1:34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</row>
    <row r="838" spans="1:34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</row>
    <row r="839" spans="1:34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</row>
    <row r="840" spans="1:34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</row>
    <row r="841" spans="1:34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</row>
    <row r="842" spans="1:34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</row>
    <row r="843" spans="1:34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</row>
    <row r="844" spans="1:3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</row>
    <row r="845" spans="1:34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</row>
    <row r="847" spans="1:34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</row>
    <row r="849" spans="1:34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</row>
    <row r="850" spans="1:34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</row>
    <row r="851" spans="1:34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</row>
    <row r="852" spans="1:34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</row>
    <row r="853" spans="1:34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</row>
    <row r="854" spans="1:3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</row>
    <row r="855" spans="1:34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</row>
    <row r="856" spans="1:34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</row>
    <row r="857" spans="1:34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</row>
    <row r="859" spans="1:34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</row>
    <row r="860" spans="1:34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</row>
    <row r="861" spans="1:34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</row>
    <row r="862" spans="1:34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</row>
    <row r="864" spans="1:3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</row>
    <row r="865" spans="1:34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</row>
    <row r="866" spans="1:34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</row>
    <row r="867" spans="1:34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</row>
    <row r="868" spans="1:34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</row>
    <row r="869" spans="1:34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</row>
    <row r="870" spans="1:34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</row>
    <row r="871" spans="1:34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</row>
    <row r="872" spans="1:34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</row>
    <row r="874" spans="1:3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</row>
    <row r="875" spans="1:34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</row>
    <row r="876" spans="1:34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</row>
    <row r="877" spans="1:34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</row>
    <row r="878" spans="1:34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</row>
    <row r="881" spans="1:34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</row>
    <row r="882" spans="1:34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</row>
    <row r="883" spans="1:34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</row>
    <row r="884" spans="1:3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</row>
    <row r="885" spans="1:34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</row>
    <row r="886" spans="1:34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</row>
    <row r="887" spans="1:34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</row>
    <row r="888" spans="1:34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</row>
    <row r="889" spans="1:34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</row>
    <row r="890" spans="1:34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</row>
    <row r="891" spans="1:34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</row>
    <row r="892" spans="1:34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</row>
    <row r="893" spans="1:34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</row>
    <row r="894" spans="1:3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</row>
    <row r="895" spans="1:34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</row>
    <row r="896" spans="1:34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</row>
    <row r="897" spans="1:34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</row>
    <row r="898" spans="1:34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</row>
    <row r="900" spans="1:34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</row>
    <row r="902" spans="1:34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</row>
    <row r="903" spans="1:34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</row>
    <row r="904" spans="1:3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</row>
    <row r="905" spans="1:34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</row>
    <row r="906" spans="1:34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</row>
    <row r="907" spans="1:34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</row>
    <row r="908" spans="1:34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</row>
    <row r="909" spans="1:34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</row>
    <row r="910" spans="1:34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</row>
    <row r="912" spans="1:34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</row>
    <row r="913" spans="1:34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</row>
    <row r="914" spans="1:3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</row>
    <row r="915" spans="1:34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</row>
    <row r="917" spans="1:34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</row>
    <row r="918" spans="1:34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</row>
    <row r="919" spans="1:34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</row>
    <row r="920" spans="1:34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</row>
    <row r="921" spans="1:34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</row>
    <row r="922" spans="1:34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</row>
    <row r="923" spans="1:34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</row>
    <row r="924" spans="1:3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</row>
    <row r="925" spans="1:34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</row>
    <row r="927" spans="1:34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</row>
    <row r="928" spans="1:34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</row>
    <row r="929" spans="1:34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</row>
    <row r="930" spans="1:34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</row>
    <row r="931" spans="1:34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</row>
    <row r="934" spans="1: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</row>
    <row r="935" spans="1:34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</row>
    <row r="936" spans="1:34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</row>
    <row r="937" spans="1:34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</row>
    <row r="938" spans="1:34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</row>
    <row r="939" spans="1:34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</row>
    <row r="940" spans="1:34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</row>
    <row r="941" spans="1:34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</row>
    <row r="942" spans="1:34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</row>
    <row r="943" spans="1:34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</row>
    <row r="944" spans="1:3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</row>
    <row r="945" spans="1:34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</row>
    <row r="946" spans="1:34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</row>
    <row r="947" spans="1:34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</row>
    <row r="948" spans="1:34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</row>
    <row r="949" spans="1:34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</row>
    <row r="950" spans="1:34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</row>
    <row r="951" spans="1:34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</row>
    <row r="953" spans="1:34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</row>
    <row r="955" spans="1:34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</row>
    <row r="956" spans="1:34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</row>
    <row r="957" spans="1:34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</row>
    <row r="958" spans="1:34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</row>
    <row r="959" spans="1:34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</row>
    <row r="960" spans="1:34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</row>
    <row r="961" spans="1:34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</row>
    <row r="962" spans="1:34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</row>
    <row r="963" spans="1:34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</row>
    <row r="965" spans="1:34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</row>
    <row r="966" spans="1:34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</row>
    <row r="967" spans="1:34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</row>
    <row r="968" spans="1:34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</row>
    <row r="970" spans="1:34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</row>
    <row r="971" spans="1:34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</row>
    <row r="972" spans="1:34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</row>
    <row r="973" spans="1:34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</row>
    <row r="974" spans="1:3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</row>
    <row r="975" spans="1:34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</row>
    <row r="976" spans="1:34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</row>
    <row r="977" spans="1:34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</row>
    <row r="978" spans="1:34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</row>
    <row r="980" spans="1:34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</row>
    <row r="981" spans="1:34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</row>
    <row r="982" spans="1:34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</row>
    <row r="983" spans="1:34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</row>
    <row r="984" spans="1:3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</row>
    <row r="987" spans="1:34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</row>
    <row r="988" spans="1:34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</row>
    <row r="989" spans="1:34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</row>
    <row r="990" spans="1:34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</row>
    <row r="991" spans="1:34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</row>
    <row r="992" spans="1:34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</row>
    <row r="993" spans="1:34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</row>
    <row r="994" spans="1:3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</row>
    <row r="995" spans="1:34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</row>
    <row r="996" spans="1:34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</row>
    <row r="997" spans="1:34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</row>
    <row r="998" spans="1:34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</row>
    <row r="999" spans="1:34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</row>
    <row r="1000" spans="1:34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</row>
    <row r="1001" spans="1:34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</row>
  </sheetData>
  <autoFilter ref="D5:D629" xr:uid="{00000000-0009-0000-0000-000000000000}"/>
  <mergeCells count="10">
    <mergeCell ref="A1:AH2"/>
    <mergeCell ref="A3:A4"/>
    <mergeCell ref="B3:B4"/>
    <mergeCell ref="C3:C4"/>
    <mergeCell ref="D3:D4"/>
    <mergeCell ref="E3:E4"/>
    <mergeCell ref="F3:F4"/>
    <mergeCell ref="G3:G4"/>
    <mergeCell ref="H3:T3"/>
    <mergeCell ref="U3:AG3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73"/>
  <sheetViews>
    <sheetView topLeftCell="A54" zoomScale="70" zoomScaleNormal="70" workbookViewId="0">
      <selection activeCell="G410" sqref="G410"/>
    </sheetView>
  </sheetViews>
  <sheetFormatPr defaultColWidth="14.42578125" defaultRowHeight="15"/>
  <cols>
    <col min="1" max="1" width="46.85546875" customWidth="1"/>
    <col min="2" max="2" width="82.42578125" customWidth="1"/>
    <col min="3" max="3" width="18.85546875" customWidth="1"/>
    <col min="4" max="4" width="18.5703125" customWidth="1"/>
    <col min="5" max="5" width="20.7109375" customWidth="1"/>
    <col min="6" max="6" width="21.5703125" customWidth="1"/>
    <col min="7" max="7" width="17" customWidth="1"/>
    <col min="8" max="8" width="14" customWidth="1"/>
    <col min="9" max="9" width="10.42578125" customWidth="1"/>
    <col min="10" max="10" width="8.28515625" customWidth="1"/>
    <col min="11" max="11" width="8.42578125" customWidth="1"/>
    <col min="12" max="12" width="9.7109375" customWidth="1"/>
    <col min="13" max="13" width="8.5703125" customWidth="1"/>
    <col min="14" max="14" width="9.140625" customWidth="1"/>
    <col min="15" max="15" width="8.85546875" customWidth="1"/>
    <col min="16" max="16" width="8.5703125" customWidth="1"/>
    <col min="17" max="17" width="9.28515625" customWidth="1"/>
    <col min="18" max="18" width="8.7109375" customWidth="1"/>
    <col min="19" max="19" width="8.42578125" customWidth="1"/>
    <col min="20" max="20" width="8.140625" customWidth="1"/>
    <col min="21" max="21" width="20" customWidth="1"/>
    <col min="22" max="22" width="44" customWidth="1"/>
  </cols>
  <sheetData>
    <row r="1" spans="1:22" s="11" customFormat="1">
      <c r="A1" s="100" t="str">
        <f>A5</f>
        <v>MUNICIPIO DE PALHOCA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</row>
    <row r="2" spans="1:22" s="11" customForma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</row>
    <row r="3" spans="1:22" s="11" customFormat="1" ht="15.75" customHeight="1">
      <c r="A3" s="101" t="s">
        <v>0</v>
      </c>
      <c r="B3" s="101" t="s">
        <v>1</v>
      </c>
      <c r="C3" s="101" t="s">
        <v>2</v>
      </c>
      <c r="D3" s="101" t="s">
        <v>3</v>
      </c>
      <c r="E3" s="101" t="s">
        <v>691</v>
      </c>
      <c r="F3" s="101" t="s">
        <v>692</v>
      </c>
      <c r="G3" s="101" t="s">
        <v>693</v>
      </c>
      <c r="H3" s="102" t="s">
        <v>694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2"/>
      <c r="V3" s="101" t="s">
        <v>695</v>
      </c>
    </row>
    <row r="4" spans="1:22" s="11" customFormat="1" ht="47.25" customHeight="1">
      <c r="A4" s="101"/>
      <c r="B4" s="101"/>
      <c r="C4" s="101"/>
      <c r="D4" s="101"/>
      <c r="E4" s="101"/>
      <c r="F4" s="101"/>
      <c r="G4" s="101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13" t="s">
        <v>696</v>
      </c>
      <c r="V4" s="101"/>
    </row>
    <row r="5" spans="1:22" ht="30" customHeight="1">
      <c r="A5" s="6" t="s">
        <v>697</v>
      </c>
      <c r="B5" s="6" t="s">
        <v>698</v>
      </c>
      <c r="C5" s="6" t="s">
        <v>699</v>
      </c>
      <c r="D5" s="6" t="s">
        <v>25</v>
      </c>
      <c r="E5" s="6" t="s">
        <v>700</v>
      </c>
      <c r="F5" s="6">
        <v>30</v>
      </c>
      <c r="G5" s="14">
        <v>191.538461538462</v>
      </c>
      <c r="H5" s="8">
        <v>263</v>
      </c>
      <c r="I5" s="8">
        <v>320</v>
      </c>
      <c r="J5" s="8">
        <v>332</v>
      </c>
      <c r="K5" s="8">
        <v>415</v>
      </c>
      <c r="L5" s="8">
        <v>265</v>
      </c>
      <c r="M5" s="8">
        <v>209</v>
      </c>
      <c r="N5" s="8">
        <v>224</v>
      </c>
      <c r="O5" s="8">
        <v>164</v>
      </c>
      <c r="P5" s="8">
        <v>178</v>
      </c>
      <c r="Q5" s="8">
        <v>161</v>
      </c>
      <c r="R5" s="8">
        <v>158</v>
      </c>
      <c r="S5" s="8">
        <v>161</v>
      </c>
      <c r="T5" s="8">
        <v>30</v>
      </c>
      <c r="U5" s="15">
        <v>221.538461538462</v>
      </c>
      <c r="V5" s="6" t="s">
        <v>701</v>
      </c>
    </row>
    <row r="6" spans="1:22" ht="30" customHeight="1">
      <c r="A6" s="6" t="s">
        <v>697</v>
      </c>
      <c r="B6" s="6" t="s">
        <v>702</v>
      </c>
      <c r="C6" s="6" t="s">
        <v>703</v>
      </c>
      <c r="D6" s="6" t="s">
        <v>25</v>
      </c>
      <c r="E6" s="6" t="s">
        <v>704</v>
      </c>
      <c r="F6" s="6">
        <v>100</v>
      </c>
      <c r="G6" s="14">
        <v>39.230769230769198</v>
      </c>
      <c r="H6" s="8">
        <v>150</v>
      </c>
      <c r="I6" s="8">
        <v>170</v>
      </c>
      <c r="J6" s="8">
        <v>100</v>
      </c>
      <c r="K6" s="8">
        <v>100</v>
      </c>
      <c r="L6" s="8">
        <v>200</v>
      </c>
      <c r="M6" s="8">
        <v>200</v>
      </c>
      <c r="N6" s="8">
        <v>160</v>
      </c>
      <c r="O6" s="8">
        <v>150</v>
      </c>
      <c r="P6" s="8">
        <v>110</v>
      </c>
      <c r="Q6" s="8">
        <v>100</v>
      </c>
      <c r="R6" s="8">
        <v>140</v>
      </c>
      <c r="S6" s="8">
        <v>130</v>
      </c>
      <c r="T6" s="8">
        <v>100</v>
      </c>
      <c r="U6" s="15">
        <v>139.230769230769</v>
      </c>
      <c r="V6" s="6" t="s">
        <v>705</v>
      </c>
    </row>
    <row r="7" spans="1:22" ht="30" customHeight="1">
      <c r="A7" s="6" t="s">
        <v>697</v>
      </c>
      <c r="B7" s="6" t="s">
        <v>706</v>
      </c>
      <c r="C7" s="6" t="s">
        <v>707</v>
      </c>
      <c r="D7" s="6" t="s">
        <v>25</v>
      </c>
      <c r="E7" s="6" t="s">
        <v>704</v>
      </c>
      <c r="F7" s="6">
        <v>100</v>
      </c>
      <c r="G7" s="14">
        <v>172.30769230769201</v>
      </c>
      <c r="H7" s="8">
        <v>100</v>
      </c>
      <c r="I7" s="8">
        <v>100</v>
      </c>
      <c r="J7" s="8">
        <v>100</v>
      </c>
      <c r="K7" s="8">
        <v>100</v>
      </c>
      <c r="L7" s="8">
        <v>100</v>
      </c>
      <c r="M7" s="8">
        <v>100</v>
      </c>
      <c r="N7" s="8">
        <v>100</v>
      </c>
      <c r="O7" s="8">
        <v>100</v>
      </c>
      <c r="P7" s="8">
        <v>100</v>
      </c>
      <c r="Q7" s="8">
        <v>100</v>
      </c>
      <c r="R7" s="8">
        <v>1224</v>
      </c>
      <c r="S7" s="8">
        <v>1216</v>
      </c>
      <c r="T7" s="8">
        <v>100</v>
      </c>
      <c r="U7" s="15">
        <v>272.30769230769198</v>
      </c>
      <c r="V7" s="6" t="s">
        <v>708</v>
      </c>
    </row>
    <row r="8" spans="1:22" ht="30" customHeight="1">
      <c r="A8" s="6" t="s">
        <v>697</v>
      </c>
      <c r="B8" s="6" t="s">
        <v>709</v>
      </c>
      <c r="C8" s="6" t="s">
        <v>710</v>
      </c>
      <c r="D8" s="6" t="s">
        <v>25</v>
      </c>
      <c r="E8" s="6" t="s">
        <v>700</v>
      </c>
      <c r="F8" s="6">
        <v>30</v>
      </c>
      <c r="G8" s="14">
        <v>0</v>
      </c>
      <c r="H8" s="8">
        <v>30</v>
      </c>
      <c r="I8" s="8">
        <v>30</v>
      </c>
      <c r="J8" s="8">
        <v>30</v>
      </c>
      <c r="K8" s="8">
        <v>30</v>
      </c>
      <c r="L8" s="8">
        <v>30</v>
      </c>
      <c r="M8" s="8">
        <v>30</v>
      </c>
      <c r="N8" s="8">
        <v>30</v>
      </c>
      <c r="O8" s="8">
        <v>30</v>
      </c>
      <c r="P8" s="8">
        <v>30</v>
      </c>
      <c r="Q8" s="8">
        <v>30</v>
      </c>
      <c r="R8" s="8">
        <v>30</v>
      </c>
      <c r="S8" s="8">
        <v>30</v>
      </c>
      <c r="T8" s="8">
        <v>30</v>
      </c>
      <c r="U8" s="15">
        <v>30</v>
      </c>
      <c r="V8" s="6" t="s">
        <v>711</v>
      </c>
    </row>
    <row r="9" spans="1:22" ht="30" customHeight="1">
      <c r="A9" s="6" t="s">
        <v>697</v>
      </c>
      <c r="B9" s="6" t="s">
        <v>712</v>
      </c>
      <c r="C9" s="6" t="s">
        <v>713</v>
      </c>
      <c r="D9" s="6" t="s">
        <v>25</v>
      </c>
      <c r="E9" s="6" t="s">
        <v>700</v>
      </c>
      <c r="F9" s="6">
        <v>30</v>
      </c>
      <c r="G9" s="14">
        <v>654.61538461538498</v>
      </c>
      <c r="H9" s="8">
        <v>691</v>
      </c>
      <c r="I9" s="8">
        <v>874</v>
      </c>
      <c r="J9" s="8">
        <v>772</v>
      </c>
      <c r="K9" s="8">
        <v>1116</v>
      </c>
      <c r="L9" s="8">
        <v>1634</v>
      </c>
      <c r="M9" s="8">
        <v>1159</v>
      </c>
      <c r="N9" s="8">
        <v>573</v>
      </c>
      <c r="O9" s="8">
        <v>507</v>
      </c>
      <c r="P9" s="8">
        <v>408</v>
      </c>
      <c r="Q9" s="8">
        <v>423</v>
      </c>
      <c r="R9" s="8">
        <v>388</v>
      </c>
      <c r="S9" s="8">
        <v>325</v>
      </c>
      <c r="T9" s="8">
        <v>30</v>
      </c>
      <c r="U9" s="15">
        <v>684.61538461538498</v>
      </c>
      <c r="V9" s="6" t="s">
        <v>711</v>
      </c>
    </row>
    <row r="10" spans="1:22" ht="30" customHeight="1">
      <c r="A10" s="6" t="s">
        <v>697</v>
      </c>
      <c r="B10" s="6" t="s">
        <v>714</v>
      </c>
      <c r="C10" s="6" t="s">
        <v>715</v>
      </c>
      <c r="D10" s="6" t="s">
        <v>25</v>
      </c>
      <c r="E10" s="6" t="s">
        <v>704</v>
      </c>
      <c r="F10" s="6">
        <v>100</v>
      </c>
      <c r="G10" s="14">
        <v>1850</v>
      </c>
      <c r="H10" s="16">
        <v>2090</v>
      </c>
      <c r="I10" s="16">
        <v>2400</v>
      </c>
      <c r="J10" s="8">
        <v>2480</v>
      </c>
      <c r="K10" s="8">
        <v>2970</v>
      </c>
      <c r="L10" s="8">
        <v>3870</v>
      </c>
      <c r="M10" s="8">
        <v>3390</v>
      </c>
      <c r="N10" s="8">
        <v>1790</v>
      </c>
      <c r="O10" s="8">
        <v>1580</v>
      </c>
      <c r="P10" s="8">
        <v>1170</v>
      </c>
      <c r="Q10" s="8">
        <v>1160</v>
      </c>
      <c r="R10" s="8">
        <v>1150</v>
      </c>
      <c r="S10" s="8">
        <v>1200</v>
      </c>
      <c r="T10" s="8">
        <v>100</v>
      </c>
      <c r="U10" s="15">
        <v>1950</v>
      </c>
      <c r="V10" s="6" t="s">
        <v>716</v>
      </c>
    </row>
    <row r="11" spans="1:22" ht="30" customHeight="1">
      <c r="A11" s="6" t="s">
        <v>697</v>
      </c>
      <c r="B11" s="6" t="s">
        <v>717</v>
      </c>
      <c r="C11" s="6" t="s">
        <v>718</v>
      </c>
      <c r="D11" s="6" t="s">
        <v>25</v>
      </c>
      <c r="E11" s="6" t="s">
        <v>704</v>
      </c>
      <c r="F11" s="6">
        <v>100</v>
      </c>
      <c r="G11" s="14">
        <v>875.38461538461502</v>
      </c>
      <c r="H11" s="8">
        <v>1440</v>
      </c>
      <c r="I11" s="8">
        <v>1050</v>
      </c>
      <c r="J11" s="8">
        <v>1040</v>
      </c>
      <c r="K11" s="8">
        <v>1690</v>
      </c>
      <c r="L11" s="8">
        <v>2100</v>
      </c>
      <c r="M11" s="8">
        <v>1760</v>
      </c>
      <c r="N11" s="8">
        <v>890</v>
      </c>
      <c r="O11" s="8">
        <v>700</v>
      </c>
      <c r="P11" s="8">
        <v>480</v>
      </c>
      <c r="Q11" s="8">
        <v>450</v>
      </c>
      <c r="R11" s="8">
        <v>190</v>
      </c>
      <c r="S11" s="8">
        <v>790</v>
      </c>
      <c r="T11" s="8">
        <v>100</v>
      </c>
      <c r="U11" s="15">
        <v>975.38461538461502</v>
      </c>
      <c r="V11" s="6" t="s">
        <v>719</v>
      </c>
    </row>
    <row r="12" spans="1:22" ht="30" customHeight="1">
      <c r="A12" s="6" t="s">
        <v>697</v>
      </c>
      <c r="B12" s="6" t="s">
        <v>720</v>
      </c>
      <c r="C12" s="6" t="s">
        <v>721</v>
      </c>
      <c r="D12" s="6" t="s">
        <v>25</v>
      </c>
      <c r="E12" s="6" t="s">
        <v>704</v>
      </c>
      <c r="F12" s="6">
        <v>100</v>
      </c>
      <c r="G12" s="14">
        <v>495.61538461538498</v>
      </c>
      <c r="H12" s="16">
        <v>100</v>
      </c>
      <c r="I12" s="16">
        <v>100</v>
      </c>
      <c r="J12" s="8">
        <v>274</v>
      </c>
      <c r="K12" s="8">
        <v>1199</v>
      </c>
      <c r="L12" s="8">
        <v>1822</v>
      </c>
      <c r="M12" s="8">
        <v>1523</v>
      </c>
      <c r="N12" s="8">
        <v>618</v>
      </c>
      <c r="O12" s="8">
        <v>406</v>
      </c>
      <c r="P12" s="8">
        <v>452</v>
      </c>
      <c r="Q12" s="8">
        <v>369</v>
      </c>
      <c r="R12" s="8">
        <v>100</v>
      </c>
      <c r="S12" s="8">
        <v>680</v>
      </c>
      <c r="T12" s="8">
        <v>100</v>
      </c>
      <c r="U12" s="15">
        <v>595.61538461538498</v>
      </c>
      <c r="V12" s="6" t="s">
        <v>722</v>
      </c>
    </row>
    <row r="13" spans="1:22" ht="30" customHeight="1">
      <c r="A13" s="6" t="s">
        <v>697</v>
      </c>
      <c r="B13" s="6" t="s">
        <v>723</v>
      </c>
      <c r="C13" s="6" t="s">
        <v>724</v>
      </c>
      <c r="D13" s="6" t="s">
        <v>25</v>
      </c>
      <c r="E13" s="6" t="s">
        <v>704</v>
      </c>
      <c r="F13" s="6">
        <v>100</v>
      </c>
      <c r="G13" s="14">
        <v>2484.3076923076901</v>
      </c>
      <c r="H13" s="16">
        <v>3064</v>
      </c>
      <c r="I13" s="16">
        <v>3629</v>
      </c>
      <c r="J13" s="8">
        <v>2192</v>
      </c>
      <c r="K13" s="8">
        <v>1700</v>
      </c>
      <c r="L13" s="8">
        <v>9457</v>
      </c>
      <c r="M13" s="8">
        <v>7782</v>
      </c>
      <c r="N13" s="8">
        <v>2657</v>
      </c>
      <c r="O13" s="8">
        <v>1467</v>
      </c>
      <c r="P13" s="8">
        <v>388</v>
      </c>
      <c r="Q13" s="8">
        <v>256</v>
      </c>
      <c r="R13" s="8">
        <v>349</v>
      </c>
      <c r="S13" s="8">
        <v>555</v>
      </c>
      <c r="T13" s="8">
        <v>100</v>
      </c>
      <c r="U13" s="15">
        <v>2584.3076923076901</v>
      </c>
      <c r="V13" s="6" t="s">
        <v>725</v>
      </c>
    </row>
    <row r="14" spans="1:22" ht="30" customHeight="1">
      <c r="A14" s="6" t="s">
        <v>697</v>
      </c>
      <c r="B14" s="6" t="s">
        <v>726</v>
      </c>
      <c r="C14" s="6" t="s">
        <v>727</v>
      </c>
      <c r="D14" s="6" t="s">
        <v>25</v>
      </c>
      <c r="E14" s="6" t="s">
        <v>704</v>
      </c>
      <c r="F14" s="6">
        <v>100</v>
      </c>
      <c r="G14" s="14">
        <v>5973.6153846153902</v>
      </c>
      <c r="H14" s="16">
        <v>7649</v>
      </c>
      <c r="I14" s="16">
        <v>6744</v>
      </c>
      <c r="J14" s="8">
        <v>5368</v>
      </c>
      <c r="K14" s="8">
        <v>4522</v>
      </c>
      <c r="L14" s="8">
        <v>9472</v>
      </c>
      <c r="M14" s="8">
        <v>8586</v>
      </c>
      <c r="N14" s="8">
        <v>6602</v>
      </c>
      <c r="O14" s="8">
        <v>6408</v>
      </c>
      <c r="P14" s="8">
        <v>5911</v>
      </c>
      <c r="Q14" s="8">
        <v>4570</v>
      </c>
      <c r="R14" s="8">
        <v>6654</v>
      </c>
      <c r="S14" s="8">
        <v>6371</v>
      </c>
      <c r="T14" s="8">
        <v>100</v>
      </c>
      <c r="U14" s="15">
        <v>6073.6153846153902</v>
      </c>
      <c r="V14" s="6" t="s">
        <v>725</v>
      </c>
    </row>
    <row r="15" spans="1:22" ht="30" customHeight="1">
      <c r="A15" s="6" t="s">
        <v>697</v>
      </c>
      <c r="B15" s="6" t="s">
        <v>728</v>
      </c>
      <c r="C15" s="6" t="s">
        <v>729</v>
      </c>
      <c r="D15" s="6" t="s">
        <v>25</v>
      </c>
      <c r="E15" s="6" t="s">
        <v>704</v>
      </c>
      <c r="F15" s="6">
        <v>100</v>
      </c>
      <c r="G15" s="14">
        <v>339.230769230769</v>
      </c>
      <c r="H15" s="16">
        <v>599</v>
      </c>
      <c r="I15" s="16">
        <v>448</v>
      </c>
      <c r="J15" s="8">
        <v>327</v>
      </c>
      <c r="K15" s="8">
        <v>249</v>
      </c>
      <c r="L15" s="8">
        <v>442</v>
      </c>
      <c r="M15" s="8">
        <v>445</v>
      </c>
      <c r="N15" s="8">
        <v>502</v>
      </c>
      <c r="O15" s="8">
        <v>541</v>
      </c>
      <c r="P15" s="8">
        <v>536</v>
      </c>
      <c r="Q15" s="8">
        <v>471</v>
      </c>
      <c r="R15" s="8">
        <v>508</v>
      </c>
      <c r="S15" s="8">
        <v>542</v>
      </c>
      <c r="T15" s="8">
        <v>100</v>
      </c>
      <c r="U15" s="15">
        <v>439.230769230769</v>
      </c>
      <c r="V15" s="6" t="s">
        <v>705</v>
      </c>
    </row>
    <row r="16" spans="1:22" ht="30" customHeight="1">
      <c r="A16" s="6" t="s">
        <v>697</v>
      </c>
      <c r="B16" s="6" t="s">
        <v>730</v>
      </c>
      <c r="C16" s="6" t="s">
        <v>731</v>
      </c>
      <c r="D16" s="6" t="s">
        <v>25</v>
      </c>
      <c r="E16" s="6" t="s">
        <v>732</v>
      </c>
      <c r="F16" s="6">
        <v>50</v>
      </c>
      <c r="G16" s="14">
        <v>854.69230769230796</v>
      </c>
      <c r="H16" s="16">
        <v>965</v>
      </c>
      <c r="I16" s="16">
        <v>1030</v>
      </c>
      <c r="J16" s="8">
        <v>1132</v>
      </c>
      <c r="K16" s="8">
        <v>1901</v>
      </c>
      <c r="L16" s="8">
        <v>2235</v>
      </c>
      <c r="M16" s="8">
        <v>1468</v>
      </c>
      <c r="N16" s="8">
        <v>623</v>
      </c>
      <c r="O16" s="8">
        <v>572</v>
      </c>
      <c r="P16" s="8">
        <v>439</v>
      </c>
      <c r="Q16" s="8">
        <v>396</v>
      </c>
      <c r="R16" s="8">
        <v>458</v>
      </c>
      <c r="S16" s="8">
        <v>492</v>
      </c>
      <c r="T16" s="8">
        <v>50</v>
      </c>
      <c r="U16" s="15">
        <v>904.69230769230796</v>
      </c>
      <c r="V16" s="6" t="s">
        <v>733</v>
      </c>
    </row>
    <row r="17" spans="1:22" ht="30" customHeight="1">
      <c r="A17" s="6" t="s">
        <v>697</v>
      </c>
      <c r="B17" s="6" t="s">
        <v>734</v>
      </c>
      <c r="C17" s="6" t="s">
        <v>735</v>
      </c>
      <c r="D17" s="6" t="s">
        <v>25</v>
      </c>
      <c r="E17" s="17" t="s">
        <v>704</v>
      </c>
      <c r="F17" s="6">
        <v>100</v>
      </c>
      <c r="G17" s="14">
        <v>2191.0769230769201</v>
      </c>
      <c r="H17" s="16">
        <v>2482</v>
      </c>
      <c r="I17" s="16">
        <v>2670</v>
      </c>
      <c r="J17" s="8">
        <v>2780</v>
      </c>
      <c r="K17" s="8">
        <v>3602</v>
      </c>
      <c r="L17" s="8">
        <v>4976</v>
      </c>
      <c r="M17" s="8">
        <v>3440</v>
      </c>
      <c r="N17" s="8">
        <v>2211</v>
      </c>
      <c r="O17" s="8">
        <v>1916</v>
      </c>
      <c r="P17" s="8">
        <v>1589</v>
      </c>
      <c r="Q17" s="8">
        <v>1326</v>
      </c>
      <c r="R17" s="8">
        <v>1288</v>
      </c>
      <c r="S17" s="8">
        <v>1404</v>
      </c>
      <c r="T17" s="8">
        <v>100</v>
      </c>
      <c r="U17" s="15">
        <v>2291.0769230769201</v>
      </c>
      <c r="V17" s="6" t="s">
        <v>736</v>
      </c>
    </row>
    <row r="18" spans="1:22" ht="30" customHeight="1">
      <c r="A18" s="6" t="s">
        <v>697</v>
      </c>
      <c r="B18" s="6" t="s">
        <v>737</v>
      </c>
      <c r="C18" s="6" t="s">
        <v>738</v>
      </c>
      <c r="D18" s="6" t="s">
        <v>25</v>
      </c>
      <c r="E18" s="17" t="s">
        <v>704</v>
      </c>
      <c r="F18" s="6">
        <v>100</v>
      </c>
      <c r="G18" s="14">
        <v>90</v>
      </c>
      <c r="H18" s="16">
        <v>100</v>
      </c>
      <c r="I18" s="16">
        <v>100</v>
      </c>
      <c r="J18" s="8">
        <v>100</v>
      </c>
      <c r="K18" s="8">
        <v>100</v>
      </c>
      <c r="L18" s="8">
        <v>100</v>
      </c>
      <c r="M18" s="8">
        <v>100</v>
      </c>
      <c r="N18" s="8">
        <v>100</v>
      </c>
      <c r="O18" s="8">
        <v>100</v>
      </c>
      <c r="P18" s="8">
        <v>100</v>
      </c>
      <c r="Q18" s="8">
        <v>100</v>
      </c>
      <c r="R18" s="8">
        <v>670</v>
      </c>
      <c r="S18" s="8">
        <v>700</v>
      </c>
      <c r="T18" s="8">
        <v>100</v>
      </c>
      <c r="U18" s="15">
        <v>190</v>
      </c>
      <c r="V18" s="6" t="s">
        <v>739</v>
      </c>
    </row>
    <row r="19" spans="1:22" ht="30" customHeight="1">
      <c r="A19" s="6" t="s">
        <v>697</v>
      </c>
      <c r="B19" s="6" t="s">
        <v>740</v>
      </c>
      <c r="C19" s="6" t="s">
        <v>741</v>
      </c>
      <c r="D19" s="6" t="s">
        <v>25</v>
      </c>
      <c r="E19" s="17" t="s">
        <v>700</v>
      </c>
      <c r="F19" s="6">
        <v>30</v>
      </c>
      <c r="G19" s="14">
        <v>763.76923076923094</v>
      </c>
      <c r="H19" s="16">
        <v>1083</v>
      </c>
      <c r="I19" s="16">
        <v>1168</v>
      </c>
      <c r="J19" s="8">
        <v>372</v>
      </c>
      <c r="K19" s="8">
        <v>995</v>
      </c>
      <c r="L19" s="8">
        <v>1810</v>
      </c>
      <c r="M19" s="8">
        <v>1261</v>
      </c>
      <c r="N19" s="8">
        <v>740</v>
      </c>
      <c r="O19" s="8">
        <v>575</v>
      </c>
      <c r="P19" s="8">
        <v>731</v>
      </c>
      <c r="Q19" s="8">
        <v>422</v>
      </c>
      <c r="R19" s="8">
        <v>552</v>
      </c>
      <c r="S19" s="8">
        <v>580</v>
      </c>
      <c r="T19" s="8">
        <v>30</v>
      </c>
      <c r="U19" s="15">
        <v>793.76923076923094</v>
      </c>
      <c r="V19" s="6" t="s">
        <v>742</v>
      </c>
    </row>
    <row r="20" spans="1:22" ht="30" customHeight="1">
      <c r="A20" s="6" t="s">
        <v>697</v>
      </c>
      <c r="B20" s="6" t="s">
        <v>743</v>
      </c>
      <c r="C20" s="6" t="s">
        <v>744</v>
      </c>
      <c r="D20" s="6" t="s">
        <v>25</v>
      </c>
      <c r="E20" s="17" t="s">
        <v>704</v>
      </c>
      <c r="F20" s="6">
        <v>100</v>
      </c>
      <c r="G20" s="14">
        <v>501.69230769230802</v>
      </c>
      <c r="H20" s="16">
        <v>753</v>
      </c>
      <c r="I20" s="16">
        <v>726</v>
      </c>
      <c r="J20" s="8">
        <v>218</v>
      </c>
      <c r="K20" s="8">
        <v>972</v>
      </c>
      <c r="L20" s="8">
        <v>1315</v>
      </c>
      <c r="M20" s="8">
        <v>928</v>
      </c>
      <c r="N20" s="8">
        <v>537</v>
      </c>
      <c r="O20" s="8">
        <v>437</v>
      </c>
      <c r="P20" s="8">
        <v>467</v>
      </c>
      <c r="Q20" s="8">
        <v>345</v>
      </c>
      <c r="R20" s="8">
        <v>499</v>
      </c>
      <c r="S20" s="8">
        <v>525</v>
      </c>
      <c r="T20" s="8">
        <v>100</v>
      </c>
      <c r="U20" s="15">
        <v>601.69230769230796</v>
      </c>
      <c r="V20" s="6" t="s">
        <v>745</v>
      </c>
    </row>
    <row r="21" spans="1:22" ht="30" customHeight="1">
      <c r="A21" s="6" t="s">
        <v>697</v>
      </c>
      <c r="B21" s="6" t="s">
        <v>746</v>
      </c>
      <c r="C21" s="6" t="s">
        <v>747</v>
      </c>
      <c r="D21" s="6" t="s">
        <v>25</v>
      </c>
      <c r="E21" s="17" t="s">
        <v>704</v>
      </c>
      <c r="F21" s="6">
        <v>100</v>
      </c>
      <c r="G21" s="14">
        <v>639.61538461538498</v>
      </c>
      <c r="H21" s="16">
        <v>961</v>
      </c>
      <c r="I21" s="16">
        <v>869</v>
      </c>
      <c r="J21" s="8">
        <v>311</v>
      </c>
      <c r="K21" s="8">
        <v>1383</v>
      </c>
      <c r="L21" s="8">
        <v>1681</v>
      </c>
      <c r="M21" s="8">
        <v>1249</v>
      </c>
      <c r="N21" s="8">
        <v>691</v>
      </c>
      <c r="O21" s="8">
        <v>474</v>
      </c>
      <c r="P21" s="8">
        <v>461</v>
      </c>
      <c r="Q21" s="8">
        <v>327</v>
      </c>
      <c r="R21" s="8">
        <v>474</v>
      </c>
      <c r="S21" s="8">
        <v>634</v>
      </c>
      <c r="T21" s="8">
        <v>100</v>
      </c>
      <c r="U21" s="15">
        <v>739.61538461538498</v>
      </c>
      <c r="V21" s="6" t="s">
        <v>748</v>
      </c>
    </row>
    <row r="22" spans="1:22" ht="30" customHeight="1">
      <c r="A22" s="6" t="s">
        <v>697</v>
      </c>
      <c r="B22" s="6" t="s">
        <v>749</v>
      </c>
      <c r="C22" s="6" t="s">
        <v>750</v>
      </c>
      <c r="D22" s="6" t="s">
        <v>25</v>
      </c>
      <c r="E22" s="17" t="s">
        <v>704</v>
      </c>
      <c r="F22" s="6">
        <v>100</v>
      </c>
      <c r="G22" s="14">
        <v>1228.61538461539</v>
      </c>
      <c r="H22" s="16">
        <v>1812</v>
      </c>
      <c r="I22" s="16">
        <v>100</v>
      </c>
      <c r="J22" s="8">
        <v>856</v>
      </c>
      <c r="K22" s="8">
        <v>3170</v>
      </c>
      <c r="L22" s="8">
        <v>1525</v>
      </c>
      <c r="M22" s="8">
        <v>1393</v>
      </c>
      <c r="N22" s="8">
        <v>1532</v>
      </c>
      <c r="O22" s="8">
        <v>1665</v>
      </c>
      <c r="P22" s="8">
        <v>1413</v>
      </c>
      <c r="Q22" s="8">
        <v>1699</v>
      </c>
      <c r="R22" s="8">
        <v>100</v>
      </c>
      <c r="S22" s="8">
        <v>1907</v>
      </c>
      <c r="T22" s="8">
        <v>100</v>
      </c>
      <c r="U22" s="15">
        <v>1328.61538461539</v>
      </c>
      <c r="V22" s="6" t="s">
        <v>751</v>
      </c>
    </row>
    <row r="23" spans="1:22" ht="30" customHeight="1">
      <c r="A23" s="6" t="s">
        <v>697</v>
      </c>
      <c r="B23" s="6" t="s">
        <v>752</v>
      </c>
      <c r="C23" s="6" t="s">
        <v>753</v>
      </c>
      <c r="D23" s="6" t="s">
        <v>25</v>
      </c>
      <c r="E23" s="17" t="s">
        <v>704</v>
      </c>
      <c r="F23" s="6">
        <v>100</v>
      </c>
      <c r="G23" s="14">
        <v>582.30769230769204</v>
      </c>
      <c r="H23" s="16">
        <v>100</v>
      </c>
      <c r="I23" s="16">
        <v>920</v>
      </c>
      <c r="J23" s="8">
        <v>140</v>
      </c>
      <c r="K23" s="8">
        <v>1700</v>
      </c>
      <c r="L23" s="8">
        <v>940</v>
      </c>
      <c r="M23" s="8">
        <v>850</v>
      </c>
      <c r="N23" s="8">
        <v>1550</v>
      </c>
      <c r="O23" s="8">
        <v>480</v>
      </c>
      <c r="P23" s="8">
        <v>570</v>
      </c>
      <c r="Q23" s="8">
        <v>460</v>
      </c>
      <c r="R23" s="8">
        <v>540</v>
      </c>
      <c r="S23" s="8">
        <v>520</v>
      </c>
      <c r="T23" s="8">
        <v>100</v>
      </c>
      <c r="U23" s="15">
        <v>682.30769230769204</v>
      </c>
      <c r="V23" s="6" t="s">
        <v>754</v>
      </c>
    </row>
    <row r="24" spans="1:22" ht="30" customHeight="1">
      <c r="A24" s="6" t="s">
        <v>697</v>
      </c>
      <c r="B24" s="6" t="s">
        <v>755</v>
      </c>
      <c r="C24" s="6" t="s">
        <v>756</v>
      </c>
      <c r="D24" s="6" t="s">
        <v>25</v>
      </c>
      <c r="E24" s="17" t="s">
        <v>704</v>
      </c>
      <c r="F24" s="6">
        <v>100</v>
      </c>
      <c r="G24" s="14">
        <v>566.38461538461502</v>
      </c>
      <c r="H24" s="16">
        <v>982</v>
      </c>
      <c r="I24" s="16">
        <v>1024</v>
      </c>
      <c r="J24" s="8">
        <v>416</v>
      </c>
      <c r="K24" s="8">
        <v>923</v>
      </c>
      <c r="L24" s="8">
        <v>1821</v>
      </c>
      <c r="M24" s="8">
        <v>1005</v>
      </c>
      <c r="N24" s="8">
        <v>533</v>
      </c>
      <c r="O24" s="8">
        <v>405</v>
      </c>
      <c r="P24" s="8">
        <v>320</v>
      </c>
      <c r="Q24" s="8">
        <v>305</v>
      </c>
      <c r="R24" s="8">
        <v>379</v>
      </c>
      <c r="S24" s="8">
        <v>450</v>
      </c>
      <c r="T24" s="8">
        <v>100</v>
      </c>
      <c r="U24" s="15">
        <v>666.38461538461502</v>
      </c>
      <c r="V24" s="6" t="s">
        <v>757</v>
      </c>
    </row>
    <row r="25" spans="1:22" ht="30" customHeight="1">
      <c r="A25" s="6" t="s">
        <v>697</v>
      </c>
      <c r="B25" s="6" t="s">
        <v>758</v>
      </c>
      <c r="C25" s="6" t="s">
        <v>759</v>
      </c>
      <c r="D25" s="6" t="s">
        <v>25</v>
      </c>
      <c r="E25" s="6" t="s">
        <v>732</v>
      </c>
      <c r="F25" s="6">
        <v>50</v>
      </c>
      <c r="G25" s="14">
        <v>317</v>
      </c>
      <c r="H25" s="16">
        <v>423</v>
      </c>
      <c r="I25" s="16">
        <v>541</v>
      </c>
      <c r="J25" s="8">
        <v>580</v>
      </c>
      <c r="K25" s="8">
        <v>1157</v>
      </c>
      <c r="L25" s="8">
        <v>1077</v>
      </c>
      <c r="M25" s="8">
        <v>533</v>
      </c>
      <c r="N25" s="8">
        <v>115</v>
      </c>
      <c r="O25" s="8">
        <v>95</v>
      </c>
      <c r="P25" s="8">
        <v>50</v>
      </c>
      <c r="Q25" s="8">
        <v>50</v>
      </c>
      <c r="R25" s="8">
        <v>50</v>
      </c>
      <c r="S25" s="8">
        <v>50</v>
      </c>
      <c r="T25" s="8">
        <v>50</v>
      </c>
      <c r="U25" s="15">
        <v>367</v>
      </c>
      <c r="V25" s="6" t="s">
        <v>760</v>
      </c>
    </row>
    <row r="26" spans="1:22" ht="30" customHeight="1">
      <c r="A26" s="6" t="s">
        <v>697</v>
      </c>
      <c r="B26" s="6" t="s">
        <v>761</v>
      </c>
      <c r="C26" s="6" t="s">
        <v>762</v>
      </c>
      <c r="D26" s="6" t="s">
        <v>25</v>
      </c>
      <c r="E26" s="17" t="s">
        <v>704</v>
      </c>
      <c r="F26" s="6">
        <v>100</v>
      </c>
      <c r="G26" s="14">
        <v>1063.8461538461499</v>
      </c>
      <c r="H26" s="16">
        <v>100</v>
      </c>
      <c r="I26" s="16">
        <v>1810</v>
      </c>
      <c r="J26" s="8">
        <v>540</v>
      </c>
      <c r="K26" s="8">
        <v>3220</v>
      </c>
      <c r="L26" s="8">
        <v>2980</v>
      </c>
      <c r="M26" s="8">
        <v>1880</v>
      </c>
      <c r="N26" s="8">
        <v>1040</v>
      </c>
      <c r="O26" s="8">
        <v>780</v>
      </c>
      <c r="P26" s="8">
        <v>710</v>
      </c>
      <c r="Q26" s="8">
        <v>510</v>
      </c>
      <c r="R26" s="8">
        <v>700</v>
      </c>
      <c r="S26" s="8">
        <v>760</v>
      </c>
      <c r="T26" s="8">
        <v>100</v>
      </c>
      <c r="U26" s="15">
        <v>1163.8461538461499</v>
      </c>
      <c r="V26" s="6" t="s">
        <v>763</v>
      </c>
    </row>
    <row r="27" spans="1:22" ht="30" customHeight="1">
      <c r="A27" s="6" t="s">
        <v>697</v>
      </c>
      <c r="B27" s="6" t="s">
        <v>764</v>
      </c>
      <c r="C27" s="6" t="s">
        <v>765</v>
      </c>
      <c r="D27" s="6" t="s">
        <v>25</v>
      </c>
      <c r="E27" s="17" t="s">
        <v>700</v>
      </c>
      <c r="F27" s="6">
        <v>30</v>
      </c>
      <c r="G27" s="14">
        <v>0</v>
      </c>
      <c r="H27" s="16">
        <v>30</v>
      </c>
      <c r="I27" s="16">
        <v>30</v>
      </c>
      <c r="J27" s="8">
        <v>30</v>
      </c>
      <c r="K27" s="8">
        <v>30</v>
      </c>
      <c r="L27" s="8">
        <v>30</v>
      </c>
      <c r="M27" s="8">
        <v>30</v>
      </c>
      <c r="N27" s="8">
        <v>30</v>
      </c>
      <c r="O27" s="8">
        <v>30</v>
      </c>
      <c r="P27" s="8">
        <v>30</v>
      </c>
      <c r="Q27" s="8">
        <v>30</v>
      </c>
      <c r="R27" s="8">
        <v>30</v>
      </c>
      <c r="S27" s="8">
        <v>30</v>
      </c>
      <c r="T27" s="8">
        <v>30</v>
      </c>
      <c r="U27" s="15">
        <v>30</v>
      </c>
      <c r="V27" s="6" t="s">
        <v>766</v>
      </c>
    </row>
    <row r="28" spans="1:22" ht="30" customHeight="1">
      <c r="A28" s="6" t="s">
        <v>697</v>
      </c>
      <c r="B28" s="6" t="s">
        <v>767</v>
      </c>
      <c r="C28" s="6" t="s">
        <v>768</v>
      </c>
      <c r="D28" s="6" t="s">
        <v>25</v>
      </c>
      <c r="E28" s="17" t="s">
        <v>704</v>
      </c>
      <c r="F28" s="6">
        <v>100</v>
      </c>
      <c r="G28" s="14">
        <v>0</v>
      </c>
      <c r="H28" s="16">
        <v>100</v>
      </c>
      <c r="I28" s="16">
        <v>100</v>
      </c>
      <c r="J28" s="8">
        <v>100</v>
      </c>
      <c r="K28" s="8">
        <v>100</v>
      </c>
      <c r="L28" s="8">
        <v>100</v>
      </c>
      <c r="M28" s="8">
        <v>100</v>
      </c>
      <c r="N28" s="8">
        <v>100</v>
      </c>
      <c r="O28" s="8">
        <v>100</v>
      </c>
      <c r="P28" s="8">
        <v>100</v>
      </c>
      <c r="Q28" s="8">
        <v>100</v>
      </c>
      <c r="R28" s="8">
        <v>100</v>
      </c>
      <c r="S28" s="8">
        <v>100</v>
      </c>
      <c r="T28" s="8">
        <v>100</v>
      </c>
      <c r="U28" s="15">
        <v>100</v>
      </c>
      <c r="V28" s="6" t="s">
        <v>769</v>
      </c>
    </row>
    <row r="29" spans="1:22" ht="30" customHeight="1">
      <c r="A29" s="6" t="s">
        <v>697</v>
      </c>
      <c r="B29" s="6" t="s">
        <v>770</v>
      </c>
      <c r="C29" s="6" t="s">
        <v>771</v>
      </c>
      <c r="D29" s="6" t="s">
        <v>25</v>
      </c>
      <c r="E29" s="17" t="s">
        <v>704</v>
      </c>
      <c r="F29" s="6">
        <v>100</v>
      </c>
      <c r="G29" s="14">
        <v>1180.8461538461499</v>
      </c>
      <c r="H29" s="16">
        <v>1406</v>
      </c>
      <c r="I29" s="16">
        <v>1358</v>
      </c>
      <c r="J29" s="8">
        <v>1434</v>
      </c>
      <c r="K29" s="8">
        <v>2423</v>
      </c>
      <c r="L29" s="8">
        <v>2568</v>
      </c>
      <c r="M29" s="8">
        <v>1961</v>
      </c>
      <c r="N29" s="8">
        <v>1321</v>
      </c>
      <c r="O29" s="8">
        <v>931</v>
      </c>
      <c r="P29" s="8">
        <v>1158</v>
      </c>
      <c r="Q29" s="8">
        <v>171</v>
      </c>
      <c r="R29" s="8">
        <v>1720</v>
      </c>
      <c r="S29" s="8">
        <v>100</v>
      </c>
      <c r="T29" s="8">
        <v>100</v>
      </c>
      <c r="U29" s="15">
        <v>1280.8461538461499</v>
      </c>
      <c r="V29" s="6" t="s">
        <v>772</v>
      </c>
    </row>
    <row r="30" spans="1:22" ht="30" customHeight="1">
      <c r="A30" s="6" t="s">
        <v>697</v>
      </c>
      <c r="B30" s="6" t="s">
        <v>773</v>
      </c>
      <c r="C30" s="6" t="s">
        <v>774</v>
      </c>
      <c r="D30" s="6" t="s">
        <v>25</v>
      </c>
      <c r="E30" s="17" t="s">
        <v>700</v>
      </c>
      <c r="F30" s="6">
        <v>30</v>
      </c>
      <c r="G30" s="14">
        <v>268</v>
      </c>
      <c r="H30" s="16">
        <v>296</v>
      </c>
      <c r="I30" s="16">
        <v>326</v>
      </c>
      <c r="J30" s="8">
        <v>306</v>
      </c>
      <c r="K30" s="8">
        <v>526</v>
      </c>
      <c r="L30" s="8">
        <v>266</v>
      </c>
      <c r="M30" s="8">
        <v>952</v>
      </c>
      <c r="N30" s="8">
        <v>195</v>
      </c>
      <c r="O30" s="8">
        <v>226</v>
      </c>
      <c r="P30" s="8">
        <v>205</v>
      </c>
      <c r="Q30" s="8">
        <v>190</v>
      </c>
      <c r="R30" s="8">
        <v>199</v>
      </c>
      <c r="S30" s="8">
        <v>157</v>
      </c>
      <c r="T30" s="8">
        <v>30</v>
      </c>
      <c r="U30" s="15">
        <v>298</v>
      </c>
      <c r="V30" s="6" t="s">
        <v>775</v>
      </c>
    </row>
    <row r="31" spans="1:22" ht="30" customHeight="1">
      <c r="A31" s="6" t="s">
        <v>697</v>
      </c>
      <c r="B31" s="6" t="s">
        <v>776</v>
      </c>
      <c r="C31" s="6" t="s">
        <v>777</v>
      </c>
      <c r="D31" s="6" t="s">
        <v>25</v>
      </c>
      <c r="E31" s="17" t="s">
        <v>704</v>
      </c>
      <c r="F31" s="6">
        <v>100</v>
      </c>
      <c r="G31" s="14">
        <v>1906</v>
      </c>
      <c r="H31" s="16">
        <v>2199</v>
      </c>
      <c r="I31" s="16">
        <v>100</v>
      </c>
      <c r="J31" s="8">
        <v>4364</v>
      </c>
      <c r="K31" s="8">
        <v>2617</v>
      </c>
      <c r="L31" s="8">
        <v>3750</v>
      </c>
      <c r="M31" s="8">
        <v>3375</v>
      </c>
      <c r="N31" s="8">
        <v>2198</v>
      </c>
      <c r="O31" s="8">
        <v>1894</v>
      </c>
      <c r="P31" s="8">
        <v>1565</v>
      </c>
      <c r="Q31" s="8">
        <v>1270</v>
      </c>
      <c r="R31" s="8">
        <v>1385</v>
      </c>
      <c r="S31" s="8">
        <v>1261</v>
      </c>
      <c r="T31" s="8">
        <v>100</v>
      </c>
      <c r="U31" s="15">
        <v>2006</v>
      </c>
      <c r="V31" s="6" t="s">
        <v>778</v>
      </c>
    </row>
    <row r="32" spans="1:22" ht="30" customHeight="1">
      <c r="A32" s="6" t="s">
        <v>697</v>
      </c>
      <c r="B32" s="6" t="s">
        <v>779</v>
      </c>
      <c r="C32" s="6" t="s">
        <v>780</v>
      </c>
      <c r="D32" s="6" t="s">
        <v>25</v>
      </c>
      <c r="E32" s="17" t="s">
        <v>704</v>
      </c>
      <c r="F32" s="6">
        <v>100</v>
      </c>
      <c r="G32" s="14">
        <v>1433.0769230769199</v>
      </c>
      <c r="H32" s="16">
        <v>2515</v>
      </c>
      <c r="I32" s="8">
        <v>1648</v>
      </c>
      <c r="J32" s="8">
        <v>1594</v>
      </c>
      <c r="K32" s="8">
        <v>1358</v>
      </c>
      <c r="L32" s="8">
        <v>3775</v>
      </c>
      <c r="M32" s="8">
        <v>3005</v>
      </c>
      <c r="N32" s="8">
        <v>1712</v>
      </c>
      <c r="O32" s="8">
        <v>914</v>
      </c>
      <c r="P32" s="8">
        <v>898</v>
      </c>
      <c r="Q32" s="8">
        <v>676</v>
      </c>
      <c r="R32" s="8">
        <v>847</v>
      </c>
      <c r="S32" s="8">
        <v>888</v>
      </c>
      <c r="T32" s="8">
        <v>100</v>
      </c>
      <c r="U32" s="15">
        <v>1533.0769230769199</v>
      </c>
      <c r="V32" s="6" t="s">
        <v>781</v>
      </c>
    </row>
    <row r="33" spans="1:22" ht="30" customHeight="1">
      <c r="A33" s="6" t="s">
        <v>697</v>
      </c>
      <c r="B33" s="6" t="s">
        <v>782</v>
      </c>
      <c r="C33" s="6" t="s">
        <v>783</v>
      </c>
      <c r="D33" s="6" t="s">
        <v>25</v>
      </c>
      <c r="E33" s="17" t="s">
        <v>704</v>
      </c>
      <c r="F33" s="6">
        <v>100</v>
      </c>
      <c r="G33" s="14">
        <v>331.538461538462</v>
      </c>
      <c r="H33" s="16">
        <v>100</v>
      </c>
      <c r="I33" s="8">
        <v>900</v>
      </c>
      <c r="J33" s="8">
        <v>600</v>
      </c>
      <c r="K33" s="8">
        <v>100</v>
      </c>
      <c r="L33" s="8">
        <v>1470</v>
      </c>
      <c r="M33" s="8">
        <v>1270</v>
      </c>
      <c r="N33" s="8">
        <v>260</v>
      </c>
      <c r="O33" s="8">
        <v>240</v>
      </c>
      <c r="P33" s="8">
        <v>170</v>
      </c>
      <c r="Q33" s="8">
        <v>120</v>
      </c>
      <c r="R33" s="8">
        <v>130</v>
      </c>
      <c r="S33" s="8">
        <v>150</v>
      </c>
      <c r="T33" s="8">
        <v>100</v>
      </c>
      <c r="U33" s="15">
        <v>431.538461538462</v>
      </c>
      <c r="V33" s="6" t="s">
        <v>784</v>
      </c>
    </row>
    <row r="34" spans="1:22" ht="30" customHeight="1">
      <c r="A34" s="6" t="s">
        <v>697</v>
      </c>
      <c r="B34" s="6" t="s">
        <v>785</v>
      </c>
      <c r="C34" s="6" t="s">
        <v>786</v>
      </c>
      <c r="D34" s="6" t="s">
        <v>25</v>
      </c>
      <c r="E34" s="17" t="s">
        <v>704</v>
      </c>
      <c r="F34" s="6">
        <v>100</v>
      </c>
      <c r="G34" s="14">
        <v>2646.3846153846198</v>
      </c>
      <c r="H34" s="16">
        <v>4744</v>
      </c>
      <c r="I34" s="8">
        <v>4551</v>
      </c>
      <c r="J34" s="8">
        <v>881</v>
      </c>
      <c r="K34" s="8">
        <v>5192</v>
      </c>
      <c r="L34" s="8">
        <v>6833</v>
      </c>
      <c r="M34" s="8">
        <v>3691</v>
      </c>
      <c r="N34" s="8">
        <v>2499</v>
      </c>
      <c r="O34" s="8">
        <v>1580</v>
      </c>
      <c r="P34" s="8">
        <v>1222</v>
      </c>
      <c r="Q34" s="8">
        <v>1179</v>
      </c>
      <c r="R34" s="8">
        <v>1465</v>
      </c>
      <c r="S34" s="8">
        <v>1766</v>
      </c>
      <c r="T34" s="8">
        <v>100</v>
      </c>
      <c r="U34" s="15">
        <v>2746.3846153846198</v>
      </c>
      <c r="V34" s="6" t="s">
        <v>787</v>
      </c>
    </row>
    <row r="35" spans="1:22" ht="30" customHeight="1">
      <c r="A35" s="6" t="s">
        <v>697</v>
      </c>
      <c r="B35" s="6" t="s">
        <v>788</v>
      </c>
      <c r="C35" s="6" t="s">
        <v>789</v>
      </c>
      <c r="D35" s="6" t="s">
        <v>25</v>
      </c>
      <c r="E35" s="17" t="s">
        <v>704</v>
      </c>
      <c r="F35" s="6">
        <v>100</v>
      </c>
      <c r="G35" s="14">
        <v>660.30769230769204</v>
      </c>
      <c r="H35" s="16">
        <v>1107</v>
      </c>
      <c r="I35" s="8">
        <v>961</v>
      </c>
      <c r="J35" s="8">
        <v>177</v>
      </c>
      <c r="K35" s="8">
        <v>916</v>
      </c>
      <c r="L35" s="8">
        <v>1801</v>
      </c>
      <c r="M35" s="8">
        <v>1444</v>
      </c>
      <c r="N35" s="8">
        <v>801</v>
      </c>
      <c r="O35" s="8">
        <v>511</v>
      </c>
      <c r="P35" s="8">
        <v>463</v>
      </c>
      <c r="Q35" s="8">
        <v>320</v>
      </c>
      <c r="R35" s="8">
        <v>555</v>
      </c>
      <c r="S35" s="8">
        <v>728</v>
      </c>
      <c r="T35" s="8">
        <v>100</v>
      </c>
      <c r="U35" s="15">
        <v>760.30769230769204</v>
      </c>
      <c r="V35" s="6" t="s">
        <v>790</v>
      </c>
    </row>
    <row r="36" spans="1:22" ht="30" customHeight="1">
      <c r="A36" s="6" t="s">
        <v>697</v>
      </c>
      <c r="B36" s="6" t="s">
        <v>791</v>
      </c>
      <c r="C36" s="6" t="s">
        <v>792</v>
      </c>
      <c r="D36" s="6" t="s">
        <v>25</v>
      </c>
      <c r="E36" s="17" t="s">
        <v>704</v>
      </c>
      <c r="F36" s="6">
        <v>100</v>
      </c>
      <c r="G36" s="14">
        <v>3828.4615384615399</v>
      </c>
      <c r="H36" s="16">
        <v>4137</v>
      </c>
      <c r="I36" s="8">
        <v>5369</v>
      </c>
      <c r="J36" s="8">
        <v>5394</v>
      </c>
      <c r="K36" s="8">
        <v>6588</v>
      </c>
      <c r="L36" s="8">
        <v>8508</v>
      </c>
      <c r="M36" s="8">
        <v>6244</v>
      </c>
      <c r="N36" s="8">
        <v>3421</v>
      </c>
      <c r="O36" s="8">
        <v>3217</v>
      </c>
      <c r="P36" s="8">
        <v>2144</v>
      </c>
      <c r="Q36" s="8">
        <v>1830</v>
      </c>
      <c r="R36" s="8">
        <v>1861</v>
      </c>
      <c r="S36" s="8">
        <v>2257</v>
      </c>
      <c r="T36" s="8">
        <v>100</v>
      </c>
      <c r="U36" s="15">
        <v>3928.4615384615399</v>
      </c>
      <c r="V36" s="6" t="s">
        <v>793</v>
      </c>
    </row>
    <row r="37" spans="1:22" ht="30" customHeight="1">
      <c r="A37" s="6" t="s">
        <v>697</v>
      </c>
      <c r="B37" s="6" t="s">
        <v>794</v>
      </c>
      <c r="C37" s="6" t="s">
        <v>795</v>
      </c>
      <c r="D37" s="6" t="s">
        <v>25</v>
      </c>
      <c r="E37" s="6" t="s">
        <v>704</v>
      </c>
      <c r="F37" s="6">
        <v>100</v>
      </c>
      <c r="G37" s="14">
        <v>529.92307692307702</v>
      </c>
      <c r="H37" s="16">
        <v>777</v>
      </c>
      <c r="I37" s="8">
        <v>955</v>
      </c>
      <c r="J37" s="8">
        <v>368</v>
      </c>
      <c r="K37" s="8">
        <v>230</v>
      </c>
      <c r="L37" s="8">
        <v>1837</v>
      </c>
      <c r="M37" s="8">
        <v>1480</v>
      </c>
      <c r="N37" s="8">
        <v>547</v>
      </c>
      <c r="O37" s="8">
        <v>542</v>
      </c>
      <c r="P37" s="8">
        <v>369</v>
      </c>
      <c r="Q37" s="8">
        <v>270</v>
      </c>
      <c r="R37" s="8">
        <v>301</v>
      </c>
      <c r="S37" s="8">
        <v>413</v>
      </c>
      <c r="T37" s="8">
        <v>100</v>
      </c>
      <c r="U37" s="15">
        <v>629.92307692307702</v>
      </c>
      <c r="V37" s="6" t="s">
        <v>796</v>
      </c>
    </row>
    <row r="38" spans="1:22" ht="30" customHeight="1">
      <c r="A38" s="6" t="s">
        <v>697</v>
      </c>
      <c r="B38" s="6" t="s">
        <v>797</v>
      </c>
      <c r="C38" s="6" t="s">
        <v>798</v>
      </c>
      <c r="D38" s="6" t="s">
        <v>25</v>
      </c>
      <c r="E38" s="17" t="s">
        <v>700</v>
      </c>
      <c r="F38" s="6">
        <v>30</v>
      </c>
      <c r="G38" s="14">
        <v>250.769230769231</v>
      </c>
      <c r="H38" s="16">
        <v>279</v>
      </c>
      <c r="I38" s="16">
        <v>397</v>
      </c>
      <c r="J38" s="8">
        <v>479</v>
      </c>
      <c r="K38" s="8">
        <v>474</v>
      </c>
      <c r="L38" s="8">
        <v>697</v>
      </c>
      <c r="M38" s="8">
        <v>440</v>
      </c>
      <c r="N38" s="8">
        <v>265</v>
      </c>
      <c r="O38" s="8">
        <v>161</v>
      </c>
      <c r="P38" s="8">
        <v>101</v>
      </c>
      <c r="Q38" s="8">
        <v>131</v>
      </c>
      <c r="R38" s="8">
        <v>83</v>
      </c>
      <c r="S38" s="8">
        <v>113</v>
      </c>
      <c r="T38" s="8">
        <v>30</v>
      </c>
      <c r="U38" s="15">
        <v>280.769230769231</v>
      </c>
      <c r="V38" s="6" t="s">
        <v>799</v>
      </c>
    </row>
    <row r="39" spans="1:22" ht="30" customHeight="1">
      <c r="A39" s="6" t="s">
        <v>697</v>
      </c>
      <c r="B39" s="6" t="s">
        <v>800</v>
      </c>
      <c r="C39" s="6" t="s">
        <v>801</v>
      </c>
      <c r="D39" s="6" t="s">
        <v>25</v>
      </c>
      <c r="E39" s="17" t="s">
        <v>700</v>
      </c>
      <c r="F39" s="6">
        <v>30</v>
      </c>
      <c r="G39" s="14">
        <v>824.69230769230796</v>
      </c>
      <c r="H39" s="16">
        <v>1457</v>
      </c>
      <c r="I39" s="16">
        <v>924</v>
      </c>
      <c r="J39" s="8">
        <v>140</v>
      </c>
      <c r="K39" s="8">
        <v>1570</v>
      </c>
      <c r="L39" s="8">
        <v>1903</v>
      </c>
      <c r="M39" s="8">
        <v>969</v>
      </c>
      <c r="N39" s="8">
        <v>1145</v>
      </c>
      <c r="O39" s="8">
        <v>615</v>
      </c>
      <c r="P39" s="8">
        <v>511</v>
      </c>
      <c r="Q39" s="8">
        <v>79</v>
      </c>
      <c r="R39" s="8">
        <v>1006</v>
      </c>
      <c r="S39" s="8">
        <v>762</v>
      </c>
      <c r="T39" s="8">
        <v>30</v>
      </c>
      <c r="U39" s="15">
        <v>854.69230769230796</v>
      </c>
      <c r="V39" s="6" t="s">
        <v>802</v>
      </c>
    </row>
    <row r="40" spans="1:22" ht="30" customHeight="1">
      <c r="A40" s="6" t="s">
        <v>697</v>
      </c>
      <c r="B40" s="6" t="s">
        <v>803</v>
      </c>
      <c r="C40" s="6" t="s">
        <v>804</v>
      </c>
      <c r="D40" s="6" t="s">
        <v>25</v>
      </c>
      <c r="E40" s="17" t="s">
        <v>704</v>
      </c>
      <c r="F40" s="6">
        <v>100</v>
      </c>
      <c r="G40" s="14">
        <v>729.538461538462</v>
      </c>
      <c r="H40" s="16">
        <v>1110</v>
      </c>
      <c r="I40" s="16">
        <v>1265</v>
      </c>
      <c r="J40" s="8">
        <v>270</v>
      </c>
      <c r="K40" s="8">
        <v>1600</v>
      </c>
      <c r="L40" s="8">
        <v>2453</v>
      </c>
      <c r="M40" s="8">
        <v>1458</v>
      </c>
      <c r="N40" s="8">
        <v>551</v>
      </c>
      <c r="O40" s="8">
        <v>438</v>
      </c>
      <c r="P40" s="8">
        <v>370</v>
      </c>
      <c r="Q40" s="8">
        <v>291</v>
      </c>
      <c r="R40" s="8">
        <v>413</v>
      </c>
      <c r="S40" s="8">
        <v>465</v>
      </c>
      <c r="T40" s="8">
        <v>100</v>
      </c>
      <c r="U40" s="15">
        <v>829.538461538462</v>
      </c>
      <c r="V40" s="6" t="s">
        <v>805</v>
      </c>
    </row>
    <row r="41" spans="1:22" ht="30" customHeight="1">
      <c r="A41" s="6" t="s">
        <v>697</v>
      </c>
      <c r="B41" s="6" t="s">
        <v>806</v>
      </c>
      <c r="C41" s="6" t="s">
        <v>807</v>
      </c>
      <c r="D41" s="6" t="s">
        <v>25</v>
      </c>
      <c r="E41" s="17" t="s">
        <v>704</v>
      </c>
      <c r="F41" s="6">
        <v>100</v>
      </c>
      <c r="G41" s="14">
        <v>2856.9230769230799</v>
      </c>
      <c r="H41" s="16">
        <v>3610</v>
      </c>
      <c r="I41" s="16">
        <v>3450</v>
      </c>
      <c r="J41" s="8">
        <v>2920</v>
      </c>
      <c r="K41" s="8">
        <v>2810</v>
      </c>
      <c r="L41" s="8">
        <v>3500</v>
      </c>
      <c r="M41" s="8">
        <v>3700</v>
      </c>
      <c r="N41" s="8">
        <v>3540</v>
      </c>
      <c r="O41" s="8">
        <v>2850</v>
      </c>
      <c r="P41" s="8">
        <v>3200</v>
      </c>
      <c r="Q41" s="8">
        <v>2730</v>
      </c>
      <c r="R41" s="8">
        <v>2820</v>
      </c>
      <c r="S41" s="8">
        <v>3210</v>
      </c>
      <c r="T41" s="8">
        <v>100</v>
      </c>
      <c r="U41" s="15">
        <v>2956.9230769230799</v>
      </c>
      <c r="V41" s="6" t="s">
        <v>808</v>
      </c>
    </row>
    <row r="42" spans="1:22" ht="30" customHeight="1">
      <c r="A42" s="6" t="s">
        <v>697</v>
      </c>
      <c r="B42" s="6" t="s">
        <v>809</v>
      </c>
      <c r="C42" s="6" t="s">
        <v>810</v>
      </c>
      <c r="D42" s="6" t="s">
        <v>25</v>
      </c>
      <c r="E42" s="17" t="s">
        <v>704</v>
      </c>
      <c r="F42" s="6">
        <v>100</v>
      </c>
      <c r="G42" s="14">
        <v>366.84615384615398</v>
      </c>
      <c r="H42" s="16">
        <v>511</v>
      </c>
      <c r="I42" s="16">
        <v>506</v>
      </c>
      <c r="J42" s="8">
        <v>185</v>
      </c>
      <c r="K42" s="8">
        <v>652</v>
      </c>
      <c r="L42" s="8">
        <v>1083</v>
      </c>
      <c r="M42" s="8">
        <v>721</v>
      </c>
      <c r="N42" s="8">
        <v>385</v>
      </c>
      <c r="O42" s="8">
        <v>350</v>
      </c>
      <c r="P42" s="8">
        <v>414</v>
      </c>
      <c r="Q42" s="8">
        <v>319</v>
      </c>
      <c r="R42" s="8">
        <v>396</v>
      </c>
      <c r="S42" s="8">
        <v>447</v>
      </c>
      <c r="T42" s="8">
        <v>100</v>
      </c>
      <c r="U42" s="15">
        <v>466.84615384615398</v>
      </c>
      <c r="V42" s="6" t="s">
        <v>811</v>
      </c>
    </row>
    <row r="43" spans="1:22" ht="30" customHeight="1">
      <c r="A43" s="6" t="s">
        <v>697</v>
      </c>
      <c r="B43" s="6" t="s">
        <v>812</v>
      </c>
      <c r="C43" s="6" t="s">
        <v>813</v>
      </c>
      <c r="D43" s="6" t="s">
        <v>25</v>
      </c>
      <c r="E43" s="17" t="s">
        <v>700</v>
      </c>
      <c r="F43" s="6">
        <v>30</v>
      </c>
      <c r="G43" s="14">
        <v>216.61538461538501</v>
      </c>
      <c r="H43" s="16">
        <v>230</v>
      </c>
      <c r="I43" s="16">
        <v>274</v>
      </c>
      <c r="J43" s="8">
        <v>30</v>
      </c>
      <c r="K43" s="8">
        <v>542</v>
      </c>
      <c r="L43" s="8">
        <v>450</v>
      </c>
      <c r="M43" s="8">
        <v>429</v>
      </c>
      <c r="N43" s="8">
        <v>239</v>
      </c>
      <c r="O43" s="8">
        <v>228</v>
      </c>
      <c r="P43" s="8">
        <v>222</v>
      </c>
      <c r="Q43" s="8">
        <v>145</v>
      </c>
      <c r="R43" s="8">
        <v>155</v>
      </c>
      <c r="S43" s="8">
        <v>232</v>
      </c>
      <c r="T43" s="8">
        <v>30</v>
      </c>
      <c r="U43" s="15">
        <v>246.61538461538501</v>
      </c>
      <c r="V43" s="6" t="s">
        <v>814</v>
      </c>
    </row>
    <row r="44" spans="1:22" ht="30" customHeight="1">
      <c r="A44" s="6" t="s">
        <v>697</v>
      </c>
      <c r="B44" s="6" t="s">
        <v>815</v>
      </c>
      <c r="C44" s="6" t="s">
        <v>816</v>
      </c>
      <c r="D44" s="6" t="s">
        <v>25</v>
      </c>
      <c r="E44" s="17" t="s">
        <v>704</v>
      </c>
      <c r="F44" s="6">
        <v>100</v>
      </c>
      <c r="G44" s="14">
        <v>564</v>
      </c>
      <c r="H44" s="16">
        <v>1091</v>
      </c>
      <c r="I44" s="8">
        <v>676</v>
      </c>
      <c r="J44" s="8">
        <v>110</v>
      </c>
      <c r="K44" s="8">
        <v>646</v>
      </c>
      <c r="L44" s="8">
        <v>2253</v>
      </c>
      <c r="M44" s="8">
        <v>710</v>
      </c>
      <c r="N44" s="8">
        <v>773</v>
      </c>
      <c r="O44" s="8">
        <v>423</v>
      </c>
      <c r="P44" s="8">
        <v>445</v>
      </c>
      <c r="Q44" s="8">
        <v>403</v>
      </c>
      <c r="R44" s="8">
        <v>515</v>
      </c>
      <c r="S44" s="8">
        <v>487</v>
      </c>
      <c r="T44" s="8">
        <v>100</v>
      </c>
      <c r="U44" s="15">
        <v>664</v>
      </c>
      <c r="V44" s="6" t="s">
        <v>817</v>
      </c>
    </row>
    <row r="45" spans="1:22" ht="30" customHeight="1">
      <c r="A45" s="6" t="s">
        <v>697</v>
      </c>
      <c r="B45" s="6" t="s">
        <v>818</v>
      </c>
      <c r="C45" s="6" t="s">
        <v>819</v>
      </c>
      <c r="D45" s="6" t="s">
        <v>25</v>
      </c>
      <c r="E45" s="17" t="s">
        <v>700</v>
      </c>
      <c r="F45" s="6">
        <v>30</v>
      </c>
      <c r="G45" s="14">
        <v>488.15384615384602</v>
      </c>
      <c r="H45" s="16">
        <v>903</v>
      </c>
      <c r="I45" s="8">
        <v>659</v>
      </c>
      <c r="J45" s="8">
        <v>107</v>
      </c>
      <c r="K45" s="8">
        <v>983</v>
      </c>
      <c r="L45" s="8">
        <v>1270</v>
      </c>
      <c r="M45" s="8">
        <v>837</v>
      </c>
      <c r="N45" s="8">
        <v>406</v>
      </c>
      <c r="O45" s="8">
        <v>316</v>
      </c>
      <c r="P45" s="8">
        <v>339</v>
      </c>
      <c r="Q45" s="8">
        <v>230</v>
      </c>
      <c r="R45" s="8">
        <v>327</v>
      </c>
      <c r="S45" s="8">
        <v>329</v>
      </c>
      <c r="T45" s="8">
        <v>30</v>
      </c>
      <c r="U45" s="15">
        <v>518.15384615384596</v>
      </c>
      <c r="V45" s="6" t="s">
        <v>820</v>
      </c>
    </row>
    <row r="46" spans="1:22" ht="30" customHeight="1">
      <c r="A46" s="6" t="s">
        <v>697</v>
      </c>
      <c r="B46" s="6" t="s">
        <v>821</v>
      </c>
      <c r="C46" s="6" t="s">
        <v>822</v>
      </c>
      <c r="D46" s="6" t="s">
        <v>25</v>
      </c>
      <c r="E46" s="18" t="s">
        <v>704</v>
      </c>
      <c r="F46" s="6">
        <v>100</v>
      </c>
      <c r="G46" s="14">
        <v>1379.6923076923099</v>
      </c>
      <c r="H46" s="16">
        <v>2267</v>
      </c>
      <c r="I46" s="16">
        <v>1532</v>
      </c>
      <c r="J46" s="8">
        <v>469</v>
      </c>
      <c r="K46" s="8">
        <v>2267</v>
      </c>
      <c r="L46" s="8">
        <v>3730</v>
      </c>
      <c r="M46" s="8">
        <v>2241</v>
      </c>
      <c r="N46" s="8">
        <v>1377</v>
      </c>
      <c r="O46" s="8">
        <v>1100</v>
      </c>
      <c r="P46" s="8">
        <v>843</v>
      </c>
      <c r="Q46" s="8">
        <v>856</v>
      </c>
      <c r="R46" s="8">
        <v>1193</v>
      </c>
      <c r="S46" s="8">
        <v>1261</v>
      </c>
      <c r="T46" s="8">
        <v>100</v>
      </c>
      <c r="U46" s="15">
        <v>1479.6923076923099</v>
      </c>
      <c r="V46" s="6" t="s">
        <v>823</v>
      </c>
    </row>
    <row r="47" spans="1:22" ht="30" customHeight="1">
      <c r="A47" s="6" t="s">
        <v>697</v>
      </c>
      <c r="B47" s="6" t="s">
        <v>824</v>
      </c>
      <c r="C47" s="6" t="s">
        <v>825</v>
      </c>
      <c r="D47" s="6" t="s">
        <v>25</v>
      </c>
      <c r="E47" s="18" t="s">
        <v>704</v>
      </c>
      <c r="F47" s="6">
        <v>100</v>
      </c>
      <c r="G47" s="14">
        <v>1137.6923076923099</v>
      </c>
      <c r="H47" s="16">
        <v>100</v>
      </c>
      <c r="I47" s="16">
        <v>1570</v>
      </c>
      <c r="J47" s="8">
        <v>1680</v>
      </c>
      <c r="K47" s="8">
        <v>2890</v>
      </c>
      <c r="L47" s="8">
        <v>2500</v>
      </c>
      <c r="M47" s="8">
        <v>1810</v>
      </c>
      <c r="N47" s="8">
        <v>1130</v>
      </c>
      <c r="O47" s="8">
        <v>890</v>
      </c>
      <c r="P47" s="8">
        <v>940</v>
      </c>
      <c r="Q47" s="8">
        <v>760</v>
      </c>
      <c r="R47" s="8">
        <v>820</v>
      </c>
      <c r="S47" s="8">
        <v>900</v>
      </c>
      <c r="T47" s="8">
        <v>100</v>
      </c>
      <c r="U47" s="15">
        <v>1237.6923076923099</v>
      </c>
      <c r="V47" s="6" t="s">
        <v>826</v>
      </c>
    </row>
    <row r="48" spans="1:22" ht="30" customHeight="1">
      <c r="A48" s="6" t="s">
        <v>697</v>
      </c>
      <c r="B48" s="6" t="s">
        <v>827</v>
      </c>
      <c r="C48" s="6" t="s">
        <v>828</v>
      </c>
      <c r="D48" s="6" t="s">
        <v>25</v>
      </c>
      <c r="E48" s="18" t="s">
        <v>700</v>
      </c>
      <c r="F48" s="6">
        <v>30</v>
      </c>
      <c r="G48" s="14">
        <v>0</v>
      </c>
      <c r="H48" s="16">
        <v>30</v>
      </c>
      <c r="I48" s="16">
        <v>30</v>
      </c>
      <c r="J48" s="8">
        <v>30</v>
      </c>
      <c r="K48" s="8">
        <v>30</v>
      </c>
      <c r="L48" s="8">
        <v>30</v>
      </c>
      <c r="M48" s="8">
        <v>30</v>
      </c>
      <c r="N48" s="8">
        <v>30</v>
      </c>
      <c r="O48" s="8">
        <v>30</v>
      </c>
      <c r="P48" s="8">
        <v>30</v>
      </c>
      <c r="Q48" s="8">
        <v>30</v>
      </c>
      <c r="R48" s="8">
        <v>30</v>
      </c>
      <c r="S48" s="8">
        <v>30</v>
      </c>
      <c r="T48" s="8">
        <v>30</v>
      </c>
      <c r="U48" s="15">
        <v>30</v>
      </c>
      <c r="V48" s="6" t="s">
        <v>829</v>
      </c>
    </row>
    <row r="49" spans="1:22" ht="30" customHeight="1">
      <c r="A49" s="6" t="s">
        <v>697</v>
      </c>
      <c r="B49" s="6" t="s">
        <v>830</v>
      </c>
      <c r="C49" s="6" t="s">
        <v>831</v>
      </c>
      <c r="D49" s="6" t="s">
        <v>25</v>
      </c>
      <c r="E49" s="18" t="s">
        <v>704</v>
      </c>
      <c r="F49" s="6">
        <v>100</v>
      </c>
      <c r="G49" s="14">
        <v>710</v>
      </c>
      <c r="H49" s="16">
        <v>1067</v>
      </c>
      <c r="I49" s="16">
        <v>1299</v>
      </c>
      <c r="J49" s="8">
        <v>591</v>
      </c>
      <c r="K49" s="8">
        <v>567</v>
      </c>
      <c r="L49" s="8">
        <v>2464</v>
      </c>
      <c r="M49" s="8">
        <v>2029</v>
      </c>
      <c r="N49" s="8">
        <v>617</v>
      </c>
      <c r="O49" s="8">
        <v>562</v>
      </c>
      <c r="P49" s="8">
        <v>310</v>
      </c>
      <c r="Q49" s="8">
        <v>253</v>
      </c>
      <c r="R49" s="8">
        <v>320</v>
      </c>
      <c r="S49" s="8">
        <v>351</v>
      </c>
      <c r="T49" s="8">
        <v>100</v>
      </c>
      <c r="U49" s="15">
        <v>810</v>
      </c>
      <c r="V49" s="6" t="s">
        <v>832</v>
      </c>
    </row>
    <row r="50" spans="1:22" ht="30" customHeight="1">
      <c r="A50" s="6" t="s">
        <v>697</v>
      </c>
      <c r="B50" s="6" t="s">
        <v>833</v>
      </c>
      <c r="C50" s="6" t="s">
        <v>834</v>
      </c>
      <c r="D50" s="6" t="s">
        <v>25</v>
      </c>
      <c r="E50" s="18" t="s">
        <v>704</v>
      </c>
      <c r="F50" s="6">
        <v>100</v>
      </c>
      <c r="G50" s="14">
        <v>2161</v>
      </c>
      <c r="H50" s="16">
        <v>1832</v>
      </c>
      <c r="I50" s="16">
        <v>2610</v>
      </c>
      <c r="J50" s="8">
        <v>2594</v>
      </c>
      <c r="K50" s="8">
        <v>3466</v>
      </c>
      <c r="L50" s="8">
        <v>4671</v>
      </c>
      <c r="M50" s="8">
        <v>3830</v>
      </c>
      <c r="N50" s="8">
        <v>2067</v>
      </c>
      <c r="O50" s="8">
        <v>1593</v>
      </c>
      <c r="P50" s="8">
        <v>858</v>
      </c>
      <c r="Q50" s="8">
        <v>829</v>
      </c>
      <c r="R50" s="8">
        <v>701</v>
      </c>
      <c r="S50" s="8">
        <v>4242</v>
      </c>
      <c r="T50" s="8">
        <v>100</v>
      </c>
      <c r="U50" s="15">
        <v>2261</v>
      </c>
      <c r="V50" s="6" t="s">
        <v>835</v>
      </c>
    </row>
    <row r="51" spans="1:22" ht="30" customHeight="1">
      <c r="A51" s="6" t="s">
        <v>697</v>
      </c>
      <c r="B51" s="6" t="s">
        <v>836</v>
      </c>
      <c r="C51" s="6" t="s">
        <v>837</v>
      </c>
      <c r="D51" s="6" t="s">
        <v>25</v>
      </c>
      <c r="E51" s="17" t="s">
        <v>704</v>
      </c>
      <c r="F51" s="6">
        <v>100</v>
      </c>
      <c r="G51" s="14">
        <v>1137.1538461538501</v>
      </c>
      <c r="H51" s="16">
        <v>1305</v>
      </c>
      <c r="I51" s="16">
        <v>1363</v>
      </c>
      <c r="J51" s="8">
        <v>1354</v>
      </c>
      <c r="K51" s="8">
        <v>2154</v>
      </c>
      <c r="L51" s="8">
        <v>2629</v>
      </c>
      <c r="M51" s="8">
        <v>1952</v>
      </c>
      <c r="N51" s="8">
        <v>868</v>
      </c>
      <c r="O51" s="8">
        <v>845</v>
      </c>
      <c r="P51" s="8">
        <v>1026</v>
      </c>
      <c r="Q51" s="8">
        <v>898</v>
      </c>
      <c r="R51" s="8">
        <v>830</v>
      </c>
      <c r="S51" s="8">
        <v>759</v>
      </c>
      <c r="T51" s="8">
        <v>100</v>
      </c>
      <c r="U51" s="15">
        <v>1237.1538461538501</v>
      </c>
      <c r="V51" s="6" t="s">
        <v>838</v>
      </c>
    </row>
    <row r="52" spans="1:22" ht="30" customHeight="1">
      <c r="A52" s="6" t="s">
        <v>697</v>
      </c>
      <c r="B52" s="6" t="s">
        <v>839</v>
      </c>
      <c r="C52" s="6" t="s">
        <v>840</v>
      </c>
      <c r="D52" s="6" t="s">
        <v>25</v>
      </c>
      <c r="E52" s="19" t="s">
        <v>704</v>
      </c>
      <c r="F52" s="6">
        <v>100</v>
      </c>
      <c r="G52" s="14">
        <v>2769.9230769230799</v>
      </c>
      <c r="H52" s="16">
        <v>2626</v>
      </c>
      <c r="I52" s="8">
        <v>3917</v>
      </c>
      <c r="J52" s="8">
        <v>1794</v>
      </c>
      <c r="K52" s="8">
        <v>2938</v>
      </c>
      <c r="L52" s="8">
        <v>7182</v>
      </c>
      <c r="M52" s="8">
        <v>5951</v>
      </c>
      <c r="N52" s="8">
        <v>3631</v>
      </c>
      <c r="O52" s="8">
        <v>2330</v>
      </c>
      <c r="P52" s="8">
        <v>1843</v>
      </c>
      <c r="Q52" s="8">
        <v>1311</v>
      </c>
      <c r="R52" s="8">
        <v>1720</v>
      </c>
      <c r="S52" s="8">
        <v>1966</v>
      </c>
      <c r="T52" s="8">
        <v>100</v>
      </c>
      <c r="U52" s="15">
        <v>2869.9230769230799</v>
      </c>
      <c r="V52" s="6" t="s">
        <v>841</v>
      </c>
    </row>
    <row r="53" spans="1:22" ht="30" customHeight="1">
      <c r="A53" s="6" t="s">
        <v>697</v>
      </c>
      <c r="B53" s="6" t="s">
        <v>842</v>
      </c>
      <c r="C53" s="6" t="s">
        <v>843</v>
      </c>
      <c r="D53" s="6" t="s">
        <v>25</v>
      </c>
      <c r="E53" s="19" t="s">
        <v>704</v>
      </c>
      <c r="F53" s="6">
        <v>100</v>
      </c>
      <c r="G53" s="14">
        <v>3347.4615384615399</v>
      </c>
      <c r="H53" s="16">
        <v>5055</v>
      </c>
      <c r="I53" s="8">
        <v>4842</v>
      </c>
      <c r="J53" s="8">
        <v>3065</v>
      </c>
      <c r="K53" s="8">
        <v>2323</v>
      </c>
      <c r="L53" s="8">
        <v>7215</v>
      </c>
      <c r="M53" s="8">
        <v>6929</v>
      </c>
      <c r="N53" s="8">
        <v>3688</v>
      </c>
      <c r="O53" s="8">
        <v>3087</v>
      </c>
      <c r="P53" s="8">
        <v>2010</v>
      </c>
      <c r="Q53" s="8">
        <v>1509</v>
      </c>
      <c r="R53" s="8">
        <v>2164</v>
      </c>
      <c r="S53" s="8">
        <v>2830</v>
      </c>
      <c r="T53" s="8">
        <v>100</v>
      </c>
      <c r="U53" s="15">
        <v>3447.4615384615399</v>
      </c>
      <c r="V53" s="6" t="s">
        <v>844</v>
      </c>
    </row>
    <row r="54" spans="1:22" ht="30" customHeight="1">
      <c r="A54" s="6" t="s">
        <v>697</v>
      </c>
      <c r="B54" s="6" t="s">
        <v>845</v>
      </c>
      <c r="C54" s="6" t="s">
        <v>846</v>
      </c>
      <c r="D54" s="6" t="s">
        <v>25</v>
      </c>
      <c r="E54" s="19" t="s">
        <v>704</v>
      </c>
      <c r="F54" s="6">
        <v>100</v>
      </c>
      <c r="G54" s="14">
        <v>632.30769230769204</v>
      </c>
      <c r="H54" s="16">
        <v>1221</v>
      </c>
      <c r="I54" s="8">
        <v>893</v>
      </c>
      <c r="J54" s="8">
        <v>100</v>
      </c>
      <c r="K54" s="8">
        <v>1195</v>
      </c>
      <c r="L54" s="8">
        <v>2236</v>
      </c>
      <c r="M54" s="8">
        <v>1314</v>
      </c>
      <c r="N54" s="8">
        <v>622</v>
      </c>
      <c r="O54" s="8">
        <v>406</v>
      </c>
      <c r="P54" s="8">
        <v>392</v>
      </c>
      <c r="Q54" s="8">
        <v>256</v>
      </c>
      <c r="R54" s="8">
        <v>379</v>
      </c>
      <c r="S54" s="8">
        <v>406</v>
      </c>
      <c r="T54" s="8">
        <v>100</v>
      </c>
      <c r="U54" s="15">
        <v>732.30769230769204</v>
      </c>
      <c r="V54" s="6" t="s">
        <v>847</v>
      </c>
    </row>
    <row r="55" spans="1:22" ht="30" customHeight="1">
      <c r="A55" s="6" t="s">
        <v>697</v>
      </c>
      <c r="B55" s="6" t="s">
        <v>848</v>
      </c>
      <c r="C55" s="6" t="s">
        <v>849</v>
      </c>
      <c r="D55" s="6" t="s">
        <v>25</v>
      </c>
      <c r="E55" s="19" t="s">
        <v>704</v>
      </c>
      <c r="F55" s="6">
        <v>100</v>
      </c>
      <c r="G55" s="14">
        <v>909.84615384615404</v>
      </c>
      <c r="H55" s="16">
        <v>1500</v>
      </c>
      <c r="I55" s="8">
        <v>1147</v>
      </c>
      <c r="J55" s="8">
        <v>441</v>
      </c>
      <c r="K55" s="8">
        <v>1132</v>
      </c>
      <c r="L55" s="8">
        <v>2512</v>
      </c>
      <c r="M55" s="8">
        <v>1806</v>
      </c>
      <c r="N55" s="8">
        <v>961</v>
      </c>
      <c r="O55" s="8">
        <v>763</v>
      </c>
      <c r="P55" s="8">
        <v>690</v>
      </c>
      <c r="Q55" s="8">
        <v>453</v>
      </c>
      <c r="R55" s="8">
        <v>722</v>
      </c>
      <c r="S55" s="8">
        <v>901</v>
      </c>
      <c r="T55" s="8">
        <v>100</v>
      </c>
      <c r="U55" s="15">
        <v>1009.8461538461499</v>
      </c>
      <c r="V55" s="6" t="s">
        <v>850</v>
      </c>
    </row>
    <row r="56" spans="1:22" ht="30" customHeight="1">
      <c r="A56" s="6" t="s">
        <v>697</v>
      </c>
      <c r="B56" s="6" t="s">
        <v>851</v>
      </c>
      <c r="C56" s="6" t="s">
        <v>852</v>
      </c>
      <c r="D56" s="6" t="s">
        <v>25</v>
      </c>
      <c r="E56" s="19" t="s">
        <v>704</v>
      </c>
      <c r="F56" s="6">
        <v>100</v>
      </c>
      <c r="G56" s="14">
        <v>1364.3076923076901</v>
      </c>
      <c r="H56" s="16">
        <v>2424</v>
      </c>
      <c r="I56" s="8">
        <v>2865</v>
      </c>
      <c r="J56" s="8">
        <v>1874</v>
      </c>
      <c r="K56" s="8">
        <v>1849</v>
      </c>
      <c r="L56" s="8">
        <v>1718</v>
      </c>
      <c r="M56" s="8">
        <v>3572</v>
      </c>
      <c r="N56" s="8">
        <v>1313</v>
      </c>
      <c r="O56" s="8">
        <v>949</v>
      </c>
      <c r="P56" s="8">
        <v>659</v>
      </c>
      <c r="Q56" s="8">
        <v>431</v>
      </c>
      <c r="R56" s="8">
        <v>594</v>
      </c>
      <c r="S56" s="8">
        <v>688</v>
      </c>
      <c r="T56" s="8">
        <v>100</v>
      </c>
      <c r="U56" s="15">
        <v>1464.3076923076901</v>
      </c>
      <c r="V56" s="6" t="s">
        <v>853</v>
      </c>
    </row>
    <row r="57" spans="1:22" ht="30" customHeight="1">
      <c r="A57" s="6" t="s">
        <v>697</v>
      </c>
      <c r="B57" s="6" t="s">
        <v>854</v>
      </c>
      <c r="C57" s="6" t="s">
        <v>855</v>
      </c>
      <c r="D57" s="6" t="s">
        <v>25</v>
      </c>
      <c r="E57" s="19" t="s">
        <v>700</v>
      </c>
      <c r="F57" s="6">
        <v>30</v>
      </c>
      <c r="G57" s="14">
        <v>0</v>
      </c>
      <c r="H57" s="16">
        <v>30</v>
      </c>
      <c r="I57" s="8">
        <v>30</v>
      </c>
      <c r="J57" s="8">
        <v>30</v>
      </c>
      <c r="K57" s="8">
        <v>30</v>
      </c>
      <c r="L57" s="8">
        <v>30</v>
      </c>
      <c r="M57" s="8">
        <v>30</v>
      </c>
      <c r="N57" s="8">
        <v>30</v>
      </c>
      <c r="O57" s="8">
        <v>30</v>
      </c>
      <c r="P57" s="8">
        <v>30</v>
      </c>
      <c r="Q57" s="8">
        <v>30</v>
      </c>
      <c r="R57" s="8">
        <v>30</v>
      </c>
      <c r="S57" s="8">
        <v>30</v>
      </c>
      <c r="T57" s="8">
        <v>30</v>
      </c>
      <c r="U57" s="15">
        <v>30</v>
      </c>
      <c r="V57" s="6" t="s">
        <v>856</v>
      </c>
    </row>
    <row r="58" spans="1:22" ht="30" customHeight="1">
      <c r="A58" s="6" t="s">
        <v>697</v>
      </c>
      <c r="B58" s="6" t="s">
        <v>857</v>
      </c>
      <c r="C58" s="6" t="s">
        <v>858</v>
      </c>
      <c r="D58" s="6" t="s">
        <v>25</v>
      </c>
      <c r="E58" s="19" t="s">
        <v>700</v>
      </c>
      <c r="F58" s="6">
        <v>30</v>
      </c>
      <c r="G58" s="14">
        <v>111.46153846153901</v>
      </c>
      <c r="H58" s="16">
        <v>322</v>
      </c>
      <c r="I58" s="8">
        <v>30</v>
      </c>
      <c r="J58" s="8">
        <v>423</v>
      </c>
      <c r="K58" s="8">
        <v>211</v>
      </c>
      <c r="L58" s="8">
        <v>229</v>
      </c>
      <c r="M58" s="8">
        <v>220</v>
      </c>
      <c r="N58" s="8">
        <v>224</v>
      </c>
      <c r="O58" s="8">
        <v>30</v>
      </c>
      <c r="P58" s="8">
        <v>30</v>
      </c>
      <c r="Q58" s="8">
        <v>30</v>
      </c>
      <c r="R58" s="8">
        <v>30</v>
      </c>
      <c r="S58" s="8">
        <v>30</v>
      </c>
      <c r="T58" s="8">
        <v>30</v>
      </c>
      <c r="U58" s="15">
        <v>141.46153846153899</v>
      </c>
      <c r="V58" s="6" t="s">
        <v>859</v>
      </c>
    </row>
    <row r="59" spans="1:22" ht="30" customHeight="1">
      <c r="A59" s="6" t="s">
        <v>697</v>
      </c>
      <c r="B59" s="6" t="s">
        <v>860</v>
      </c>
      <c r="C59" s="6" t="s">
        <v>861</v>
      </c>
      <c r="D59" s="6" t="s">
        <v>25</v>
      </c>
      <c r="E59" s="19" t="s">
        <v>700</v>
      </c>
      <c r="F59" s="6">
        <v>30</v>
      </c>
      <c r="G59" s="14">
        <v>37.461538461538503</v>
      </c>
      <c r="H59" s="16">
        <v>63</v>
      </c>
      <c r="I59" s="8">
        <v>52</v>
      </c>
      <c r="J59" s="8">
        <v>55</v>
      </c>
      <c r="K59" s="8">
        <v>60</v>
      </c>
      <c r="L59" s="8">
        <v>83</v>
      </c>
      <c r="M59" s="8">
        <v>86</v>
      </c>
      <c r="N59" s="8">
        <v>79</v>
      </c>
      <c r="O59" s="8">
        <v>65</v>
      </c>
      <c r="P59" s="8">
        <v>79</v>
      </c>
      <c r="Q59" s="8">
        <v>81</v>
      </c>
      <c r="R59" s="8">
        <v>80</v>
      </c>
      <c r="S59" s="8">
        <v>64</v>
      </c>
      <c r="T59" s="8">
        <v>30</v>
      </c>
      <c r="U59" s="15">
        <v>67.461538461538495</v>
      </c>
      <c r="V59" s="6" t="s">
        <v>799</v>
      </c>
    </row>
    <row r="60" spans="1:22" ht="30" customHeight="1">
      <c r="A60" s="6" t="s">
        <v>697</v>
      </c>
      <c r="B60" s="6" t="s">
        <v>862</v>
      </c>
      <c r="C60" s="6" t="s">
        <v>863</v>
      </c>
      <c r="D60" s="6" t="s">
        <v>25</v>
      </c>
      <c r="E60" s="19" t="s">
        <v>700</v>
      </c>
      <c r="F60" s="6">
        <v>30</v>
      </c>
      <c r="G60" s="14">
        <v>574</v>
      </c>
      <c r="H60" s="16">
        <v>798</v>
      </c>
      <c r="I60" s="8">
        <v>786</v>
      </c>
      <c r="J60" s="8">
        <v>101</v>
      </c>
      <c r="K60" s="8">
        <v>688</v>
      </c>
      <c r="L60" s="8">
        <v>585</v>
      </c>
      <c r="M60" s="8">
        <v>1582</v>
      </c>
      <c r="N60" s="8">
        <v>708</v>
      </c>
      <c r="O60" s="8">
        <v>30</v>
      </c>
      <c r="P60" s="8">
        <v>1023</v>
      </c>
      <c r="Q60" s="8">
        <v>370</v>
      </c>
      <c r="R60" s="8">
        <v>576</v>
      </c>
      <c r="S60" s="8">
        <v>575</v>
      </c>
      <c r="T60" s="8">
        <v>30</v>
      </c>
      <c r="U60" s="15">
        <v>604</v>
      </c>
      <c r="V60" s="6" t="s">
        <v>864</v>
      </c>
    </row>
    <row r="61" spans="1:22" ht="30" customHeight="1">
      <c r="A61" s="6" t="s">
        <v>697</v>
      </c>
      <c r="B61" s="6" t="s">
        <v>865</v>
      </c>
      <c r="C61" s="6" t="s">
        <v>866</v>
      </c>
      <c r="D61" s="6" t="s">
        <v>25</v>
      </c>
      <c r="E61" s="19" t="s">
        <v>704</v>
      </c>
      <c r="F61" s="6">
        <v>100</v>
      </c>
      <c r="G61" s="14">
        <v>1300.0769230769199</v>
      </c>
      <c r="H61" s="16">
        <v>1807</v>
      </c>
      <c r="I61" s="8">
        <v>1809</v>
      </c>
      <c r="J61" s="8">
        <v>970</v>
      </c>
      <c r="K61" s="8">
        <v>1868</v>
      </c>
      <c r="L61" s="8">
        <v>3273</v>
      </c>
      <c r="M61" s="8">
        <v>2270</v>
      </c>
      <c r="N61" s="8">
        <v>1559</v>
      </c>
      <c r="O61" s="8">
        <v>951</v>
      </c>
      <c r="P61" s="8">
        <v>1040</v>
      </c>
      <c r="Q61" s="8">
        <v>703</v>
      </c>
      <c r="R61" s="8">
        <v>865</v>
      </c>
      <c r="S61" s="8">
        <v>986</v>
      </c>
      <c r="T61" s="8">
        <v>100</v>
      </c>
      <c r="U61" s="15">
        <v>1400.0769230769199</v>
      </c>
      <c r="V61" s="6" t="s">
        <v>867</v>
      </c>
    </row>
    <row r="62" spans="1:22" ht="30" customHeight="1">
      <c r="A62" s="6" t="s">
        <v>697</v>
      </c>
      <c r="B62" s="6" t="s">
        <v>868</v>
      </c>
      <c r="C62" s="6" t="s">
        <v>869</v>
      </c>
      <c r="D62" s="6" t="s">
        <v>25</v>
      </c>
      <c r="E62" s="19" t="s">
        <v>704</v>
      </c>
      <c r="F62" s="6">
        <v>100</v>
      </c>
      <c r="G62" s="14">
        <v>0</v>
      </c>
      <c r="H62" s="16">
        <v>100</v>
      </c>
      <c r="I62" s="8">
        <v>100</v>
      </c>
      <c r="J62" s="8">
        <v>100</v>
      </c>
      <c r="K62" s="8">
        <v>100</v>
      </c>
      <c r="L62" s="8">
        <v>100</v>
      </c>
      <c r="M62" s="8">
        <v>100</v>
      </c>
      <c r="N62" s="8">
        <v>100</v>
      </c>
      <c r="O62" s="8">
        <v>100</v>
      </c>
      <c r="P62" s="8">
        <v>100</v>
      </c>
      <c r="Q62" s="8">
        <v>100</v>
      </c>
      <c r="R62" s="8">
        <v>100</v>
      </c>
      <c r="S62" s="8">
        <v>100</v>
      </c>
      <c r="T62" s="8">
        <v>100</v>
      </c>
      <c r="U62" s="15">
        <v>100</v>
      </c>
      <c r="V62" s="6" t="s">
        <v>870</v>
      </c>
    </row>
    <row r="63" spans="1:22" ht="30" customHeight="1">
      <c r="A63" s="6" t="s">
        <v>697</v>
      </c>
      <c r="B63" s="6" t="s">
        <v>871</v>
      </c>
      <c r="C63" s="6" t="s">
        <v>872</v>
      </c>
      <c r="D63" s="6" t="s">
        <v>25</v>
      </c>
      <c r="E63" s="19" t="s">
        <v>704</v>
      </c>
      <c r="F63" s="6">
        <v>100</v>
      </c>
      <c r="G63" s="14">
        <v>603.84615384615404</v>
      </c>
      <c r="H63" s="16">
        <v>820</v>
      </c>
      <c r="I63" s="8">
        <v>850</v>
      </c>
      <c r="J63" s="8">
        <v>640</v>
      </c>
      <c r="K63" s="8">
        <v>530</v>
      </c>
      <c r="L63" s="8">
        <v>1410</v>
      </c>
      <c r="M63" s="8">
        <v>1370</v>
      </c>
      <c r="N63" s="8">
        <v>850</v>
      </c>
      <c r="O63" s="8">
        <v>620</v>
      </c>
      <c r="P63" s="8">
        <v>480</v>
      </c>
      <c r="Q63" s="8">
        <v>330</v>
      </c>
      <c r="R63" s="8">
        <v>550</v>
      </c>
      <c r="S63" s="8">
        <v>600</v>
      </c>
      <c r="T63" s="8">
        <v>100</v>
      </c>
      <c r="U63" s="15">
        <v>703.84615384615404</v>
      </c>
      <c r="V63" s="6" t="s">
        <v>873</v>
      </c>
    </row>
    <row r="64" spans="1:22" ht="30" customHeight="1">
      <c r="A64" s="6" t="s">
        <v>697</v>
      </c>
      <c r="B64" s="6" t="s">
        <v>874</v>
      </c>
      <c r="C64" s="6" t="s">
        <v>875</v>
      </c>
      <c r="D64" s="6" t="s">
        <v>25</v>
      </c>
      <c r="E64" s="19" t="s">
        <v>704</v>
      </c>
      <c r="F64" s="6">
        <v>100</v>
      </c>
      <c r="G64" s="14">
        <v>143.84615384615401</v>
      </c>
      <c r="H64" s="16">
        <v>100</v>
      </c>
      <c r="I64" s="8">
        <v>100</v>
      </c>
      <c r="J64" s="8">
        <v>100</v>
      </c>
      <c r="K64" s="8">
        <v>100</v>
      </c>
      <c r="L64" s="8">
        <v>100</v>
      </c>
      <c r="M64" s="8">
        <v>100</v>
      </c>
      <c r="N64" s="8">
        <v>100</v>
      </c>
      <c r="O64" s="8">
        <v>100</v>
      </c>
      <c r="P64" s="8">
        <v>100</v>
      </c>
      <c r="Q64" s="8">
        <v>562</v>
      </c>
      <c r="R64" s="8">
        <v>808</v>
      </c>
      <c r="S64" s="8">
        <v>800</v>
      </c>
      <c r="T64" s="8">
        <v>100</v>
      </c>
      <c r="U64" s="15">
        <v>243.84615384615401</v>
      </c>
      <c r="V64" s="6" t="s">
        <v>876</v>
      </c>
    </row>
    <row r="65" spans="1:22" ht="30" customHeight="1">
      <c r="A65" s="6" t="s">
        <v>697</v>
      </c>
      <c r="B65" s="6" t="s">
        <v>877</v>
      </c>
      <c r="C65" s="6" t="s">
        <v>878</v>
      </c>
      <c r="D65" s="6" t="s">
        <v>25</v>
      </c>
      <c r="E65" s="19" t="s">
        <v>704</v>
      </c>
      <c r="F65" s="6">
        <v>100</v>
      </c>
      <c r="G65" s="14">
        <v>928.46153846153902</v>
      </c>
      <c r="H65" s="16">
        <v>1292</v>
      </c>
      <c r="I65" s="8">
        <v>1448</v>
      </c>
      <c r="J65" s="8">
        <v>695</v>
      </c>
      <c r="K65" s="8">
        <v>500</v>
      </c>
      <c r="L65" s="8">
        <v>2503</v>
      </c>
      <c r="M65" s="8">
        <v>2400</v>
      </c>
      <c r="N65" s="8">
        <v>976</v>
      </c>
      <c r="O65" s="8">
        <v>940</v>
      </c>
      <c r="P65" s="8">
        <v>1136</v>
      </c>
      <c r="Q65" s="8">
        <v>100</v>
      </c>
      <c r="R65" s="8">
        <v>583</v>
      </c>
      <c r="S65" s="8">
        <v>697</v>
      </c>
      <c r="T65" s="8">
        <v>100</v>
      </c>
      <c r="U65" s="15">
        <v>1028.4615384615399</v>
      </c>
      <c r="V65" s="6" t="s">
        <v>879</v>
      </c>
    </row>
    <row r="66" spans="1:22" ht="30" customHeight="1">
      <c r="A66" s="6" t="s">
        <v>697</v>
      </c>
      <c r="B66" s="6" t="s">
        <v>880</v>
      </c>
      <c r="C66" s="6" t="s">
        <v>881</v>
      </c>
      <c r="D66" s="6" t="s">
        <v>25</v>
      </c>
      <c r="E66" s="19" t="s">
        <v>700</v>
      </c>
      <c r="F66" s="6">
        <v>30</v>
      </c>
      <c r="G66" s="14">
        <v>388.84615384615398</v>
      </c>
      <c r="H66" s="16">
        <v>610</v>
      </c>
      <c r="I66" s="8">
        <v>484</v>
      </c>
      <c r="J66" s="8">
        <v>488</v>
      </c>
      <c r="K66" s="8">
        <v>256</v>
      </c>
      <c r="L66" s="8">
        <v>1051</v>
      </c>
      <c r="M66" s="8">
        <v>649</v>
      </c>
      <c r="N66" s="8">
        <v>462</v>
      </c>
      <c r="O66" s="8">
        <v>312</v>
      </c>
      <c r="P66" s="8">
        <v>468</v>
      </c>
      <c r="Q66" s="8">
        <v>39</v>
      </c>
      <c r="R66" s="8">
        <v>319</v>
      </c>
      <c r="S66" s="8">
        <v>277</v>
      </c>
      <c r="T66" s="8">
        <v>30</v>
      </c>
      <c r="U66" s="15">
        <v>418.84615384615398</v>
      </c>
      <c r="V66" s="6" t="s">
        <v>882</v>
      </c>
    </row>
    <row r="67" spans="1:22" ht="30" customHeight="1">
      <c r="A67" s="6" t="s">
        <v>697</v>
      </c>
      <c r="B67" s="6" t="s">
        <v>883</v>
      </c>
      <c r="C67" s="6" t="s">
        <v>884</v>
      </c>
      <c r="D67" s="6" t="s">
        <v>25</v>
      </c>
      <c r="E67" s="19" t="s">
        <v>704</v>
      </c>
      <c r="F67" s="6">
        <v>100</v>
      </c>
      <c r="G67" s="14">
        <v>1009</v>
      </c>
      <c r="H67" s="16">
        <v>1348</v>
      </c>
      <c r="I67" s="8">
        <v>1375</v>
      </c>
      <c r="J67" s="8">
        <v>979</v>
      </c>
      <c r="K67" s="8">
        <v>692</v>
      </c>
      <c r="L67" s="8">
        <v>2709</v>
      </c>
      <c r="M67" s="8">
        <v>2362</v>
      </c>
      <c r="N67" s="8">
        <v>1340</v>
      </c>
      <c r="O67" s="8">
        <v>1014</v>
      </c>
      <c r="P67" s="8">
        <v>617</v>
      </c>
      <c r="Q67" s="8">
        <v>424</v>
      </c>
      <c r="R67" s="8">
        <v>652</v>
      </c>
      <c r="S67" s="8">
        <v>805</v>
      </c>
      <c r="T67" s="8">
        <v>100</v>
      </c>
      <c r="U67" s="15">
        <v>1109</v>
      </c>
      <c r="V67" s="6" t="s">
        <v>885</v>
      </c>
    </row>
    <row r="68" spans="1:22" ht="30" customHeight="1">
      <c r="A68" s="6" t="s">
        <v>697</v>
      </c>
      <c r="B68" s="6" t="s">
        <v>886</v>
      </c>
      <c r="C68" s="6" t="s">
        <v>887</v>
      </c>
      <c r="D68" s="6" t="s">
        <v>25</v>
      </c>
      <c r="E68" s="19" t="s">
        <v>704</v>
      </c>
      <c r="F68" s="6">
        <v>100</v>
      </c>
      <c r="G68" s="14">
        <v>380.15384615384602</v>
      </c>
      <c r="H68" s="16">
        <v>165</v>
      </c>
      <c r="I68" s="8">
        <v>323</v>
      </c>
      <c r="J68" s="8">
        <v>100</v>
      </c>
      <c r="K68" s="8">
        <v>762</v>
      </c>
      <c r="L68" s="8">
        <v>2374</v>
      </c>
      <c r="M68" s="8">
        <v>1611</v>
      </c>
      <c r="N68" s="8">
        <v>301</v>
      </c>
      <c r="O68" s="8">
        <v>100</v>
      </c>
      <c r="P68" s="8">
        <v>100</v>
      </c>
      <c r="Q68" s="8">
        <v>100</v>
      </c>
      <c r="R68" s="8">
        <v>100</v>
      </c>
      <c r="S68" s="8">
        <v>106</v>
      </c>
      <c r="T68" s="8">
        <v>100</v>
      </c>
      <c r="U68" s="15">
        <v>480.15384615384602</v>
      </c>
      <c r="V68" s="6" t="s">
        <v>888</v>
      </c>
    </row>
    <row r="69" spans="1:22" ht="30" customHeight="1">
      <c r="A69" s="6" t="s">
        <v>697</v>
      </c>
      <c r="B69" s="6" t="s">
        <v>889</v>
      </c>
      <c r="C69" s="6" t="s">
        <v>890</v>
      </c>
      <c r="D69" s="6" t="s">
        <v>25</v>
      </c>
      <c r="E69" s="19" t="s">
        <v>704</v>
      </c>
      <c r="F69" s="6">
        <v>100</v>
      </c>
      <c r="G69" s="14">
        <v>488.30769230769198</v>
      </c>
      <c r="H69" s="16">
        <v>1025</v>
      </c>
      <c r="I69" s="8">
        <v>860</v>
      </c>
      <c r="J69" s="8">
        <v>184</v>
      </c>
      <c r="K69" s="8">
        <v>742</v>
      </c>
      <c r="L69" s="8">
        <v>1453</v>
      </c>
      <c r="M69" s="8">
        <v>874</v>
      </c>
      <c r="N69" s="8">
        <v>608</v>
      </c>
      <c r="O69" s="8">
        <v>421</v>
      </c>
      <c r="P69" s="8">
        <v>340</v>
      </c>
      <c r="Q69" s="8">
        <v>253</v>
      </c>
      <c r="R69" s="8">
        <v>333</v>
      </c>
      <c r="S69" s="8">
        <v>455</v>
      </c>
      <c r="T69" s="8">
        <v>100</v>
      </c>
      <c r="U69" s="15">
        <v>588.30769230769204</v>
      </c>
      <c r="V69" s="6" t="s">
        <v>891</v>
      </c>
    </row>
    <row r="70" spans="1:22" ht="30" customHeight="1">
      <c r="A70" s="6" t="s">
        <v>697</v>
      </c>
      <c r="B70" s="6" t="s">
        <v>892</v>
      </c>
      <c r="C70" s="6" t="s">
        <v>893</v>
      </c>
      <c r="D70" s="6" t="s">
        <v>25</v>
      </c>
      <c r="E70" s="19" t="s">
        <v>704</v>
      </c>
      <c r="F70" s="6">
        <v>100</v>
      </c>
      <c r="G70" s="14">
        <v>1313.76923076923</v>
      </c>
      <c r="H70" s="16">
        <v>2496</v>
      </c>
      <c r="I70" s="8">
        <v>2218</v>
      </c>
      <c r="J70" s="8">
        <v>1795</v>
      </c>
      <c r="K70" s="8">
        <v>777</v>
      </c>
      <c r="L70" s="8">
        <v>1749</v>
      </c>
      <c r="M70" s="8">
        <v>1774</v>
      </c>
      <c r="N70" s="8">
        <v>1494</v>
      </c>
      <c r="O70" s="8">
        <v>1326</v>
      </c>
      <c r="P70" s="8">
        <v>1279</v>
      </c>
      <c r="Q70" s="8">
        <v>713</v>
      </c>
      <c r="R70" s="8">
        <v>1240</v>
      </c>
      <c r="S70" s="8">
        <v>1418</v>
      </c>
      <c r="T70" s="8">
        <v>100</v>
      </c>
      <c r="U70" s="15">
        <v>1413.76923076923</v>
      </c>
      <c r="V70" s="6" t="s">
        <v>894</v>
      </c>
    </row>
    <row r="71" spans="1:22" ht="30" customHeight="1">
      <c r="A71" s="6" t="s">
        <v>697</v>
      </c>
      <c r="B71" s="6" t="s">
        <v>895</v>
      </c>
      <c r="C71" s="6" t="s">
        <v>896</v>
      </c>
      <c r="D71" s="6" t="s">
        <v>25</v>
      </c>
      <c r="E71" s="19" t="s">
        <v>700</v>
      </c>
      <c r="F71" s="6">
        <v>30</v>
      </c>
      <c r="G71" s="14">
        <v>131.46153846153899</v>
      </c>
      <c r="H71" s="16">
        <v>323</v>
      </c>
      <c r="I71" s="8">
        <v>222</v>
      </c>
      <c r="J71" s="8">
        <v>30</v>
      </c>
      <c r="K71" s="8">
        <v>171</v>
      </c>
      <c r="L71" s="8">
        <v>358</v>
      </c>
      <c r="M71" s="8">
        <v>212</v>
      </c>
      <c r="N71" s="8">
        <v>169</v>
      </c>
      <c r="O71" s="8">
        <v>110</v>
      </c>
      <c r="P71" s="8">
        <v>131</v>
      </c>
      <c r="Q71" s="8">
        <v>102</v>
      </c>
      <c r="R71" s="8">
        <v>114</v>
      </c>
      <c r="S71" s="8">
        <v>127</v>
      </c>
      <c r="T71" s="8">
        <v>30</v>
      </c>
      <c r="U71" s="15">
        <v>161.46153846153899</v>
      </c>
      <c r="V71" s="6" t="s">
        <v>897</v>
      </c>
    </row>
    <row r="72" spans="1:22" ht="30" customHeight="1">
      <c r="A72" s="6" t="s">
        <v>697</v>
      </c>
      <c r="B72" s="6" t="s">
        <v>898</v>
      </c>
      <c r="C72" s="6" t="s">
        <v>899</v>
      </c>
      <c r="D72" s="6" t="s">
        <v>25</v>
      </c>
      <c r="E72" s="19" t="s">
        <v>700</v>
      </c>
      <c r="F72" s="6">
        <v>30</v>
      </c>
      <c r="G72" s="14">
        <v>0</v>
      </c>
      <c r="H72" s="16">
        <v>30</v>
      </c>
      <c r="I72" s="8">
        <v>30</v>
      </c>
      <c r="J72" s="8">
        <v>30</v>
      </c>
      <c r="K72" s="8">
        <v>30</v>
      </c>
      <c r="L72" s="8">
        <v>30</v>
      </c>
      <c r="M72" s="8">
        <v>30</v>
      </c>
      <c r="N72" s="8">
        <v>30</v>
      </c>
      <c r="O72" s="8">
        <v>30</v>
      </c>
      <c r="P72" s="8">
        <v>30</v>
      </c>
      <c r="Q72" s="8">
        <v>30</v>
      </c>
      <c r="R72" s="8">
        <v>30</v>
      </c>
      <c r="S72" s="8">
        <v>30</v>
      </c>
      <c r="T72" s="8">
        <v>30</v>
      </c>
      <c r="U72" s="15">
        <v>30</v>
      </c>
      <c r="V72" s="6" t="s">
        <v>835</v>
      </c>
    </row>
    <row r="73" spans="1:22" ht="30" customHeight="1">
      <c r="A73" s="6" t="s">
        <v>697</v>
      </c>
      <c r="B73" s="6" t="s">
        <v>900</v>
      </c>
      <c r="C73" s="6" t="s">
        <v>901</v>
      </c>
      <c r="D73" s="6" t="s">
        <v>25</v>
      </c>
      <c r="E73" s="19" t="s">
        <v>704</v>
      </c>
      <c r="F73" s="6">
        <v>100</v>
      </c>
      <c r="G73" s="14">
        <v>2477.3846153846198</v>
      </c>
      <c r="H73" s="16">
        <v>2135</v>
      </c>
      <c r="I73" s="8">
        <v>2096</v>
      </c>
      <c r="J73" s="8">
        <v>2397</v>
      </c>
      <c r="K73" s="8">
        <v>2560</v>
      </c>
      <c r="L73" s="8">
        <v>2533</v>
      </c>
      <c r="M73" s="8">
        <v>2943</v>
      </c>
      <c r="N73" s="8">
        <v>3031</v>
      </c>
      <c r="O73" s="8">
        <v>3181</v>
      </c>
      <c r="P73" s="8">
        <v>3340</v>
      </c>
      <c r="Q73" s="8">
        <v>2986</v>
      </c>
      <c r="R73" s="8">
        <v>3224</v>
      </c>
      <c r="S73" s="8">
        <v>2980</v>
      </c>
      <c r="T73" s="8">
        <v>100</v>
      </c>
      <c r="U73" s="15">
        <v>2577.3846153846198</v>
      </c>
      <c r="V73" s="6" t="s">
        <v>902</v>
      </c>
    </row>
    <row r="74" spans="1:22" ht="30" customHeight="1">
      <c r="A74" s="6" t="s">
        <v>697</v>
      </c>
      <c r="B74" s="6" t="s">
        <v>903</v>
      </c>
      <c r="C74" s="6" t="s">
        <v>904</v>
      </c>
      <c r="D74" s="6" t="s">
        <v>25</v>
      </c>
      <c r="E74" s="19" t="s">
        <v>704</v>
      </c>
      <c r="F74" s="6">
        <v>100</v>
      </c>
      <c r="G74" s="14">
        <v>1256.9230769230801</v>
      </c>
      <c r="H74" s="16">
        <v>1698</v>
      </c>
      <c r="I74" s="8">
        <v>1711</v>
      </c>
      <c r="J74" s="8">
        <v>1318</v>
      </c>
      <c r="K74" s="8">
        <v>666</v>
      </c>
      <c r="L74" s="8">
        <v>2945</v>
      </c>
      <c r="M74" s="8">
        <v>2538</v>
      </c>
      <c r="N74" s="8">
        <v>1354</v>
      </c>
      <c r="O74" s="8">
        <v>1068</v>
      </c>
      <c r="P74" s="8">
        <v>1352</v>
      </c>
      <c r="Q74" s="8">
        <v>100</v>
      </c>
      <c r="R74" s="8">
        <v>1365</v>
      </c>
      <c r="S74" s="8">
        <v>1425</v>
      </c>
      <c r="T74" s="8">
        <v>100</v>
      </c>
      <c r="U74" s="15">
        <v>1356.9230769230801</v>
      </c>
      <c r="V74" s="6" t="s">
        <v>905</v>
      </c>
    </row>
    <row r="75" spans="1:22" ht="30" customHeight="1">
      <c r="A75" s="6" t="s">
        <v>697</v>
      </c>
      <c r="B75" s="6" t="s">
        <v>906</v>
      </c>
      <c r="C75" s="6" t="s">
        <v>907</v>
      </c>
      <c r="D75" s="6" t="s">
        <v>25</v>
      </c>
      <c r="E75" s="19" t="s">
        <v>704</v>
      </c>
      <c r="F75" s="6">
        <v>100</v>
      </c>
      <c r="G75" s="14">
        <v>1418.6923076923099</v>
      </c>
      <c r="H75" s="16">
        <v>1665</v>
      </c>
      <c r="I75" s="8">
        <v>1713</v>
      </c>
      <c r="J75" s="8">
        <v>1914</v>
      </c>
      <c r="K75" s="8">
        <v>2989</v>
      </c>
      <c r="L75" s="8">
        <v>2705</v>
      </c>
      <c r="M75" s="8">
        <v>2190</v>
      </c>
      <c r="N75" s="8">
        <v>1464</v>
      </c>
      <c r="O75" s="8">
        <v>1007</v>
      </c>
      <c r="P75" s="8">
        <v>954</v>
      </c>
      <c r="Q75" s="8">
        <v>841</v>
      </c>
      <c r="R75" s="8">
        <v>1063</v>
      </c>
      <c r="S75" s="8">
        <v>1138</v>
      </c>
      <c r="T75" s="8">
        <v>100</v>
      </c>
      <c r="U75" s="15">
        <v>1518.6923076923099</v>
      </c>
      <c r="V75" s="6" t="s">
        <v>908</v>
      </c>
    </row>
    <row r="76" spans="1:22" ht="30" customHeight="1">
      <c r="A76" s="6" t="s">
        <v>697</v>
      </c>
      <c r="B76" s="6" t="s">
        <v>909</v>
      </c>
      <c r="C76" s="6" t="s">
        <v>910</v>
      </c>
      <c r="D76" s="6" t="s">
        <v>25</v>
      </c>
      <c r="E76" s="19" t="s">
        <v>704</v>
      </c>
      <c r="F76" s="6">
        <v>100</v>
      </c>
      <c r="G76" s="14">
        <v>272.92307692307702</v>
      </c>
      <c r="H76" s="16">
        <v>444</v>
      </c>
      <c r="I76" s="8">
        <v>423</v>
      </c>
      <c r="J76" s="8">
        <v>322</v>
      </c>
      <c r="K76" s="8">
        <v>324</v>
      </c>
      <c r="L76" s="8">
        <v>654</v>
      </c>
      <c r="M76" s="8">
        <v>691</v>
      </c>
      <c r="N76" s="8">
        <v>460</v>
      </c>
      <c r="O76" s="8">
        <v>353</v>
      </c>
      <c r="P76" s="8">
        <v>315</v>
      </c>
      <c r="Q76" s="8">
        <v>224</v>
      </c>
      <c r="R76" s="8">
        <v>260</v>
      </c>
      <c r="S76" s="8">
        <v>278</v>
      </c>
      <c r="T76" s="8">
        <v>100</v>
      </c>
      <c r="U76" s="15">
        <v>372.92307692307702</v>
      </c>
      <c r="V76" s="6" t="s">
        <v>705</v>
      </c>
    </row>
    <row r="77" spans="1:22" ht="30" customHeight="1">
      <c r="A77" s="6" t="s">
        <v>697</v>
      </c>
      <c r="B77" s="6" t="s">
        <v>911</v>
      </c>
      <c r="C77" s="6" t="s">
        <v>912</v>
      </c>
      <c r="D77" s="6" t="s">
        <v>25</v>
      </c>
      <c r="E77" s="19" t="s">
        <v>700</v>
      </c>
      <c r="F77" s="6">
        <v>30</v>
      </c>
      <c r="G77" s="14">
        <v>307.38461538461502</v>
      </c>
      <c r="H77" s="16">
        <v>370</v>
      </c>
      <c r="I77" s="8">
        <v>368</v>
      </c>
      <c r="J77" s="8">
        <v>30</v>
      </c>
      <c r="K77" s="8">
        <v>590</v>
      </c>
      <c r="L77" s="8">
        <v>561</v>
      </c>
      <c r="M77" s="8">
        <v>400</v>
      </c>
      <c r="N77" s="8">
        <v>303</v>
      </c>
      <c r="O77" s="8">
        <v>300</v>
      </c>
      <c r="P77" s="8">
        <v>386</v>
      </c>
      <c r="Q77" s="8">
        <v>302</v>
      </c>
      <c r="R77" s="8">
        <v>370</v>
      </c>
      <c r="S77" s="8">
        <v>376</v>
      </c>
      <c r="T77" s="8">
        <v>30</v>
      </c>
      <c r="U77" s="15">
        <v>337.38461538461502</v>
      </c>
      <c r="V77" s="6" t="s">
        <v>913</v>
      </c>
    </row>
    <row r="78" spans="1:22" ht="30" customHeight="1">
      <c r="A78" s="6" t="s">
        <v>697</v>
      </c>
      <c r="B78" s="6" t="s">
        <v>914</v>
      </c>
      <c r="C78" s="6" t="s">
        <v>915</v>
      </c>
      <c r="D78" s="6" t="s">
        <v>25</v>
      </c>
      <c r="E78" s="19" t="s">
        <v>704</v>
      </c>
      <c r="F78" s="6">
        <v>100</v>
      </c>
      <c r="G78" s="14">
        <v>604</v>
      </c>
      <c r="H78" s="16">
        <v>897</v>
      </c>
      <c r="I78" s="8">
        <v>957</v>
      </c>
      <c r="J78" s="8">
        <v>188</v>
      </c>
      <c r="K78" s="8">
        <v>462</v>
      </c>
      <c r="L78" s="8">
        <v>2098</v>
      </c>
      <c r="M78" s="8">
        <v>1508</v>
      </c>
      <c r="N78" s="8">
        <v>658</v>
      </c>
      <c r="O78" s="8">
        <v>540</v>
      </c>
      <c r="P78" s="8">
        <v>448</v>
      </c>
      <c r="Q78" s="8">
        <v>318</v>
      </c>
      <c r="R78" s="8">
        <v>491</v>
      </c>
      <c r="S78" s="8">
        <v>487</v>
      </c>
      <c r="T78" s="8">
        <v>100</v>
      </c>
      <c r="U78" s="15">
        <v>704</v>
      </c>
      <c r="V78" s="6" t="s">
        <v>916</v>
      </c>
    </row>
    <row r="79" spans="1:22" ht="30" customHeight="1">
      <c r="A79" s="6" t="s">
        <v>697</v>
      </c>
      <c r="B79" s="6" t="s">
        <v>917</v>
      </c>
      <c r="C79" s="6" t="s">
        <v>918</v>
      </c>
      <c r="D79" s="6" t="s">
        <v>25</v>
      </c>
      <c r="E79" s="19" t="s">
        <v>704</v>
      </c>
      <c r="F79" s="6">
        <v>100</v>
      </c>
      <c r="G79" s="14">
        <v>1285.76923076923</v>
      </c>
      <c r="H79" s="16">
        <v>2376</v>
      </c>
      <c r="I79" s="8">
        <v>1907</v>
      </c>
      <c r="J79" s="8">
        <v>259</v>
      </c>
      <c r="K79" s="8">
        <v>2953</v>
      </c>
      <c r="L79" s="8">
        <v>3451</v>
      </c>
      <c r="M79" s="8">
        <v>2252</v>
      </c>
      <c r="N79" s="8">
        <v>1072</v>
      </c>
      <c r="O79" s="8">
        <v>748</v>
      </c>
      <c r="P79" s="8">
        <v>641</v>
      </c>
      <c r="Q79" s="8">
        <v>638</v>
      </c>
      <c r="R79" s="8">
        <v>829</v>
      </c>
      <c r="S79" s="8">
        <v>789</v>
      </c>
      <c r="T79" s="8">
        <v>100</v>
      </c>
      <c r="U79" s="15">
        <v>1385.76923076923</v>
      </c>
      <c r="V79" s="6" t="s">
        <v>919</v>
      </c>
    </row>
    <row r="80" spans="1:22" ht="30" customHeight="1">
      <c r="A80" s="6" t="s">
        <v>697</v>
      </c>
      <c r="B80" s="6" t="s">
        <v>920</v>
      </c>
      <c r="C80" s="6" t="s">
        <v>921</v>
      </c>
      <c r="D80" s="6" t="s">
        <v>25</v>
      </c>
      <c r="E80" s="19" t="s">
        <v>704</v>
      </c>
      <c r="F80" s="6">
        <v>100</v>
      </c>
      <c r="G80" s="14">
        <v>1876</v>
      </c>
      <c r="H80" s="16">
        <v>3099</v>
      </c>
      <c r="I80" s="8">
        <v>2725</v>
      </c>
      <c r="J80" s="8">
        <v>2670</v>
      </c>
      <c r="K80" s="8">
        <v>5216</v>
      </c>
      <c r="L80" s="8">
        <v>3594</v>
      </c>
      <c r="M80" s="8">
        <v>1838</v>
      </c>
      <c r="N80" s="8">
        <v>1208</v>
      </c>
      <c r="O80" s="8">
        <v>982</v>
      </c>
      <c r="P80" s="8">
        <v>1066</v>
      </c>
      <c r="Q80" s="8">
        <v>100</v>
      </c>
      <c r="R80" s="8">
        <v>1919</v>
      </c>
      <c r="S80" s="8">
        <v>1171</v>
      </c>
      <c r="T80" s="8">
        <v>100</v>
      </c>
      <c r="U80" s="15">
        <v>1976</v>
      </c>
      <c r="V80" s="6" t="s">
        <v>922</v>
      </c>
    </row>
    <row r="81" spans="1:22" ht="30" customHeight="1">
      <c r="A81" s="6" t="s">
        <v>697</v>
      </c>
      <c r="B81" s="6" t="s">
        <v>923</v>
      </c>
      <c r="C81" s="6" t="s">
        <v>924</v>
      </c>
      <c r="D81" s="6" t="s">
        <v>25</v>
      </c>
      <c r="E81" s="19" t="s">
        <v>700</v>
      </c>
      <c r="F81" s="6">
        <v>30</v>
      </c>
      <c r="G81" s="14">
        <v>91.846153846153797</v>
      </c>
      <c r="H81" s="16">
        <v>127</v>
      </c>
      <c r="I81" s="8">
        <v>134</v>
      </c>
      <c r="J81" s="8">
        <v>135</v>
      </c>
      <c r="K81" s="8">
        <v>128</v>
      </c>
      <c r="L81" s="8">
        <v>106</v>
      </c>
      <c r="M81" s="8">
        <v>114</v>
      </c>
      <c r="N81" s="8">
        <v>109</v>
      </c>
      <c r="O81" s="8">
        <v>122</v>
      </c>
      <c r="P81" s="8">
        <v>147</v>
      </c>
      <c r="Q81" s="8">
        <v>137</v>
      </c>
      <c r="R81" s="8">
        <v>152</v>
      </c>
      <c r="S81" s="8">
        <v>143</v>
      </c>
      <c r="T81" s="8">
        <v>30</v>
      </c>
      <c r="U81" s="15">
        <v>121.846153846154</v>
      </c>
      <c r="V81" s="6" t="s">
        <v>925</v>
      </c>
    </row>
    <row r="82" spans="1:22" ht="30" customHeight="1">
      <c r="A82" s="6" t="s">
        <v>697</v>
      </c>
      <c r="B82" s="6" t="s">
        <v>926</v>
      </c>
      <c r="C82" s="6" t="s">
        <v>927</v>
      </c>
      <c r="D82" s="6" t="s">
        <v>25</v>
      </c>
      <c r="E82" s="19" t="s">
        <v>704</v>
      </c>
      <c r="F82" s="6">
        <v>100</v>
      </c>
      <c r="G82" s="14">
        <v>5478.9987692307704</v>
      </c>
      <c r="H82" s="16">
        <v>6604.6509999999998</v>
      </c>
      <c r="I82" s="8">
        <v>7466.1310000000003</v>
      </c>
      <c r="J82" s="8">
        <v>4006.424</v>
      </c>
      <c r="K82" s="8">
        <v>6362.6180000000004</v>
      </c>
      <c r="L82" s="8">
        <v>12977.312</v>
      </c>
      <c r="M82" s="8">
        <v>10211.276</v>
      </c>
      <c r="N82" s="8">
        <v>6296.8559999999998</v>
      </c>
      <c r="O82" s="8">
        <v>4964.1390000000001</v>
      </c>
      <c r="P82" s="8">
        <v>3233.5839999999998</v>
      </c>
      <c r="Q82" s="8">
        <v>3239.5129999999999</v>
      </c>
      <c r="R82" s="8">
        <v>3197.4949999999999</v>
      </c>
      <c r="S82" s="8">
        <v>3866.9850000000001</v>
      </c>
      <c r="T82" s="8">
        <v>100</v>
      </c>
      <c r="U82" s="15">
        <v>5578.9987692307704</v>
      </c>
      <c r="V82" s="6" t="s">
        <v>928</v>
      </c>
    </row>
    <row r="83" spans="1:22" ht="30" customHeight="1">
      <c r="A83" s="6" t="s">
        <v>697</v>
      </c>
      <c r="B83" s="6" t="s">
        <v>929</v>
      </c>
      <c r="C83" s="6" t="s">
        <v>930</v>
      </c>
      <c r="D83" s="6" t="s">
        <v>25</v>
      </c>
      <c r="E83" s="19" t="s">
        <v>704</v>
      </c>
      <c r="F83" s="6">
        <v>100</v>
      </c>
      <c r="G83" s="14">
        <v>755.38461538461502</v>
      </c>
      <c r="H83" s="16">
        <v>1306</v>
      </c>
      <c r="I83" s="8">
        <v>1341</v>
      </c>
      <c r="J83" s="8">
        <v>100</v>
      </c>
      <c r="K83" s="8">
        <v>1358</v>
      </c>
      <c r="L83" s="8">
        <v>2194</v>
      </c>
      <c r="M83" s="8">
        <v>1634</v>
      </c>
      <c r="N83" s="8">
        <v>786</v>
      </c>
      <c r="O83" s="8">
        <v>586</v>
      </c>
      <c r="P83" s="8">
        <v>509</v>
      </c>
      <c r="Q83" s="8">
        <v>319</v>
      </c>
      <c r="R83" s="8">
        <v>423</v>
      </c>
      <c r="S83" s="8">
        <v>464</v>
      </c>
      <c r="T83" s="8">
        <v>100</v>
      </c>
      <c r="U83" s="15">
        <v>855.38461538461502</v>
      </c>
      <c r="V83" s="6" t="s">
        <v>931</v>
      </c>
    </row>
    <row r="84" spans="1:22" ht="30" customHeight="1">
      <c r="A84" s="6" t="s">
        <v>697</v>
      </c>
      <c r="B84" s="6" t="s">
        <v>932</v>
      </c>
      <c r="C84" s="6" t="s">
        <v>933</v>
      </c>
      <c r="D84" s="6" t="s">
        <v>25</v>
      </c>
      <c r="E84" s="19" t="s">
        <v>700</v>
      </c>
      <c r="F84" s="6">
        <v>30</v>
      </c>
      <c r="G84" s="14">
        <v>0</v>
      </c>
      <c r="H84" s="16">
        <v>30</v>
      </c>
      <c r="I84" s="8">
        <v>30</v>
      </c>
      <c r="J84" s="8">
        <v>30</v>
      </c>
      <c r="K84" s="8">
        <v>30</v>
      </c>
      <c r="L84" s="8">
        <v>30</v>
      </c>
      <c r="M84" s="8">
        <v>30</v>
      </c>
      <c r="N84" s="8">
        <v>30</v>
      </c>
      <c r="O84" s="8">
        <v>30</v>
      </c>
      <c r="P84" s="8">
        <v>30</v>
      </c>
      <c r="Q84" s="8">
        <v>30</v>
      </c>
      <c r="R84" s="8">
        <v>30</v>
      </c>
      <c r="S84" s="8">
        <v>30</v>
      </c>
      <c r="T84" s="8">
        <v>30</v>
      </c>
      <c r="U84" s="15">
        <v>30</v>
      </c>
      <c r="V84" s="6" t="s">
        <v>934</v>
      </c>
    </row>
    <row r="85" spans="1:22" ht="30" customHeight="1">
      <c r="A85" s="6" t="s">
        <v>697</v>
      </c>
      <c r="B85" s="6" t="s">
        <v>935</v>
      </c>
      <c r="C85" s="6" t="s">
        <v>936</v>
      </c>
      <c r="D85" s="6" t="s">
        <v>25</v>
      </c>
      <c r="E85" s="19" t="s">
        <v>704</v>
      </c>
      <c r="F85" s="6">
        <v>100</v>
      </c>
      <c r="G85" s="14">
        <v>75.923076923076906</v>
      </c>
      <c r="H85" s="16">
        <v>100</v>
      </c>
      <c r="I85" s="8">
        <v>100</v>
      </c>
      <c r="J85" s="8">
        <v>1087</v>
      </c>
      <c r="K85" s="8">
        <v>100</v>
      </c>
      <c r="L85" s="8">
        <v>100</v>
      </c>
      <c r="M85" s="8">
        <v>100</v>
      </c>
      <c r="N85" s="8">
        <v>100</v>
      </c>
      <c r="O85" s="8">
        <v>100</v>
      </c>
      <c r="P85" s="8">
        <v>100</v>
      </c>
      <c r="Q85" s="8">
        <v>100</v>
      </c>
      <c r="R85" s="8">
        <v>100</v>
      </c>
      <c r="S85" s="8">
        <v>100</v>
      </c>
      <c r="T85" s="8">
        <v>100</v>
      </c>
      <c r="U85" s="15">
        <v>175.92307692307699</v>
      </c>
      <c r="V85" s="6" t="s">
        <v>937</v>
      </c>
    </row>
    <row r="86" spans="1:22" ht="30" customHeight="1">
      <c r="A86" s="6" t="s">
        <v>697</v>
      </c>
      <c r="B86" s="6" t="s">
        <v>938</v>
      </c>
      <c r="C86" s="6" t="s">
        <v>939</v>
      </c>
      <c r="D86" s="6" t="s">
        <v>25</v>
      </c>
      <c r="E86" s="19" t="s">
        <v>704</v>
      </c>
      <c r="F86" s="6">
        <v>100</v>
      </c>
      <c r="G86" s="14">
        <v>1058.5384615384601</v>
      </c>
      <c r="H86" s="16">
        <v>1274</v>
      </c>
      <c r="I86" s="8">
        <v>1001</v>
      </c>
      <c r="J86" s="8">
        <v>673</v>
      </c>
      <c r="K86" s="8">
        <v>2207</v>
      </c>
      <c r="L86" s="8">
        <v>3943</v>
      </c>
      <c r="M86" s="8">
        <v>2697</v>
      </c>
      <c r="N86" s="8">
        <v>801</v>
      </c>
      <c r="O86" s="8">
        <v>568</v>
      </c>
      <c r="P86" s="8">
        <v>310</v>
      </c>
      <c r="Q86" s="8">
        <v>100</v>
      </c>
      <c r="R86" s="8">
        <v>1287</v>
      </c>
      <c r="S86" s="8">
        <v>100</v>
      </c>
      <c r="T86" s="8">
        <v>100</v>
      </c>
      <c r="U86" s="15">
        <v>1158.5384615384601</v>
      </c>
      <c r="V86" s="6" t="s">
        <v>940</v>
      </c>
    </row>
    <row r="87" spans="1:22" ht="30" customHeight="1">
      <c r="A87" s="6" t="s">
        <v>697</v>
      </c>
      <c r="B87" s="6" t="s">
        <v>941</v>
      </c>
      <c r="C87" s="6" t="s">
        <v>942</v>
      </c>
      <c r="D87" s="6" t="s">
        <v>25</v>
      </c>
      <c r="E87" s="19" t="s">
        <v>704</v>
      </c>
      <c r="F87" s="6">
        <v>100</v>
      </c>
      <c r="G87" s="14">
        <v>2300.5384615384601</v>
      </c>
      <c r="H87" s="16">
        <v>3228</v>
      </c>
      <c r="I87" s="8">
        <v>3153</v>
      </c>
      <c r="J87" s="8">
        <v>797</v>
      </c>
      <c r="K87" s="8">
        <v>2479</v>
      </c>
      <c r="L87" s="8">
        <v>2227</v>
      </c>
      <c r="M87" s="8">
        <v>2376</v>
      </c>
      <c r="N87" s="8">
        <v>2206</v>
      </c>
      <c r="O87" s="8">
        <v>100</v>
      </c>
      <c r="P87" s="8">
        <v>11041</v>
      </c>
      <c r="Q87" s="8">
        <v>852</v>
      </c>
      <c r="R87" s="8">
        <v>1199</v>
      </c>
      <c r="S87" s="8">
        <v>1449</v>
      </c>
      <c r="T87" s="8">
        <v>100</v>
      </c>
      <c r="U87" s="15">
        <v>2400.5384615384601</v>
      </c>
      <c r="V87" s="6" t="s">
        <v>943</v>
      </c>
    </row>
    <row r="88" spans="1:22" ht="30" customHeight="1">
      <c r="A88" s="6" t="s">
        <v>697</v>
      </c>
      <c r="B88" s="6" t="s">
        <v>944</v>
      </c>
      <c r="C88" s="6" t="s">
        <v>945</v>
      </c>
      <c r="D88" s="6" t="s">
        <v>25</v>
      </c>
      <c r="E88" s="19" t="s">
        <v>700</v>
      </c>
      <c r="F88" s="6">
        <v>30</v>
      </c>
      <c r="G88" s="14">
        <v>404.84615384615398</v>
      </c>
      <c r="H88" s="16">
        <v>765</v>
      </c>
      <c r="I88" s="8">
        <v>1508</v>
      </c>
      <c r="J88" s="8">
        <v>809</v>
      </c>
      <c r="K88" s="8">
        <v>262</v>
      </c>
      <c r="L88" s="8">
        <v>811</v>
      </c>
      <c r="M88" s="8">
        <v>471</v>
      </c>
      <c r="N88" s="8">
        <v>847</v>
      </c>
      <c r="O88" s="8">
        <v>30</v>
      </c>
      <c r="P88" s="8">
        <v>30</v>
      </c>
      <c r="Q88" s="8">
        <v>30</v>
      </c>
      <c r="R88" s="8">
        <v>30</v>
      </c>
      <c r="S88" s="8">
        <v>30</v>
      </c>
      <c r="T88" s="8">
        <v>30</v>
      </c>
      <c r="U88" s="15">
        <v>434.84615384615398</v>
      </c>
      <c r="V88" s="6" t="s">
        <v>946</v>
      </c>
    </row>
    <row r="89" spans="1:22" ht="30" customHeight="1">
      <c r="A89" s="6" t="s">
        <v>697</v>
      </c>
      <c r="B89" s="6" t="s">
        <v>947</v>
      </c>
      <c r="C89" s="6" t="s">
        <v>948</v>
      </c>
      <c r="D89" s="6" t="s">
        <v>25</v>
      </c>
      <c r="E89" s="19" t="s">
        <v>704</v>
      </c>
      <c r="F89" s="6">
        <v>100</v>
      </c>
      <c r="G89" s="14">
        <v>1397.76923076923</v>
      </c>
      <c r="H89" s="16">
        <v>1999</v>
      </c>
      <c r="I89" s="8">
        <v>1844</v>
      </c>
      <c r="J89" s="8">
        <v>1975</v>
      </c>
      <c r="K89" s="8">
        <v>2897</v>
      </c>
      <c r="L89" s="8">
        <v>2668</v>
      </c>
      <c r="M89" s="8">
        <v>1870</v>
      </c>
      <c r="N89" s="8">
        <v>1475</v>
      </c>
      <c r="O89" s="8">
        <v>1026</v>
      </c>
      <c r="P89" s="8">
        <v>726</v>
      </c>
      <c r="Q89" s="8">
        <v>727</v>
      </c>
      <c r="R89" s="8">
        <v>883</v>
      </c>
      <c r="S89" s="8">
        <v>1281</v>
      </c>
      <c r="T89" s="8">
        <v>100</v>
      </c>
      <c r="U89" s="15">
        <v>1497.76923076923</v>
      </c>
      <c r="V89" s="6" t="s">
        <v>949</v>
      </c>
    </row>
    <row r="90" spans="1:22" ht="30" customHeight="1">
      <c r="A90" s="6" t="s">
        <v>697</v>
      </c>
      <c r="B90" s="6" t="s">
        <v>950</v>
      </c>
      <c r="C90" s="6" t="s">
        <v>951</v>
      </c>
      <c r="D90" s="6" t="s">
        <v>25</v>
      </c>
      <c r="E90" s="19" t="s">
        <v>704</v>
      </c>
      <c r="F90" s="6">
        <v>100</v>
      </c>
      <c r="G90" s="14">
        <v>1968.38461538462</v>
      </c>
      <c r="H90" s="16">
        <v>2520</v>
      </c>
      <c r="I90" s="8">
        <v>2485</v>
      </c>
      <c r="J90" s="8">
        <v>2289</v>
      </c>
      <c r="K90" s="8">
        <v>4254</v>
      </c>
      <c r="L90" s="8">
        <v>3777</v>
      </c>
      <c r="M90" s="8">
        <v>2526</v>
      </c>
      <c r="N90" s="8">
        <v>1611</v>
      </c>
      <c r="O90" s="8">
        <v>1301</v>
      </c>
      <c r="P90" s="8">
        <v>1526</v>
      </c>
      <c r="Q90" s="8">
        <v>1283</v>
      </c>
      <c r="R90" s="8">
        <v>3117</v>
      </c>
      <c r="S90" s="8">
        <v>100</v>
      </c>
      <c r="T90" s="8">
        <v>100</v>
      </c>
      <c r="U90" s="15">
        <v>2068.3846153846198</v>
      </c>
      <c r="V90" s="6" t="s">
        <v>952</v>
      </c>
    </row>
    <row r="91" spans="1:22" ht="30" customHeight="1">
      <c r="A91" s="6" t="s">
        <v>697</v>
      </c>
      <c r="B91" s="6" t="s">
        <v>953</v>
      </c>
      <c r="C91" s="6" t="s">
        <v>954</v>
      </c>
      <c r="D91" s="6" t="s">
        <v>25</v>
      </c>
      <c r="E91" s="19" t="s">
        <v>704</v>
      </c>
      <c r="F91" s="6">
        <v>100</v>
      </c>
      <c r="G91" s="14">
        <v>782.07692307692298</v>
      </c>
      <c r="H91" s="16">
        <v>1030</v>
      </c>
      <c r="I91" s="8">
        <v>1424</v>
      </c>
      <c r="J91" s="8">
        <v>658</v>
      </c>
      <c r="K91" s="8">
        <v>238</v>
      </c>
      <c r="L91" s="8">
        <v>2622</v>
      </c>
      <c r="M91" s="8">
        <v>1918</v>
      </c>
      <c r="N91" s="8">
        <v>998</v>
      </c>
      <c r="O91" s="8">
        <v>824</v>
      </c>
      <c r="P91" s="8">
        <v>431</v>
      </c>
      <c r="Q91" s="8">
        <v>324</v>
      </c>
      <c r="R91" s="8">
        <v>445</v>
      </c>
      <c r="S91" s="8">
        <v>455</v>
      </c>
      <c r="T91" s="8">
        <v>100</v>
      </c>
      <c r="U91" s="15">
        <v>882.07692307692298</v>
      </c>
      <c r="V91" s="6" t="s">
        <v>955</v>
      </c>
    </row>
    <row r="92" spans="1:22" ht="30" customHeight="1">
      <c r="A92" s="6" t="s">
        <v>697</v>
      </c>
      <c r="B92" s="6" t="s">
        <v>956</v>
      </c>
      <c r="C92" s="6" t="s">
        <v>957</v>
      </c>
      <c r="D92" s="6" t="s">
        <v>25</v>
      </c>
      <c r="E92" s="19" t="s">
        <v>704</v>
      </c>
      <c r="F92" s="6">
        <v>100</v>
      </c>
      <c r="G92" s="14">
        <v>7.0769230769230802</v>
      </c>
      <c r="H92" s="16">
        <v>100</v>
      </c>
      <c r="I92" s="8">
        <v>192</v>
      </c>
      <c r="J92" s="8">
        <v>100</v>
      </c>
      <c r="K92" s="8">
        <v>100</v>
      </c>
      <c r="L92" s="8">
        <v>100</v>
      </c>
      <c r="M92" s="8">
        <v>100</v>
      </c>
      <c r="N92" s="8">
        <v>100</v>
      </c>
      <c r="O92" s="8">
        <v>100</v>
      </c>
      <c r="P92" s="8">
        <v>100</v>
      </c>
      <c r="Q92" s="8">
        <v>100</v>
      </c>
      <c r="R92" s="8">
        <v>100</v>
      </c>
      <c r="S92" s="8">
        <v>100</v>
      </c>
      <c r="T92" s="8">
        <v>100</v>
      </c>
      <c r="U92" s="15">
        <v>107.07692307692299</v>
      </c>
      <c r="V92" s="6" t="s">
        <v>958</v>
      </c>
    </row>
    <row r="93" spans="1:22" ht="30" customHeight="1">
      <c r="A93" s="6" t="s">
        <v>697</v>
      </c>
      <c r="B93" s="6" t="s">
        <v>959</v>
      </c>
      <c r="C93" s="6" t="s">
        <v>960</v>
      </c>
      <c r="D93" s="6" t="s">
        <v>25</v>
      </c>
      <c r="E93" s="19" t="s">
        <v>704</v>
      </c>
      <c r="F93" s="6">
        <v>100</v>
      </c>
      <c r="G93" s="14">
        <v>4572.2307692307704</v>
      </c>
      <c r="H93" s="16">
        <v>7121</v>
      </c>
      <c r="I93" s="8">
        <v>5397</v>
      </c>
      <c r="J93" s="8">
        <v>4824</v>
      </c>
      <c r="K93" s="8">
        <v>2886</v>
      </c>
      <c r="L93" s="8">
        <v>8067</v>
      </c>
      <c r="M93" s="8">
        <v>10909</v>
      </c>
      <c r="N93" s="8">
        <v>4611</v>
      </c>
      <c r="O93" s="8">
        <v>4063</v>
      </c>
      <c r="P93" s="8">
        <v>3591</v>
      </c>
      <c r="Q93" s="8">
        <v>2659</v>
      </c>
      <c r="R93" s="8">
        <v>3266</v>
      </c>
      <c r="S93" s="8">
        <v>3245</v>
      </c>
      <c r="T93" s="8">
        <v>100</v>
      </c>
      <c r="U93" s="15">
        <v>4672.2307692307704</v>
      </c>
      <c r="V93" s="6" t="s">
        <v>961</v>
      </c>
    </row>
    <row r="94" spans="1:22" ht="30" customHeight="1">
      <c r="A94" s="6" t="s">
        <v>697</v>
      </c>
      <c r="B94" s="6" t="s">
        <v>962</v>
      </c>
      <c r="C94" s="6" t="s">
        <v>963</v>
      </c>
      <c r="D94" s="6" t="s">
        <v>25</v>
      </c>
      <c r="E94" s="19" t="s">
        <v>704</v>
      </c>
      <c r="F94" s="6">
        <v>100</v>
      </c>
      <c r="G94" s="14">
        <v>1729.76923076923</v>
      </c>
      <c r="H94" s="16">
        <v>1942</v>
      </c>
      <c r="I94" s="8">
        <v>1915</v>
      </c>
      <c r="J94" s="8">
        <v>2305</v>
      </c>
      <c r="K94" s="8">
        <v>2188</v>
      </c>
      <c r="L94" s="8">
        <v>2263</v>
      </c>
      <c r="M94" s="8">
        <v>1948</v>
      </c>
      <c r="N94" s="8">
        <v>1733</v>
      </c>
      <c r="O94" s="8">
        <v>1735</v>
      </c>
      <c r="P94" s="8">
        <v>1892</v>
      </c>
      <c r="Q94" s="8">
        <v>1783</v>
      </c>
      <c r="R94" s="8">
        <v>1892</v>
      </c>
      <c r="S94" s="8">
        <v>2091</v>
      </c>
      <c r="T94" s="8">
        <v>100</v>
      </c>
      <c r="U94" s="15">
        <v>1829.76923076923</v>
      </c>
      <c r="V94" s="6" t="s">
        <v>964</v>
      </c>
    </row>
    <row r="95" spans="1:22" ht="30" customHeight="1">
      <c r="A95" s="6" t="s">
        <v>697</v>
      </c>
      <c r="B95" s="6" t="s">
        <v>965</v>
      </c>
      <c r="C95" s="6" t="s">
        <v>966</v>
      </c>
      <c r="D95" s="6" t="s">
        <v>25</v>
      </c>
      <c r="E95" s="19" t="s">
        <v>704</v>
      </c>
      <c r="F95" s="6">
        <v>100</v>
      </c>
      <c r="G95" s="14">
        <v>585.76923076923094</v>
      </c>
      <c r="H95" s="16">
        <v>639</v>
      </c>
      <c r="I95" s="8">
        <v>100</v>
      </c>
      <c r="J95" s="8">
        <v>357</v>
      </c>
      <c r="K95" s="8">
        <v>723</v>
      </c>
      <c r="L95" s="8">
        <v>1531</v>
      </c>
      <c r="M95" s="8">
        <v>756</v>
      </c>
      <c r="N95" s="8">
        <v>742</v>
      </c>
      <c r="O95" s="8">
        <v>870</v>
      </c>
      <c r="P95" s="8">
        <v>847</v>
      </c>
      <c r="Q95" s="8">
        <v>763</v>
      </c>
      <c r="R95" s="8">
        <v>775</v>
      </c>
      <c r="S95" s="8">
        <v>712</v>
      </c>
      <c r="T95" s="8">
        <v>100</v>
      </c>
      <c r="U95" s="15">
        <v>685.76923076923094</v>
      </c>
      <c r="V95" s="6" t="s">
        <v>967</v>
      </c>
    </row>
    <row r="96" spans="1:22" ht="30" customHeight="1">
      <c r="A96" s="6" t="s">
        <v>697</v>
      </c>
      <c r="B96" s="6" t="s">
        <v>968</v>
      </c>
      <c r="C96" s="6" t="s">
        <v>969</v>
      </c>
      <c r="D96" s="6" t="s">
        <v>25</v>
      </c>
      <c r="E96" s="19" t="s">
        <v>704</v>
      </c>
      <c r="F96" s="6">
        <v>100</v>
      </c>
      <c r="G96" s="14">
        <v>0</v>
      </c>
      <c r="H96" s="16">
        <v>100</v>
      </c>
      <c r="I96" s="8">
        <v>100</v>
      </c>
      <c r="J96" s="8">
        <v>100</v>
      </c>
      <c r="K96" s="8">
        <v>100</v>
      </c>
      <c r="L96" s="8">
        <v>100</v>
      </c>
      <c r="M96" s="8">
        <v>100</v>
      </c>
      <c r="N96" s="8">
        <v>100</v>
      </c>
      <c r="O96" s="8">
        <v>100</v>
      </c>
      <c r="P96" s="8">
        <v>100</v>
      </c>
      <c r="Q96" s="8">
        <v>100</v>
      </c>
      <c r="R96" s="8">
        <v>100</v>
      </c>
      <c r="S96" s="8">
        <v>100</v>
      </c>
      <c r="T96" s="8">
        <v>100</v>
      </c>
      <c r="U96" s="15">
        <v>100</v>
      </c>
      <c r="V96" s="6" t="s">
        <v>970</v>
      </c>
    </row>
    <row r="97" spans="1:22" ht="30" customHeight="1">
      <c r="A97" s="6" t="s">
        <v>697</v>
      </c>
      <c r="B97" s="6" t="s">
        <v>971</v>
      </c>
      <c r="C97" s="6" t="s">
        <v>972</v>
      </c>
      <c r="D97" s="6" t="s">
        <v>25</v>
      </c>
      <c r="E97" s="19" t="s">
        <v>700</v>
      </c>
      <c r="F97" s="6">
        <v>30</v>
      </c>
      <c r="G97" s="14">
        <v>52.615384615384599</v>
      </c>
      <c r="H97" s="16">
        <v>103</v>
      </c>
      <c r="I97" s="8">
        <v>97</v>
      </c>
      <c r="J97" s="8">
        <v>80</v>
      </c>
      <c r="K97" s="8">
        <v>74</v>
      </c>
      <c r="L97" s="8">
        <v>101</v>
      </c>
      <c r="M97" s="8">
        <v>102</v>
      </c>
      <c r="N97" s="8">
        <v>91</v>
      </c>
      <c r="O97" s="8">
        <v>86</v>
      </c>
      <c r="P97" s="8">
        <v>76</v>
      </c>
      <c r="Q97" s="8">
        <v>77</v>
      </c>
      <c r="R97" s="8">
        <v>84</v>
      </c>
      <c r="S97" s="8">
        <v>73</v>
      </c>
      <c r="T97" s="8">
        <v>30</v>
      </c>
      <c r="U97" s="15">
        <v>82.615384615384599</v>
      </c>
      <c r="V97" s="6" t="s">
        <v>973</v>
      </c>
    </row>
    <row r="98" spans="1:22" ht="30" customHeight="1">
      <c r="A98" s="6" t="s">
        <v>697</v>
      </c>
      <c r="B98" s="6" t="s">
        <v>974</v>
      </c>
      <c r="C98" s="6" t="s">
        <v>975</v>
      </c>
      <c r="D98" s="6" t="s">
        <v>25</v>
      </c>
      <c r="E98" s="19" t="s">
        <v>700</v>
      </c>
      <c r="F98" s="6">
        <v>30</v>
      </c>
      <c r="G98" s="14">
        <v>0</v>
      </c>
      <c r="H98" s="16">
        <v>30</v>
      </c>
      <c r="I98" s="8">
        <v>30</v>
      </c>
      <c r="J98" s="8">
        <v>30</v>
      </c>
      <c r="K98" s="8">
        <v>30</v>
      </c>
      <c r="L98" s="8">
        <v>30</v>
      </c>
      <c r="M98" s="8">
        <v>30</v>
      </c>
      <c r="N98" s="8">
        <v>30</v>
      </c>
      <c r="O98" s="8">
        <v>30</v>
      </c>
      <c r="P98" s="8">
        <v>30</v>
      </c>
      <c r="Q98" s="8">
        <v>30</v>
      </c>
      <c r="R98" s="8">
        <v>30</v>
      </c>
      <c r="S98" s="8">
        <v>30</v>
      </c>
      <c r="T98" s="8">
        <v>30</v>
      </c>
      <c r="U98" s="15">
        <v>30</v>
      </c>
      <c r="V98" s="6" t="s">
        <v>976</v>
      </c>
    </row>
    <row r="99" spans="1:22" ht="30" customHeight="1">
      <c r="A99" s="6" t="s">
        <v>697</v>
      </c>
      <c r="B99" s="6" t="s">
        <v>977</v>
      </c>
      <c r="C99" s="6" t="s">
        <v>978</v>
      </c>
      <c r="D99" s="6" t="s">
        <v>25</v>
      </c>
      <c r="E99" s="19" t="s">
        <v>704</v>
      </c>
      <c r="F99" s="6">
        <v>100</v>
      </c>
      <c r="G99" s="14">
        <v>329.69230769230802</v>
      </c>
      <c r="H99" s="16">
        <v>403</v>
      </c>
      <c r="I99" s="8">
        <v>548</v>
      </c>
      <c r="J99" s="8">
        <v>433</v>
      </c>
      <c r="K99" s="8">
        <v>388</v>
      </c>
      <c r="L99" s="8">
        <v>640</v>
      </c>
      <c r="M99" s="8">
        <v>554</v>
      </c>
      <c r="N99" s="8">
        <v>432</v>
      </c>
      <c r="O99" s="8">
        <v>485</v>
      </c>
      <c r="P99" s="8">
        <v>402</v>
      </c>
      <c r="Q99" s="8">
        <v>387</v>
      </c>
      <c r="R99" s="8">
        <v>387</v>
      </c>
      <c r="S99" s="8">
        <v>427</v>
      </c>
      <c r="T99" s="8">
        <v>100</v>
      </c>
      <c r="U99" s="15">
        <v>429.69230769230802</v>
      </c>
      <c r="V99" s="6" t="s">
        <v>979</v>
      </c>
    </row>
    <row r="100" spans="1:22" ht="30" customHeight="1">
      <c r="A100" s="6" t="s">
        <v>697</v>
      </c>
      <c r="B100" s="6" t="s">
        <v>980</v>
      </c>
      <c r="C100" s="6" t="s">
        <v>981</v>
      </c>
      <c r="D100" s="6" t="s">
        <v>25</v>
      </c>
      <c r="E100" s="19" t="s">
        <v>704</v>
      </c>
      <c r="F100" s="6">
        <v>100</v>
      </c>
      <c r="G100" s="14">
        <v>933.38461538461604</v>
      </c>
      <c r="H100" s="16">
        <v>934</v>
      </c>
      <c r="I100" s="8">
        <v>1139</v>
      </c>
      <c r="J100" s="8">
        <v>915</v>
      </c>
      <c r="K100" s="8">
        <v>1130</v>
      </c>
      <c r="L100" s="8">
        <v>1165</v>
      </c>
      <c r="M100" s="8">
        <v>964</v>
      </c>
      <c r="N100" s="8">
        <v>901</v>
      </c>
      <c r="O100" s="8">
        <v>909</v>
      </c>
      <c r="P100" s="8">
        <v>1286</v>
      </c>
      <c r="Q100" s="8">
        <v>1443</v>
      </c>
      <c r="R100" s="8">
        <v>1393</v>
      </c>
      <c r="S100" s="8">
        <v>1155</v>
      </c>
      <c r="T100" s="8">
        <v>100</v>
      </c>
      <c r="U100" s="15">
        <v>1033.38461538462</v>
      </c>
      <c r="V100" s="6" t="s">
        <v>982</v>
      </c>
    </row>
    <row r="101" spans="1:22" ht="30" customHeight="1">
      <c r="A101" s="6" t="s">
        <v>697</v>
      </c>
      <c r="B101" s="6" t="s">
        <v>983</v>
      </c>
      <c r="C101" s="6" t="s">
        <v>984</v>
      </c>
      <c r="D101" s="6" t="s">
        <v>25</v>
      </c>
      <c r="E101" s="19" t="s">
        <v>700</v>
      </c>
      <c r="F101" s="6">
        <v>30</v>
      </c>
      <c r="G101" s="14">
        <v>558.69230769230796</v>
      </c>
      <c r="H101" s="16">
        <v>623</v>
      </c>
      <c r="I101" s="8">
        <v>666</v>
      </c>
      <c r="J101" s="8">
        <v>607</v>
      </c>
      <c r="K101" s="8">
        <v>960</v>
      </c>
      <c r="L101" s="8">
        <v>662</v>
      </c>
      <c r="M101" s="8">
        <v>1294</v>
      </c>
      <c r="N101" s="8">
        <v>661</v>
      </c>
      <c r="O101" s="8">
        <v>303</v>
      </c>
      <c r="P101" s="8">
        <v>536</v>
      </c>
      <c r="Q101" s="8">
        <v>638</v>
      </c>
      <c r="R101" s="8">
        <v>289</v>
      </c>
      <c r="S101" s="8">
        <v>384</v>
      </c>
      <c r="T101" s="8">
        <v>30</v>
      </c>
      <c r="U101" s="15">
        <v>588.69230769230796</v>
      </c>
      <c r="V101" s="6" t="s">
        <v>985</v>
      </c>
    </row>
    <row r="102" spans="1:22" ht="30" customHeight="1">
      <c r="A102" s="6" t="s">
        <v>697</v>
      </c>
      <c r="B102" s="6" t="s">
        <v>986</v>
      </c>
      <c r="C102" s="6" t="s">
        <v>987</v>
      </c>
      <c r="D102" s="6" t="s">
        <v>25</v>
      </c>
      <c r="E102" s="19" t="s">
        <v>704</v>
      </c>
      <c r="F102" s="6">
        <v>100</v>
      </c>
      <c r="G102" s="14">
        <v>0</v>
      </c>
      <c r="H102" s="16">
        <v>100</v>
      </c>
      <c r="I102" s="8">
        <v>100</v>
      </c>
      <c r="J102" s="8">
        <v>100</v>
      </c>
      <c r="K102" s="8">
        <v>100</v>
      </c>
      <c r="L102" s="8">
        <v>100</v>
      </c>
      <c r="M102" s="8">
        <v>100</v>
      </c>
      <c r="N102" s="8">
        <v>100</v>
      </c>
      <c r="O102" s="8">
        <v>100</v>
      </c>
      <c r="P102" s="8">
        <v>100</v>
      </c>
      <c r="Q102" s="8">
        <v>100</v>
      </c>
      <c r="R102" s="8">
        <v>100</v>
      </c>
      <c r="S102" s="8">
        <v>100</v>
      </c>
      <c r="T102" s="8">
        <v>100</v>
      </c>
      <c r="U102" s="15">
        <v>100</v>
      </c>
      <c r="V102" s="6" t="s">
        <v>970</v>
      </c>
    </row>
    <row r="103" spans="1:22" ht="30" customHeight="1">
      <c r="A103" s="6" t="s">
        <v>697</v>
      </c>
      <c r="B103" s="6" t="s">
        <v>988</v>
      </c>
      <c r="C103" s="6" t="s">
        <v>989</v>
      </c>
      <c r="D103" s="6" t="s">
        <v>25</v>
      </c>
      <c r="E103" s="19" t="s">
        <v>704</v>
      </c>
      <c r="F103" s="6">
        <v>100</v>
      </c>
      <c r="G103" s="14">
        <v>1781.23076923077</v>
      </c>
      <c r="H103" s="16">
        <v>2089</v>
      </c>
      <c r="I103" s="8">
        <v>2180</v>
      </c>
      <c r="J103" s="8">
        <v>2166</v>
      </c>
      <c r="K103" s="8">
        <v>3019</v>
      </c>
      <c r="L103" s="8">
        <v>3696</v>
      </c>
      <c r="M103" s="8">
        <v>2634</v>
      </c>
      <c r="N103" s="8">
        <v>1708</v>
      </c>
      <c r="O103" s="8">
        <v>1606</v>
      </c>
      <c r="P103" s="8">
        <v>1372</v>
      </c>
      <c r="Q103" s="8">
        <v>1257</v>
      </c>
      <c r="R103" s="8">
        <v>1343</v>
      </c>
      <c r="S103" s="8">
        <v>1286</v>
      </c>
      <c r="T103" s="8">
        <v>100</v>
      </c>
      <c r="U103" s="15">
        <v>1881.23076923077</v>
      </c>
      <c r="V103" s="6" t="s">
        <v>990</v>
      </c>
    </row>
    <row r="104" spans="1:22" ht="30" customHeight="1">
      <c r="A104" s="6" t="s">
        <v>697</v>
      </c>
      <c r="B104" s="6" t="s">
        <v>991</v>
      </c>
      <c r="C104" s="6" t="s">
        <v>992</v>
      </c>
      <c r="D104" s="6" t="s">
        <v>25</v>
      </c>
      <c r="E104" s="19" t="s">
        <v>700</v>
      </c>
      <c r="F104" s="6">
        <v>30</v>
      </c>
      <c r="G104" s="14">
        <v>22</v>
      </c>
      <c r="H104" s="16">
        <v>63</v>
      </c>
      <c r="I104" s="8">
        <v>58</v>
      </c>
      <c r="J104" s="8">
        <v>74</v>
      </c>
      <c r="K104" s="8">
        <v>72</v>
      </c>
      <c r="L104" s="8">
        <v>73</v>
      </c>
      <c r="M104" s="8">
        <v>56</v>
      </c>
      <c r="N104" s="8">
        <v>54</v>
      </c>
      <c r="O104" s="8">
        <v>43</v>
      </c>
      <c r="P104" s="8">
        <v>33</v>
      </c>
      <c r="Q104" s="8">
        <v>36</v>
      </c>
      <c r="R104" s="8">
        <v>40</v>
      </c>
      <c r="S104" s="8">
        <v>44</v>
      </c>
      <c r="T104" s="8">
        <v>30</v>
      </c>
      <c r="U104" s="15">
        <v>52</v>
      </c>
      <c r="V104" s="6" t="s">
        <v>993</v>
      </c>
    </row>
    <row r="105" spans="1:22" ht="30" customHeight="1">
      <c r="A105" s="6" t="s">
        <v>697</v>
      </c>
      <c r="B105" s="6" t="s">
        <v>994</v>
      </c>
      <c r="C105" s="6" t="s">
        <v>995</v>
      </c>
      <c r="D105" s="6" t="s">
        <v>25</v>
      </c>
      <c r="E105" s="19" t="s">
        <v>704</v>
      </c>
      <c r="F105" s="6">
        <v>100</v>
      </c>
      <c r="G105" s="14">
        <v>16692.307692307699</v>
      </c>
      <c r="H105" s="16">
        <v>100</v>
      </c>
      <c r="I105" s="8">
        <v>100</v>
      </c>
      <c r="J105" s="8">
        <v>100</v>
      </c>
      <c r="K105" s="8">
        <v>15680</v>
      </c>
      <c r="L105" s="8">
        <v>100</v>
      </c>
      <c r="M105" s="8">
        <v>25620</v>
      </c>
      <c r="N105" s="8">
        <v>34740</v>
      </c>
      <c r="O105" s="8">
        <v>28240</v>
      </c>
      <c r="P105" s="8">
        <v>26520</v>
      </c>
      <c r="Q105" s="8">
        <v>23640</v>
      </c>
      <c r="R105" s="8">
        <v>30960</v>
      </c>
      <c r="S105" s="8">
        <v>32400</v>
      </c>
      <c r="T105" s="8">
        <v>100</v>
      </c>
      <c r="U105" s="15">
        <v>16792.307692307699</v>
      </c>
      <c r="V105" s="6" t="s">
        <v>996</v>
      </c>
    </row>
    <row r="106" spans="1:22" ht="30" customHeight="1">
      <c r="A106" s="6" t="s">
        <v>697</v>
      </c>
      <c r="B106" s="6" t="s">
        <v>997</v>
      </c>
      <c r="C106" s="6" t="s">
        <v>998</v>
      </c>
      <c r="D106" s="6" t="s">
        <v>25</v>
      </c>
      <c r="E106" s="19" t="s">
        <v>700</v>
      </c>
      <c r="F106" s="6">
        <v>30</v>
      </c>
      <c r="G106" s="14">
        <v>263.92307692307702</v>
      </c>
      <c r="H106" s="16">
        <v>308</v>
      </c>
      <c r="I106" s="8">
        <v>334</v>
      </c>
      <c r="J106" s="8">
        <v>369</v>
      </c>
      <c r="K106" s="8">
        <v>778</v>
      </c>
      <c r="L106" s="8">
        <v>305</v>
      </c>
      <c r="M106" s="8">
        <v>830</v>
      </c>
      <c r="N106" s="8">
        <v>309</v>
      </c>
      <c r="O106" s="8">
        <v>30</v>
      </c>
      <c r="P106" s="8">
        <v>208</v>
      </c>
      <c r="Q106" s="8">
        <v>52</v>
      </c>
      <c r="R106" s="8">
        <v>118</v>
      </c>
      <c r="S106" s="8">
        <v>150</v>
      </c>
      <c r="T106" s="8">
        <v>30</v>
      </c>
      <c r="U106" s="15">
        <v>293.92307692307702</v>
      </c>
      <c r="V106" s="6" t="s">
        <v>999</v>
      </c>
    </row>
    <row r="107" spans="1:22" ht="30" customHeight="1">
      <c r="A107" s="6" t="s">
        <v>697</v>
      </c>
      <c r="B107" s="6" t="s">
        <v>1000</v>
      </c>
      <c r="C107" s="6" t="s">
        <v>1001</v>
      </c>
      <c r="D107" s="6" t="s">
        <v>25</v>
      </c>
      <c r="E107" s="19" t="s">
        <v>700</v>
      </c>
      <c r="F107" s="6">
        <v>30</v>
      </c>
      <c r="G107" s="14">
        <v>213.38461538461499</v>
      </c>
      <c r="H107" s="16">
        <v>287</v>
      </c>
      <c r="I107" s="8">
        <v>30</v>
      </c>
      <c r="J107" s="8">
        <v>149</v>
      </c>
      <c r="K107" s="8">
        <v>475</v>
      </c>
      <c r="L107" s="8">
        <v>231</v>
      </c>
      <c r="M107" s="8">
        <v>256</v>
      </c>
      <c r="N107" s="8">
        <v>225</v>
      </c>
      <c r="O107" s="8">
        <v>277</v>
      </c>
      <c r="P107" s="8">
        <v>30</v>
      </c>
      <c r="Q107" s="8">
        <v>403</v>
      </c>
      <c r="R107" s="8">
        <v>496</v>
      </c>
      <c r="S107" s="8">
        <v>30</v>
      </c>
      <c r="T107" s="8">
        <v>275</v>
      </c>
      <c r="U107" s="15">
        <v>243.38461538461499</v>
      </c>
      <c r="V107" s="6" t="s">
        <v>1002</v>
      </c>
    </row>
    <row r="108" spans="1:22" ht="30" customHeight="1">
      <c r="A108" s="6" t="s">
        <v>697</v>
      </c>
      <c r="B108" s="6" t="s">
        <v>1003</v>
      </c>
      <c r="C108" s="6" t="s">
        <v>1004</v>
      </c>
      <c r="D108" s="6" t="s">
        <v>25</v>
      </c>
      <c r="E108" s="19" t="s">
        <v>700</v>
      </c>
      <c r="F108" s="6">
        <v>30</v>
      </c>
      <c r="G108" s="14">
        <v>0</v>
      </c>
      <c r="H108" s="16">
        <v>30</v>
      </c>
      <c r="I108" s="8">
        <v>30</v>
      </c>
      <c r="J108" s="8">
        <v>30</v>
      </c>
      <c r="K108" s="8">
        <v>30</v>
      </c>
      <c r="L108" s="8">
        <v>30</v>
      </c>
      <c r="M108" s="8">
        <v>30</v>
      </c>
      <c r="N108" s="8">
        <v>30</v>
      </c>
      <c r="O108" s="8">
        <v>30</v>
      </c>
      <c r="P108" s="8">
        <v>30</v>
      </c>
      <c r="Q108" s="8">
        <v>30</v>
      </c>
      <c r="R108" s="8">
        <v>30</v>
      </c>
      <c r="S108" s="8">
        <v>30</v>
      </c>
      <c r="T108" s="8">
        <v>30</v>
      </c>
      <c r="U108" s="15">
        <v>30</v>
      </c>
      <c r="V108" s="6" t="s">
        <v>711</v>
      </c>
    </row>
    <row r="109" spans="1:22" ht="30" customHeight="1">
      <c r="A109" s="6" t="s">
        <v>697</v>
      </c>
      <c r="B109" s="6" t="s">
        <v>1005</v>
      </c>
      <c r="C109" s="6" t="s">
        <v>1006</v>
      </c>
      <c r="D109" s="6" t="s">
        <v>25</v>
      </c>
      <c r="E109" s="19" t="s">
        <v>704</v>
      </c>
      <c r="F109" s="6">
        <v>100</v>
      </c>
      <c r="G109" s="14">
        <v>1477.6923076923099</v>
      </c>
      <c r="H109" s="16">
        <v>1680</v>
      </c>
      <c r="I109" s="8">
        <v>1727</v>
      </c>
      <c r="J109" s="8">
        <v>1894</v>
      </c>
      <c r="K109" s="8">
        <v>2274</v>
      </c>
      <c r="L109" s="8">
        <v>2455</v>
      </c>
      <c r="M109" s="8">
        <v>2080</v>
      </c>
      <c r="N109" s="8">
        <v>1620</v>
      </c>
      <c r="O109" s="8">
        <v>1480</v>
      </c>
      <c r="P109" s="8">
        <v>1255</v>
      </c>
      <c r="Q109" s="8">
        <v>1176</v>
      </c>
      <c r="R109" s="8">
        <v>1329</v>
      </c>
      <c r="S109" s="8">
        <v>1440</v>
      </c>
      <c r="T109" s="8">
        <v>100</v>
      </c>
      <c r="U109" s="15">
        <v>1577.6923076923099</v>
      </c>
      <c r="V109" s="6" t="s">
        <v>1007</v>
      </c>
    </row>
    <row r="110" spans="1:22" ht="30" customHeight="1">
      <c r="A110" s="6" t="s">
        <v>697</v>
      </c>
      <c r="B110" s="6" t="s">
        <v>1008</v>
      </c>
      <c r="C110" s="6" t="s">
        <v>1009</v>
      </c>
      <c r="D110" s="6" t="s">
        <v>25</v>
      </c>
      <c r="E110" s="19" t="s">
        <v>704</v>
      </c>
      <c r="F110" s="6">
        <v>100</v>
      </c>
      <c r="G110" s="14">
        <v>566.69230769230796</v>
      </c>
      <c r="H110" s="16">
        <v>577</v>
      </c>
      <c r="I110" s="8">
        <v>759</v>
      </c>
      <c r="J110" s="8">
        <v>956</v>
      </c>
      <c r="K110" s="8">
        <v>1335</v>
      </c>
      <c r="L110" s="8">
        <v>1241</v>
      </c>
      <c r="M110" s="8">
        <v>865</v>
      </c>
      <c r="N110" s="8">
        <v>703</v>
      </c>
      <c r="O110" s="8">
        <v>487</v>
      </c>
      <c r="P110" s="8">
        <v>370</v>
      </c>
      <c r="Q110" s="8">
        <v>380</v>
      </c>
      <c r="R110" s="8">
        <v>397</v>
      </c>
      <c r="S110" s="8">
        <v>497</v>
      </c>
      <c r="T110" s="8">
        <v>100</v>
      </c>
      <c r="U110" s="15">
        <v>666.69230769230796</v>
      </c>
      <c r="V110" s="6" t="s">
        <v>1010</v>
      </c>
    </row>
    <row r="111" spans="1:22" ht="30" customHeight="1">
      <c r="A111" s="6" t="s">
        <v>697</v>
      </c>
      <c r="B111" s="6" t="s">
        <v>1011</v>
      </c>
      <c r="C111" s="6" t="s">
        <v>1012</v>
      </c>
      <c r="D111" s="6" t="s">
        <v>25</v>
      </c>
      <c r="E111" s="19" t="s">
        <v>704</v>
      </c>
      <c r="F111" s="6">
        <v>100</v>
      </c>
      <c r="G111" s="14">
        <v>1614.8461538461499</v>
      </c>
      <c r="H111" s="16">
        <v>1600</v>
      </c>
      <c r="I111" s="8">
        <v>1916</v>
      </c>
      <c r="J111" s="8">
        <v>1552</v>
      </c>
      <c r="K111" s="8">
        <v>2305</v>
      </c>
      <c r="L111" s="8">
        <v>2932</v>
      </c>
      <c r="M111" s="8">
        <v>2433</v>
      </c>
      <c r="N111" s="8">
        <v>1965</v>
      </c>
      <c r="O111" s="8">
        <v>1708</v>
      </c>
      <c r="P111" s="8">
        <v>1405</v>
      </c>
      <c r="Q111" s="8">
        <v>1275</v>
      </c>
      <c r="R111" s="8">
        <v>1537</v>
      </c>
      <c r="S111" s="8">
        <v>1565</v>
      </c>
      <c r="T111" s="8">
        <v>100</v>
      </c>
      <c r="U111" s="15">
        <v>1714.8461538461499</v>
      </c>
      <c r="V111" s="6" t="s">
        <v>985</v>
      </c>
    </row>
    <row r="112" spans="1:22" ht="30" customHeight="1">
      <c r="A112" s="6" t="s">
        <v>697</v>
      </c>
      <c r="B112" s="6" t="s">
        <v>1013</v>
      </c>
      <c r="C112" s="6" t="s">
        <v>1014</v>
      </c>
      <c r="D112" s="6" t="s">
        <v>25</v>
      </c>
      <c r="E112" s="19" t="s">
        <v>704</v>
      </c>
      <c r="F112" s="6">
        <v>100</v>
      </c>
      <c r="G112" s="14">
        <v>243.15384615384599</v>
      </c>
      <c r="H112" s="16">
        <v>306</v>
      </c>
      <c r="I112" s="8">
        <v>220</v>
      </c>
      <c r="J112" s="8">
        <v>192</v>
      </c>
      <c r="K112" s="8">
        <v>100</v>
      </c>
      <c r="L112" s="8">
        <v>153</v>
      </c>
      <c r="M112" s="8">
        <v>308</v>
      </c>
      <c r="N112" s="8">
        <v>548</v>
      </c>
      <c r="O112" s="8">
        <v>556</v>
      </c>
      <c r="P112" s="8">
        <v>645</v>
      </c>
      <c r="Q112" s="8">
        <v>612</v>
      </c>
      <c r="R112" s="8">
        <v>370</v>
      </c>
      <c r="S112" s="8">
        <v>351</v>
      </c>
      <c r="T112" s="8">
        <v>100</v>
      </c>
      <c r="U112" s="15">
        <v>343.15384615384602</v>
      </c>
      <c r="V112" s="6" t="s">
        <v>1015</v>
      </c>
    </row>
    <row r="113" spans="1:22" ht="30" customHeight="1">
      <c r="A113" s="6" t="s">
        <v>697</v>
      </c>
      <c r="B113" s="6" t="s">
        <v>1016</v>
      </c>
      <c r="C113" s="6" t="s">
        <v>1017</v>
      </c>
      <c r="D113" s="6" t="s">
        <v>25</v>
      </c>
      <c r="E113" s="19" t="s">
        <v>700</v>
      </c>
      <c r="F113" s="6">
        <v>30</v>
      </c>
      <c r="G113" s="14">
        <v>720.23076923076906</v>
      </c>
      <c r="H113" s="16">
        <v>814</v>
      </c>
      <c r="I113" s="8">
        <v>873</v>
      </c>
      <c r="J113" s="8">
        <v>914</v>
      </c>
      <c r="K113" s="8">
        <v>1067</v>
      </c>
      <c r="L113" s="8">
        <v>1038</v>
      </c>
      <c r="M113" s="8">
        <v>854</v>
      </c>
      <c r="N113" s="8">
        <v>810</v>
      </c>
      <c r="O113" s="8">
        <v>790</v>
      </c>
      <c r="P113" s="8">
        <v>622</v>
      </c>
      <c r="Q113" s="8">
        <v>568</v>
      </c>
      <c r="R113" s="8">
        <v>673</v>
      </c>
      <c r="S113" s="8">
        <v>700</v>
      </c>
      <c r="T113" s="8">
        <v>30</v>
      </c>
      <c r="U113" s="15">
        <v>750.23076923076906</v>
      </c>
      <c r="V113" s="6" t="s">
        <v>970</v>
      </c>
    </row>
    <row r="114" spans="1:22" ht="30" customHeight="1">
      <c r="A114" s="6" t="s">
        <v>697</v>
      </c>
      <c r="B114" s="6" t="s">
        <v>1018</v>
      </c>
      <c r="C114" s="6" t="s">
        <v>1019</v>
      </c>
      <c r="D114" s="6" t="s">
        <v>25</v>
      </c>
      <c r="E114" s="19" t="s">
        <v>704</v>
      </c>
      <c r="F114" s="6">
        <v>100</v>
      </c>
      <c r="G114" s="14">
        <v>593.76923076923094</v>
      </c>
      <c r="H114" s="16">
        <v>613</v>
      </c>
      <c r="I114" s="8">
        <v>804</v>
      </c>
      <c r="J114" s="8">
        <v>285</v>
      </c>
      <c r="K114" s="8">
        <v>602</v>
      </c>
      <c r="L114" s="8">
        <v>1911</v>
      </c>
      <c r="M114" s="8">
        <v>1521</v>
      </c>
      <c r="N114" s="8">
        <v>731</v>
      </c>
      <c r="O114" s="8">
        <v>579</v>
      </c>
      <c r="P114" s="8">
        <v>526</v>
      </c>
      <c r="Q114" s="8">
        <v>422</v>
      </c>
      <c r="R114" s="8">
        <v>498</v>
      </c>
      <c r="S114" s="8">
        <v>427</v>
      </c>
      <c r="T114" s="8">
        <v>100</v>
      </c>
      <c r="U114" s="15">
        <v>693.76923076923094</v>
      </c>
      <c r="V114" s="6" t="s">
        <v>1020</v>
      </c>
    </row>
    <row r="115" spans="1:22" ht="30" customHeight="1">
      <c r="A115" s="6" t="s">
        <v>697</v>
      </c>
      <c r="B115" s="6" t="s">
        <v>1021</v>
      </c>
      <c r="C115" s="6" t="s">
        <v>1022</v>
      </c>
      <c r="D115" s="6" t="s">
        <v>25</v>
      </c>
      <c r="E115" s="19" t="s">
        <v>704</v>
      </c>
      <c r="F115" s="6">
        <v>100</v>
      </c>
      <c r="G115" s="14">
        <v>750.84615384615404</v>
      </c>
      <c r="H115" s="16">
        <v>1130</v>
      </c>
      <c r="I115" s="8">
        <v>1224</v>
      </c>
      <c r="J115" s="8">
        <v>588</v>
      </c>
      <c r="K115" s="8">
        <v>512</v>
      </c>
      <c r="L115" s="8">
        <v>2850</v>
      </c>
      <c r="M115" s="8">
        <v>1951</v>
      </c>
      <c r="N115" s="8">
        <v>638</v>
      </c>
      <c r="O115" s="8">
        <v>532</v>
      </c>
      <c r="P115" s="8">
        <v>374</v>
      </c>
      <c r="Q115" s="8">
        <v>287</v>
      </c>
      <c r="R115" s="8">
        <v>409</v>
      </c>
      <c r="S115" s="8">
        <v>466</v>
      </c>
      <c r="T115" s="8">
        <v>100</v>
      </c>
      <c r="U115" s="15">
        <v>850.84615384615404</v>
      </c>
      <c r="V115" s="6" t="s">
        <v>1023</v>
      </c>
    </row>
    <row r="116" spans="1:22" ht="30" customHeight="1">
      <c r="A116" s="6" t="s">
        <v>697</v>
      </c>
      <c r="B116" s="6" t="s">
        <v>1024</v>
      </c>
      <c r="C116" s="6" t="s">
        <v>1025</v>
      </c>
      <c r="D116" s="6" t="s">
        <v>25</v>
      </c>
      <c r="E116" s="19" t="s">
        <v>704</v>
      </c>
      <c r="F116" s="6">
        <v>100</v>
      </c>
      <c r="G116" s="14">
        <v>0</v>
      </c>
      <c r="H116" s="16">
        <v>100</v>
      </c>
      <c r="I116" s="8">
        <v>100</v>
      </c>
      <c r="J116" s="8">
        <v>100</v>
      </c>
      <c r="K116" s="8">
        <v>100</v>
      </c>
      <c r="L116" s="8">
        <v>100</v>
      </c>
      <c r="M116" s="8">
        <v>100</v>
      </c>
      <c r="N116" s="8">
        <v>100</v>
      </c>
      <c r="O116" s="8">
        <v>100</v>
      </c>
      <c r="P116" s="8">
        <v>100</v>
      </c>
      <c r="Q116" s="8">
        <v>100</v>
      </c>
      <c r="R116" s="8">
        <v>100</v>
      </c>
      <c r="S116" s="8">
        <v>100</v>
      </c>
      <c r="T116" s="8">
        <v>100</v>
      </c>
      <c r="U116" s="15">
        <v>100</v>
      </c>
      <c r="V116" s="6" t="s">
        <v>1026</v>
      </c>
    </row>
    <row r="117" spans="1:22" ht="30" customHeight="1">
      <c r="A117" s="6" t="s">
        <v>697</v>
      </c>
      <c r="B117" s="6" t="s">
        <v>1027</v>
      </c>
      <c r="C117" s="6" t="s">
        <v>1028</v>
      </c>
      <c r="D117" s="6" t="s">
        <v>25</v>
      </c>
      <c r="E117" s="19" t="s">
        <v>704</v>
      </c>
      <c r="F117" s="6">
        <v>100</v>
      </c>
      <c r="G117" s="14">
        <v>1108.6923076923099</v>
      </c>
      <c r="H117" s="16">
        <v>1480</v>
      </c>
      <c r="I117" s="8">
        <v>1538</v>
      </c>
      <c r="J117" s="8">
        <v>1476</v>
      </c>
      <c r="K117" s="8">
        <v>1259</v>
      </c>
      <c r="L117" s="8">
        <v>1531</v>
      </c>
      <c r="M117" s="8">
        <v>2374</v>
      </c>
      <c r="N117" s="8">
        <v>1347</v>
      </c>
      <c r="O117" s="8">
        <v>1024</v>
      </c>
      <c r="P117" s="8">
        <v>1104</v>
      </c>
      <c r="Q117" s="8">
        <v>721</v>
      </c>
      <c r="R117" s="8">
        <v>808</v>
      </c>
      <c r="S117" s="8">
        <v>951</v>
      </c>
      <c r="T117" s="8">
        <v>100</v>
      </c>
      <c r="U117" s="15">
        <v>1208.6923076923099</v>
      </c>
      <c r="V117" s="6" t="s">
        <v>1029</v>
      </c>
    </row>
    <row r="118" spans="1:22" ht="30" customHeight="1">
      <c r="A118" s="6" t="s">
        <v>697</v>
      </c>
      <c r="B118" s="6" t="s">
        <v>1030</v>
      </c>
      <c r="C118" s="6" t="s">
        <v>1031</v>
      </c>
      <c r="D118" s="6" t="s">
        <v>25</v>
      </c>
      <c r="E118" s="19" t="s">
        <v>704</v>
      </c>
      <c r="F118" s="6">
        <v>100</v>
      </c>
      <c r="G118" s="14">
        <v>924.84615384615404</v>
      </c>
      <c r="H118" s="16">
        <v>1320</v>
      </c>
      <c r="I118" s="8">
        <v>1387</v>
      </c>
      <c r="J118" s="8">
        <v>293</v>
      </c>
      <c r="K118" s="8">
        <v>1311</v>
      </c>
      <c r="L118" s="8">
        <v>2469</v>
      </c>
      <c r="M118" s="8">
        <v>1864</v>
      </c>
      <c r="N118" s="8">
        <v>885</v>
      </c>
      <c r="O118" s="8">
        <v>744</v>
      </c>
      <c r="P118" s="8">
        <v>840</v>
      </c>
      <c r="Q118" s="8">
        <v>591</v>
      </c>
      <c r="R118" s="8">
        <v>791</v>
      </c>
      <c r="S118" s="8">
        <v>728</v>
      </c>
      <c r="T118" s="8">
        <v>100</v>
      </c>
      <c r="U118" s="15">
        <v>1024.8461538461499</v>
      </c>
      <c r="V118" s="6" t="s">
        <v>1032</v>
      </c>
    </row>
    <row r="119" spans="1:22" ht="30" customHeight="1">
      <c r="A119" s="6" t="s">
        <v>697</v>
      </c>
      <c r="B119" s="6" t="s">
        <v>1033</v>
      </c>
      <c r="C119" s="6" t="s">
        <v>1034</v>
      </c>
      <c r="D119" s="6" t="s">
        <v>25</v>
      </c>
      <c r="E119" s="19" t="s">
        <v>704</v>
      </c>
      <c r="F119" s="6">
        <v>100</v>
      </c>
      <c r="G119" s="14">
        <v>491.15384615384602</v>
      </c>
      <c r="H119" s="16">
        <v>884</v>
      </c>
      <c r="I119" s="8">
        <v>740</v>
      </c>
      <c r="J119" s="8">
        <v>217</v>
      </c>
      <c r="K119" s="8">
        <v>512</v>
      </c>
      <c r="L119" s="8">
        <v>1477</v>
      </c>
      <c r="M119" s="8">
        <v>1026</v>
      </c>
      <c r="N119" s="8">
        <v>794</v>
      </c>
      <c r="O119" s="8">
        <v>259</v>
      </c>
      <c r="P119" s="8">
        <v>470</v>
      </c>
      <c r="Q119" s="8">
        <v>291</v>
      </c>
      <c r="R119" s="8">
        <v>428</v>
      </c>
      <c r="S119" s="8">
        <v>487</v>
      </c>
      <c r="T119" s="8">
        <v>100</v>
      </c>
      <c r="U119" s="15">
        <v>591.15384615384596</v>
      </c>
      <c r="V119" s="6" t="s">
        <v>1035</v>
      </c>
    </row>
    <row r="120" spans="1:22" ht="30" customHeight="1">
      <c r="A120" s="6" t="s">
        <v>697</v>
      </c>
      <c r="B120" s="6" t="s">
        <v>1036</v>
      </c>
      <c r="C120" s="6" t="s">
        <v>1037</v>
      </c>
      <c r="D120" s="6" t="s">
        <v>25</v>
      </c>
      <c r="E120" s="19" t="s">
        <v>704</v>
      </c>
      <c r="F120" s="6">
        <v>100</v>
      </c>
      <c r="G120" s="14">
        <v>1511.23076923077</v>
      </c>
      <c r="H120" s="16">
        <v>1656</v>
      </c>
      <c r="I120" s="8">
        <v>1782</v>
      </c>
      <c r="J120" s="8">
        <v>1769</v>
      </c>
      <c r="K120" s="8">
        <v>3095</v>
      </c>
      <c r="L120" s="8">
        <v>2974</v>
      </c>
      <c r="M120" s="8">
        <v>2325</v>
      </c>
      <c r="N120" s="8">
        <v>1546</v>
      </c>
      <c r="O120" s="8">
        <v>1139</v>
      </c>
      <c r="P120" s="8">
        <v>1086</v>
      </c>
      <c r="Q120" s="8">
        <v>925</v>
      </c>
      <c r="R120" s="8">
        <v>1075</v>
      </c>
      <c r="S120" s="8">
        <v>1474</v>
      </c>
      <c r="T120" s="8">
        <v>100</v>
      </c>
      <c r="U120" s="15">
        <v>1611.23076923077</v>
      </c>
      <c r="V120" s="6" t="s">
        <v>1038</v>
      </c>
    </row>
    <row r="121" spans="1:22" ht="30" customHeight="1">
      <c r="A121" s="6" t="s">
        <v>697</v>
      </c>
      <c r="B121" s="6" t="s">
        <v>1039</v>
      </c>
      <c r="C121" s="6" t="s">
        <v>1040</v>
      </c>
      <c r="D121" s="6" t="s">
        <v>25</v>
      </c>
      <c r="E121" s="19" t="s">
        <v>704</v>
      </c>
      <c r="F121" s="6">
        <v>100</v>
      </c>
      <c r="G121" s="14">
        <v>685.38461538461502</v>
      </c>
      <c r="H121" s="16">
        <v>1022</v>
      </c>
      <c r="I121" s="8">
        <v>946</v>
      </c>
      <c r="J121" s="8">
        <v>729</v>
      </c>
      <c r="K121" s="8">
        <v>972</v>
      </c>
      <c r="L121" s="8">
        <v>1254</v>
      </c>
      <c r="M121" s="8">
        <v>1346</v>
      </c>
      <c r="N121" s="8">
        <v>767</v>
      </c>
      <c r="O121" s="8">
        <v>565</v>
      </c>
      <c r="P121" s="8">
        <v>566</v>
      </c>
      <c r="Q121" s="8">
        <v>499</v>
      </c>
      <c r="R121" s="8">
        <v>686</v>
      </c>
      <c r="S121" s="8">
        <v>758</v>
      </c>
      <c r="T121" s="8">
        <v>100</v>
      </c>
      <c r="U121" s="15">
        <v>785.38461538461502</v>
      </c>
      <c r="V121" s="6" t="s">
        <v>1041</v>
      </c>
    </row>
    <row r="122" spans="1:22" ht="30" customHeight="1">
      <c r="A122" s="6" t="s">
        <v>697</v>
      </c>
      <c r="B122" s="6" t="s">
        <v>1042</v>
      </c>
      <c r="C122" s="6" t="s">
        <v>1043</v>
      </c>
      <c r="D122" s="6" t="s">
        <v>25</v>
      </c>
      <c r="E122" s="19" t="s">
        <v>704</v>
      </c>
      <c r="F122" s="6">
        <v>100</v>
      </c>
      <c r="G122" s="14">
        <v>2832.4615384615399</v>
      </c>
      <c r="H122" s="16">
        <v>1449</v>
      </c>
      <c r="I122" s="8">
        <v>2885</v>
      </c>
      <c r="J122" s="8">
        <v>2779</v>
      </c>
      <c r="K122" s="8">
        <v>3524</v>
      </c>
      <c r="L122" s="8">
        <v>3720</v>
      </c>
      <c r="M122" s="8">
        <v>3459</v>
      </c>
      <c r="N122" s="8">
        <v>3311</v>
      </c>
      <c r="O122" s="8">
        <v>3911</v>
      </c>
      <c r="P122" s="8">
        <v>3211</v>
      </c>
      <c r="Q122" s="8">
        <v>3114</v>
      </c>
      <c r="R122" s="8">
        <v>3413</v>
      </c>
      <c r="S122" s="8">
        <v>3246</v>
      </c>
      <c r="T122" s="8">
        <v>100</v>
      </c>
      <c r="U122" s="15">
        <v>2932.4615384615399</v>
      </c>
      <c r="V122" s="6" t="s">
        <v>1044</v>
      </c>
    </row>
    <row r="123" spans="1:22" ht="30" customHeight="1">
      <c r="A123" s="6" t="s">
        <v>697</v>
      </c>
      <c r="B123" s="6" t="s">
        <v>1045</v>
      </c>
      <c r="C123" s="6" t="s">
        <v>1046</v>
      </c>
      <c r="D123" s="6" t="s">
        <v>25</v>
      </c>
      <c r="E123" s="19" t="s">
        <v>704</v>
      </c>
      <c r="F123" s="6">
        <v>100</v>
      </c>
      <c r="G123" s="14">
        <v>645.61538461538498</v>
      </c>
      <c r="H123" s="16">
        <v>1088</v>
      </c>
      <c r="I123" s="8">
        <v>1023</v>
      </c>
      <c r="J123" s="8">
        <v>314</v>
      </c>
      <c r="K123" s="8">
        <v>894</v>
      </c>
      <c r="L123" s="8">
        <v>1602</v>
      </c>
      <c r="M123" s="8">
        <v>1061</v>
      </c>
      <c r="N123" s="8">
        <v>721</v>
      </c>
      <c r="O123" s="8">
        <v>516</v>
      </c>
      <c r="P123" s="8">
        <v>490</v>
      </c>
      <c r="Q123" s="8">
        <v>383</v>
      </c>
      <c r="R123" s="8">
        <v>577</v>
      </c>
      <c r="S123" s="8">
        <v>924</v>
      </c>
      <c r="T123" s="8">
        <v>100</v>
      </c>
      <c r="U123" s="15">
        <v>745.61538461538498</v>
      </c>
      <c r="V123" s="6" t="s">
        <v>1047</v>
      </c>
    </row>
    <row r="124" spans="1:22" ht="30" customHeight="1">
      <c r="A124" s="6" t="s">
        <v>697</v>
      </c>
      <c r="B124" s="6" t="s">
        <v>1048</v>
      </c>
      <c r="C124" s="6" t="s">
        <v>1049</v>
      </c>
      <c r="D124" s="6" t="s">
        <v>25</v>
      </c>
      <c r="E124" s="19" t="s">
        <v>704</v>
      </c>
      <c r="F124" s="6">
        <v>100</v>
      </c>
      <c r="G124" s="14">
        <v>1436.38461538462</v>
      </c>
      <c r="H124" s="16">
        <v>1614</v>
      </c>
      <c r="I124" s="8">
        <v>940</v>
      </c>
      <c r="J124" s="8">
        <v>909</v>
      </c>
      <c r="K124" s="8">
        <v>865</v>
      </c>
      <c r="L124" s="8">
        <v>6226</v>
      </c>
      <c r="M124" s="8">
        <v>2249</v>
      </c>
      <c r="N124" s="8">
        <v>1518</v>
      </c>
      <c r="O124" s="8">
        <v>1216</v>
      </c>
      <c r="P124" s="8">
        <v>1194</v>
      </c>
      <c r="Q124" s="8">
        <v>1056</v>
      </c>
      <c r="R124" s="8">
        <v>1057</v>
      </c>
      <c r="S124" s="8">
        <v>1029</v>
      </c>
      <c r="T124" s="8">
        <v>100</v>
      </c>
      <c r="U124" s="15">
        <v>1536.38461538462</v>
      </c>
      <c r="V124" s="6" t="s">
        <v>1050</v>
      </c>
    </row>
    <row r="125" spans="1:22" ht="30" customHeight="1">
      <c r="A125" s="6" t="s">
        <v>697</v>
      </c>
      <c r="B125" s="6" t="s">
        <v>1051</v>
      </c>
      <c r="C125" s="6" t="s">
        <v>1052</v>
      </c>
      <c r="D125" s="6" t="s">
        <v>25</v>
      </c>
      <c r="E125" s="19" t="s">
        <v>700</v>
      </c>
      <c r="F125" s="6">
        <v>30</v>
      </c>
      <c r="G125" s="14">
        <v>287.30769230769198</v>
      </c>
      <c r="H125" s="16">
        <v>276</v>
      </c>
      <c r="I125" s="8">
        <v>447</v>
      </c>
      <c r="J125" s="8">
        <v>402</v>
      </c>
      <c r="K125" s="8">
        <v>447</v>
      </c>
      <c r="L125" s="8">
        <v>556</v>
      </c>
      <c r="M125" s="8">
        <v>471</v>
      </c>
      <c r="N125" s="8">
        <v>310</v>
      </c>
      <c r="O125" s="8">
        <v>277</v>
      </c>
      <c r="P125" s="8">
        <v>240</v>
      </c>
      <c r="Q125" s="8">
        <v>212</v>
      </c>
      <c r="R125" s="8">
        <v>218</v>
      </c>
      <c r="S125" s="8">
        <v>239</v>
      </c>
      <c r="T125" s="8">
        <v>30</v>
      </c>
      <c r="U125" s="15">
        <v>317.30769230769198</v>
      </c>
      <c r="V125" s="6" t="s">
        <v>1053</v>
      </c>
    </row>
    <row r="126" spans="1:22" ht="30" customHeight="1">
      <c r="A126" s="6" t="s">
        <v>697</v>
      </c>
      <c r="B126" s="6" t="s">
        <v>1054</v>
      </c>
      <c r="C126" s="6" t="s">
        <v>1055</v>
      </c>
      <c r="D126" s="6" t="s">
        <v>25</v>
      </c>
      <c r="E126" s="19" t="s">
        <v>700</v>
      </c>
      <c r="F126" s="6">
        <v>30</v>
      </c>
      <c r="G126" s="14">
        <v>166.61538461538501</v>
      </c>
      <c r="H126" s="16">
        <v>158</v>
      </c>
      <c r="I126" s="8">
        <v>292</v>
      </c>
      <c r="J126" s="8">
        <v>210</v>
      </c>
      <c r="K126" s="8">
        <v>223</v>
      </c>
      <c r="L126" s="8">
        <v>433</v>
      </c>
      <c r="M126" s="8">
        <v>330</v>
      </c>
      <c r="N126" s="8">
        <v>175</v>
      </c>
      <c r="O126" s="8">
        <v>154</v>
      </c>
      <c r="P126" s="8">
        <v>142</v>
      </c>
      <c r="Q126" s="8">
        <v>139</v>
      </c>
      <c r="R126" s="8">
        <v>135</v>
      </c>
      <c r="S126" s="8">
        <v>135</v>
      </c>
      <c r="T126" s="8">
        <v>30</v>
      </c>
      <c r="U126" s="15">
        <v>196.61538461538501</v>
      </c>
      <c r="V126" s="6" t="s">
        <v>1056</v>
      </c>
    </row>
    <row r="127" spans="1:22" ht="30" customHeight="1">
      <c r="A127" s="6" t="s">
        <v>697</v>
      </c>
      <c r="B127" s="6" t="s">
        <v>1057</v>
      </c>
      <c r="C127" s="6" t="s">
        <v>1058</v>
      </c>
      <c r="D127" s="6" t="s">
        <v>25</v>
      </c>
      <c r="E127" s="19" t="s">
        <v>704</v>
      </c>
      <c r="F127" s="6">
        <v>100</v>
      </c>
      <c r="G127" s="14">
        <v>956.15384615384596</v>
      </c>
      <c r="H127" s="16">
        <v>1964</v>
      </c>
      <c r="I127" s="8">
        <v>2034</v>
      </c>
      <c r="J127" s="8">
        <v>1162</v>
      </c>
      <c r="K127" s="8">
        <v>1132</v>
      </c>
      <c r="L127" s="8">
        <v>1480</v>
      </c>
      <c r="M127" s="8">
        <v>1100</v>
      </c>
      <c r="N127" s="8">
        <v>878</v>
      </c>
      <c r="O127" s="8">
        <v>735</v>
      </c>
      <c r="P127" s="8">
        <v>862</v>
      </c>
      <c r="Q127" s="8">
        <v>790</v>
      </c>
      <c r="R127" s="8">
        <v>777</v>
      </c>
      <c r="S127" s="8">
        <v>716</v>
      </c>
      <c r="T127" s="8">
        <v>100</v>
      </c>
      <c r="U127" s="15">
        <v>1056.1538461538501</v>
      </c>
      <c r="V127" s="6" t="s">
        <v>1059</v>
      </c>
    </row>
    <row r="128" spans="1:22" ht="30" customHeight="1">
      <c r="A128" s="6" t="s">
        <v>697</v>
      </c>
      <c r="B128" s="6" t="s">
        <v>1060</v>
      </c>
      <c r="C128" s="6" t="s">
        <v>1061</v>
      </c>
      <c r="D128" s="6" t="s">
        <v>25</v>
      </c>
      <c r="E128" s="19" t="s">
        <v>704</v>
      </c>
      <c r="F128" s="6">
        <v>100</v>
      </c>
      <c r="G128" s="14">
        <v>1116.45384615385</v>
      </c>
      <c r="H128" s="16">
        <v>1329</v>
      </c>
      <c r="I128" s="8">
        <v>100</v>
      </c>
      <c r="J128" s="8">
        <v>3022</v>
      </c>
      <c r="K128" s="8">
        <v>100</v>
      </c>
      <c r="L128" s="8">
        <v>1959.9</v>
      </c>
      <c r="M128" s="8">
        <v>4246</v>
      </c>
      <c r="N128" s="8">
        <v>1090</v>
      </c>
      <c r="O128" s="8">
        <v>939</v>
      </c>
      <c r="P128" s="8">
        <v>859</v>
      </c>
      <c r="Q128" s="8">
        <v>715</v>
      </c>
      <c r="R128" s="8">
        <v>685</v>
      </c>
      <c r="S128" s="8">
        <v>669</v>
      </c>
      <c r="T128" s="8">
        <v>100</v>
      </c>
      <c r="U128" s="15">
        <v>1216.45384615385</v>
      </c>
      <c r="V128" s="6" t="s">
        <v>1062</v>
      </c>
    </row>
    <row r="129" spans="1:22" ht="30" customHeight="1">
      <c r="A129" s="6" t="s">
        <v>697</v>
      </c>
      <c r="B129" s="6" t="s">
        <v>1063</v>
      </c>
      <c r="C129" s="6" t="s">
        <v>1064</v>
      </c>
      <c r="D129" s="6" t="s">
        <v>25</v>
      </c>
      <c r="E129" s="19" t="s">
        <v>704</v>
      </c>
      <c r="F129" s="6">
        <v>100</v>
      </c>
      <c r="G129" s="14">
        <v>984.15384615384596</v>
      </c>
      <c r="H129" s="16">
        <v>1379</v>
      </c>
      <c r="I129" s="8">
        <v>1283</v>
      </c>
      <c r="J129" s="8">
        <v>405</v>
      </c>
      <c r="K129" s="8">
        <v>1514</v>
      </c>
      <c r="L129" s="8">
        <v>2864</v>
      </c>
      <c r="M129" s="8">
        <v>1924</v>
      </c>
      <c r="N129" s="8">
        <v>1010</v>
      </c>
      <c r="O129" s="8">
        <v>328</v>
      </c>
      <c r="P129" s="8">
        <v>1115</v>
      </c>
      <c r="Q129" s="8">
        <v>535</v>
      </c>
      <c r="R129" s="8">
        <v>652</v>
      </c>
      <c r="S129" s="8">
        <v>985</v>
      </c>
      <c r="T129" s="8">
        <v>100</v>
      </c>
      <c r="U129" s="15">
        <v>1084.1538461538501</v>
      </c>
      <c r="V129" s="6" t="s">
        <v>1065</v>
      </c>
    </row>
    <row r="130" spans="1:22" ht="30" customHeight="1">
      <c r="A130" s="6" t="s">
        <v>697</v>
      </c>
      <c r="B130" s="6" t="s">
        <v>1066</v>
      </c>
      <c r="C130" s="6" t="s">
        <v>1067</v>
      </c>
      <c r="D130" s="6" t="s">
        <v>25</v>
      </c>
      <c r="E130" s="19" t="s">
        <v>700</v>
      </c>
      <c r="F130" s="6">
        <v>30</v>
      </c>
      <c r="G130" s="14">
        <v>16</v>
      </c>
      <c r="H130" s="16">
        <v>45</v>
      </c>
      <c r="I130" s="8">
        <v>30</v>
      </c>
      <c r="J130" s="8">
        <v>32</v>
      </c>
      <c r="K130" s="8">
        <v>52</v>
      </c>
      <c r="L130" s="8">
        <v>68</v>
      </c>
      <c r="M130" s="8">
        <v>60</v>
      </c>
      <c r="N130" s="8">
        <v>69</v>
      </c>
      <c r="O130" s="8">
        <v>45</v>
      </c>
      <c r="P130" s="8">
        <v>50</v>
      </c>
      <c r="Q130" s="8">
        <v>42</v>
      </c>
      <c r="R130" s="8">
        <v>30</v>
      </c>
      <c r="S130" s="8">
        <v>45</v>
      </c>
      <c r="T130" s="8">
        <v>30</v>
      </c>
      <c r="U130" s="15">
        <v>46</v>
      </c>
      <c r="V130" s="6" t="s">
        <v>1068</v>
      </c>
    </row>
    <row r="131" spans="1:22" ht="30" customHeight="1">
      <c r="A131" s="6" t="s">
        <v>697</v>
      </c>
      <c r="B131" s="6" t="s">
        <v>1069</v>
      </c>
      <c r="C131" s="6" t="s">
        <v>1070</v>
      </c>
      <c r="D131" s="6" t="s">
        <v>25</v>
      </c>
      <c r="E131" s="19" t="s">
        <v>700</v>
      </c>
      <c r="F131" s="6">
        <v>30</v>
      </c>
      <c r="G131" s="14">
        <v>0</v>
      </c>
      <c r="H131" s="16">
        <v>30</v>
      </c>
      <c r="I131" s="8">
        <v>30</v>
      </c>
      <c r="J131" s="8">
        <v>30</v>
      </c>
      <c r="K131" s="8">
        <v>30</v>
      </c>
      <c r="L131" s="8">
        <v>30</v>
      </c>
      <c r="M131" s="8">
        <v>30</v>
      </c>
      <c r="N131" s="8">
        <v>30</v>
      </c>
      <c r="O131" s="8">
        <v>30</v>
      </c>
      <c r="P131" s="8">
        <v>30</v>
      </c>
      <c r="Q131" s="8">
        <v>30</v>
      </c>
      <c r="R131" s="8">
        <v>30</v>
      </c>
      <c r="S131" s="8">
        <v>30</v>
      </c>
      <c r="T131" s="8">
        <v>30</v>
      </c>
      <c r="U131" s="15">
        <v>30</v>
      </c>
      <c r="V131" s="6" t="s">
        <v>1056</v>
      </c>
    </row>
    <row r="132" spans="1:22" ht="30" customHeight="1">
      <c r="A132" s="6" t="s">
        <v>697</v>
      </c>
      <c r="B132" s="6" t="s">
        <v>1071</v>
      </c>
      <c r="C132" s="6" t="s">
        <v>1072</v>
      </c>
      <c r="D132" s="6" t="s">
        <v>25</v>
      </c>
      <c r="E132" s="19" t="s">
        <v>704</v>
      </c>
      <c r="F132" s="6">
        <v>100</v>
      </c>
      <c r="G132" s="14">
        <v>20.923076923076898</v>
      </c>
      <c r="H132" s="16">
        <v>100</v>
      </c>
      <c r="I132" s="8">
        <v>100</v>
      </c>
      <c r="J132" s="8">
        <v>100</v>
      </c>
      <c r="K132" s="8">
        <v>272</v>
      </c>
      <c r="L132" s="8">
        <v>100</v>
      </c>
      <c r="M132" s="8">
        <v>100</v>
      </c>
      <c r="N132" s="8">
        <v>100</v>
      </c>
      <c r="O132" s="8">
        <v>100</v>
      </c>
      <c r="P132" s="8">
        <v>100</v>
      </c>
      <c r="Q132" s="8">
        <v>100</v>
      </c>
      <c r="R132" s="8">
        <v>200</v>
      </c>
      <c r="S132" s="8">
        <v>100</v>
      </c>
      <c r="T132" s="8">
        <v>100</v>
      </c>
      <c r="U132" s="15">
        <v>120.92307692307701</v>
      </c>
      <c r="V132" s="6" t="s">
        <v>1073</v>
      </c>
    </row>
    <row r="133" spans="1:22" ht="30" customHeight="1">
      <c r="A133" s="6" t="s">
        <v>697</v>
      </c>
      <c r="B133" s="6" t="s">
        <v>1074</v>
      </c>
      <c r="C133" s="6" t="s">
        <v>1075</v>
      </c>
      <c r="D133" s="6" t="s">
        <v>25</v>
      </c>
      <c r="E133" s="19" t="s">
        <v>700</v>
      </c>
      <c r="F133" s="6">
        <v>30</v>
      </c>
      <c r="G133" s="14">
        <v>26.615384615384599</v>
      </c>
      <c r="H133" s="16">
        <v>70</v>
      </c>
      <c r="I133" s="8">
        <v>65</v>
      </c>
      <c r="J133" s="8">
        <v>69</v>
      </c>
      <c r="K133" s="8">
        <v>69</v>
      </c>
      <c r="L133" s="8">
        <v>58</v>
      </c>
      <c r="M133" s="8">
        <v>56</v>
      </c>
      <c r="N133" s="8">
        <v>43</v>
      </c>
      <c r="O133" s="8">
        <v>34</v>
      </c>
      <c r="P133" s="8">
        <v>61</v>
      </c>
      <c r="Q133" s="8">
        <v>61</v>
      </c>
      <c r="R133" s="8">
        <v>60</v>
      </c>
      <c r="S133" s="8">
        <v>60</v>
      </c>
      <c r="T133" s="8">
        <v>30</v>
      </c>
      <c r="U133" s="15">
        <v>56.615384615384599</v>
      </c>
      <c r="V133" s="6" t="s">
        <v>701</v>
      </c>
    </row>
    <row r="134" spans="1:22" ht="30" customHeight="1">
      <c r="A134" s="6" t="s">
        <v>697</v>
      </c>
      <c r="B134" s="6" t="s">
        <v>1076</v>
      </c>
      <c r="C134" s="6" t="s">
        <v>1077</v>
      </c>
      <c r="D134" s="6" t="s">
        <v>25</v>
      </c>
      <c r="E134" s="19" t="s">
        <v>704</v>
      </c>
      <c r="F134" s="6">
        <v>100</v>
      </c>
      <c r="G134" s="14">
        <v>0</v>
      </c>
      <c r="H134" s="16">
        <v>100</v>
      </c>
      <c r="I134" s="8">
        <v>100</v>
      </c>
      <c r="J134" s="8">
        <v>100</v>
      </c>
      <c r="K134" s="8">
        <v>100</v>
      </c>
      <c r="L134" s="8">
        <v>100</v>
      </c>
      <c r="M134" s="8">
        <v>100</v>
      </c>
      <c r="N134" s="8">
        <v>100</v>
      </c>
      <c r="O134" s="8">
        <v>100</v>
      </c>
      <c r="P134" s="8">
        <v>100</v>
      </c>
      <c r="Q134" s="8">
        <v>100</v>
      </c>
      <c r="R134" s="8">
        <v>100</v>
      </c>
      <c r="S134" s="8">
        <v>100</v>
      </c>
      <c r="T134" s="8">
        <v>100</v>
      </c>
      <c r="U134" s="15">
        <v>100</v>
      </c>
      <c r="V134" s="6" t="s">
        <v>1078</v>
      </c>
    </row>
    <row r="135" spans="1:22" ht="30" customHeight="1">
      <c r="A135" s="6" t="s">
        <v>697</v>
      </c>
      <c r="B135" s="6" t="s">
        <v>1079</v>
      </c>
      <c r="C135" s="6" t="s">
        <v>1080</v>
      </c>
      <c r="D135" s="6" t="s">
        <v>25</v>
      </c>
      <c r="E135" s="19" t="s">
        <v>704</v>
      </c>
      <c r="F135" s="6">
        <v>100</v>
      </c>
      <c r="G135" s="14">
        <v>0</v>
      </c>
      <c r="H135" s="16">
        <v>100</v>
      </c>
      <c r="I135" s="8">
        <v>100</v>
      </c>
      <c r="J135" s="8">
        <v>100</v>
      </c>
      <c r="K135" s="8">
        <v>100</v>
      </c>
      <c r="L135" s="8">
        <v>100</v>
      </c>
      <c r="M135" s="8">
        <v>100</v>
      </c>
      <c r="N135" s="8">
        <v>100</v>
      </c>
      <c r="O135" s="8">
        <v>100</v>
      </c>
      <c r="P135" s="8">
        <v>100</v>
      </c>
      <c r="Q135" s="8">
        <v>100</v>
      </c>
      <c r="R135" s="8">
        <v>100</v>
      </c>
      <c r="S135" s="8">
        <v>100</v>
      </c>
      <c r="T135" s="8">
        <v>100</v>
      </c>
      <c r="U135" s="15">
        <v>100</v>
      </c>
      <c r="V135" s="6" t="s">
        <v>1081</v>
      </c>
    </row>
    <row r="136" spans="1:22" ht="30" customHeight="1">
      <c r="A136" s="6" t="s">
        <v>697</v>
      </c>
      <c r="B136" s="6" t="s">
        <v>1082</v>
      </c>
      <c r="C136" s="6" t="s">
        <v>1083</v>
      </c>
      <c r="D136" s="6" t="s">
        <v>25</v>
      </c>
      <c r="E136" s="19" t="s">
        <v>704</v>
      </c>
      <c r="F136" s="6">
        <v>100</v>
      </c>
      <c r="G136" s="14">
        <v>217.07692307692301</v>
      </c>
      <c r="H136" s="16">
        <v>426</v>
      </c>
      <c r="I136" s="8">
        <v>100</v>
      </c>
      <c r="J136" s="8">
        <v>1023</v>
      </c>
      <c r="K136" s="8">
        <v>562</v>
      </c>
      <c r="L136" s="8">
        <v>725</v>
      </c>
      <c r="M136" s="8">
        <v>512</v>
      </c>
      <c r="N136" s="8">
        <v>170</v>
      </c>
      <c r="O136" s="8">
        <v>104</v>
      </c>
      <c r="P136" s="8">
        <v>100</v>
      </c>
      <c r="Q136" s="8">
        <v>100</v>
      </c>
      <c r="R136" s="8">
        <v>100</v>
      </c>
      <c r="S136" s="8">
        <v>100</v>
      </c>
      <c r="T136" s="8">
        <v>100</v>
      </c>
      <c r="U136" s="15">
        <v>317.07692307692298</v>
      </c>
      <c r="V136" s="6" t="s">
        <v>778</v>
      </c>
    </row>
    <row r="137" spans="1:22" ht="30" customHeight="1">
      <c r="A137" s="6" t="s">
        <v>697</v>
      </c>
      <c r="B137" s="6" t="s">
        <v>1084</v>
      </c>
      <c r="C137" s="6" t="s">
        <v>1085</v>
      </c>
      <c r="D137" s="6" t="s">
        <v>25</v>
      </c>
      <c r="E137" s="19" t="s">
        <v>704</v>
      </c>
      <c r="F137" s="6">
        <v>100</v>
      </c>
      <c r="G137" s="14">
        <v>1590.76923076923</v>
      </c>
      <c r="H137" s="16">
        <v>1672</v>
      </c>
      <c r="I137" s="8">
        <v>1835</v>
      </c>
      <c r="J137" s="8">
        <v>1694</v>
      </c>
      <c r="K137" s="8">
        <v>3052</v>
      </c>
      <c r="L137" s="8">
        <v>2748</v>
      </c>
      <c r="M137" s="8">
        <v>2076</v>
      </c>
      <c r="N137" s="8">
        <v>1407</v>
      </c>
      <c r="O137" s="8">
        <v>1301</v>
      </c>
      <c r="P137" s="8">
        <v>2098</v>
      </c>
      <c r="Q137" s="8">
        <v>1669</v>
      </c>
      <c r="R137" s="8">
        <v>1281</v>
      </c>
      <c r="S137" s="8">
        <v>1047</v>
      </c>
      <c r="T137" s="8">
        <v>100</v>
      </c>
      <c r="U137" s="15">
        <v>1690.76923076923</v>
      </c>
      <c r="V137" s="6" t="s">
        <v>1086</v>
      </c>
    </row>
    <row r="138" spans="1:22" ht="30" customHeight="1">
      <c r="A138" s="6" t="s">
        <v>697</v>
      </c>
      <c r="B138" s="6" t="s">
        <v>1087</v>
      </c>
      <c r="C138" s="6" t="s">
        <v>1088</v>
      </c>
      <c r="D138" s="6" t="s">
        <v>25</v>
      </c>
      <c r="E138" s="19" t="s">
        <v>700</v>
      </c>
      <c r="F138" s="6">
        <v>30</v>
      </c>
      <c r="G138" s="14">
        <v>515.30769230769204</v>
      </c>
      <c r="H138" s="16">
        <v>541</v>
      </c>
      <c r="I138" s="8">
        <v>761</v>
      </c>
      <c r="J138" s="8">
        <v>680</v>
      </c>
      <c r="K138" s="8">
        <v>1184</v>
      </c>
      <c r="L138" s="8">
        <v>923</v>
      </c>
      <c r="M138" s="8">
        <v>708</v>
      </c>
      <c r="N138" s="8">
        <v>475</v>
      </c>
      <c r="O138" s="8">
        <v>360</v>
      </c>
      <c r="P138" s="8">
        <v>390</v>
      </c>
      <c r="Q138" s="8">
        <v>321</v>
      </c>
      <c r="R138" s="8">
        <v>322</v>
      </c>
      <c r="S138" s="8">
        <v>394</v>
      </c>
      <c r="T138" s="8">
        <v>30</v>
      </c>
      <c r="U138" s="15">
        <v>545.30769230769204</v>
      </c>
      <c r="V138" s="6" t="s">
        <v>1089</v>
      </c>
    </row>
    <row r="139" spans="1:22" ht="30" customHeight="1">
      <c r="A139" s="6" t="s">
        <v>697</v>
      </c>
      <c r="B139" s="6" t="s">
        <v>1090</v>
      </c>
      <c r="C139" s="6" t="s">
        <v>1091</v>
      </c>
      <c r="D139" s="6" t="s">
        <v>25</v>
      </c>
      <c r="E139" s="19" t="s">
        <v>700</v>
      </c>
      <c r="F139" s="6">
        <v>30</v>
      </c>
      <c r="G139" s="14">
        <v>545</v>
      </c>
      <c r="H139" s="16">
        <v>530</v>
      </c>
      <c r="I139" s="8">
        <v>542</v>
      </c>
      <c r="J139" s="8">
        <v>580</v>
      </c>
      <c r="K139" s="8">
        <v>547</v>
      </c>
      <c r="L139" s="8">
        <v>607</v>
      </c>
      <c r="M139" s="8">
        <v>543</v>
      </c>
      <c r="N139" s="8">
        <v>748</v>
      </c>
      <c r="O139" s="8">
        <v>648</v>
      </c>
      <c r="P139" s="8">
        <v>778</v>
      </c>
      <c r="Q139" s="8">
        <v>613</v>
      </c>
      <c r="R139" s="8">
        <v>718</v>
      </c>
      <c r="S139" s="8">
        <v>591</v>
      </c>
      <c r="T139" s="8">
        <v>30</v>
      </c>
      <c r="U139" s="15">
        <v>575</v>
      </c>
      <c r="V139" s="6" t="s">
        <v>1092</v>
      </c>
    </row>
    <row r="140" spans="1:22" ht="30" customHeight="1">
      <c r="A140" s="6" t="s">
        <v>697</v>
      </c>
      <c r="B140" s="6" t="s">
        <v>1093</v>
      </c>
      <c r="C140" s="6" t="s">
        <v>1094</v>
      </c>
      <c r="D140" s="6" t="s">
        <v>25</v>
      </c>
      <c r="E140" s="19" t="s">
        <v>704</v>
      </c>
      <c r="F140" s="6">
        <v>100</v>
      </c>
      <c r="G140" s="14">
        <v>1066.23076923077</v>
      </c>
      <c r="H140" s="16">
        <v>1601</v>
      </c>
      <c r="I140" s="8">
        <v>1648</v>
      </c>
      <c r="J140" s="8">
        <v>881</v>
      </c>
      <c r="K140" s="8">
        <v>1604</v>
      </c>
      <c r="L140" s="8">
        <v>3055</v>
      </c>
      <c r="M140" s="8">
        <v>2116</v>
      </c>
      <c r="N140" s="8">
        <v>1037</v>
      </c>
      <c r="O140" s="8">
        <v>671</v>
      </c>
      <c r="P140" s="8">
        <v>664</v>
      </c>
      <c r="Q140" s="8">
        <v>500</v>
      </c>
      <c r="R140" s="8">
        <v>628</v>
      </c>
      <c r="S140" s="8">
        <v>656</v>
      </c>
      <c r="T140" s="8">
        <v>100</v>
      </c>
      <c r="U140" s="15">
        <v>1166.23076923077</v>
      </c>
      <c r="V140" s="6" t="s">
        <v>1095</v>
      </c>
    </row>
    <row r="141" spans="1:22" ht="30" customHeight="1">
      <c r="A141" s="6" t="s">
        <v>697</v>
      </c>
      <c r="B141" s="6" t="s">
        <v>1096</v>
      </c>
      <c r="C141" s="6" t="s">
        <v>1097</v>
      </c>
      <c r="D141" s="6" t="s">
        <v>25</v>
      </c>
      <c r="E141" s="19" t="s">
        <v>704</v>
      </c>
      <c r="F141" s="6">
        <v>100</v>
      </c>
      <c r="G141" s="14">
        <v>0</v>
      </c>
      <c r="H141" s="16">
        <v>100</v>
      </c>
      <c r="I141" s="8">
        <v>100</v>
      </c>
      <c r="J141" s="8">
        <v>100</v>
      </c>
      <c r="K141" s="8">
        <v>100</v>
      </c>
      <c r="L141" s="8">
        <v>100</v>
      </c>
      <c r="M141" s="8">
        <v>100</v>
      </c>
      <c r="N141" s="8">
        <v>100</v>
      </c>
      <c r="O141" s="8">
        <v>100</v>
      </c>
      <c r="P141" s="8">
        <v>100</v>
      </c>
      <c r="Q141" s="8">
        <v>100</v>
      </c>
      <c r="R141" s="8">
        <v>100</v>
      </c>
      <c r="S141" s="8">
        <v>100</v>
      </c>
      <c r="T141" s="8">
        <v>100</v>
      </c>
      <c r="U141" s="15">
        <v>100</v>
      </c>
      <c r="V141" s="6" t="s">
        <v>1098</v>
      </c>
    </row>
    <row r="142" spans="1:22" ht="30" customHeight="1">
      <c r="A142" s="6" t="s">
        <v>697</v>
      </c>
      <c r="B142" s="6" t="s">
        <v>1099</v>
      </c>
      <c r="C142" s="6" t="s">
        <v>1100</v>
      </c>
      <c r="D142" s="6" t="s">
        <v>25</v>
      </c>
      <c r="E142" s="19" t="s">
        <v>704</v>
      </c>
      <c r="F142" s="6">
        <v>100</v>
      </c>
      <c r="G142" s="14">
        <v>103.46153846153901</v>
      </c>
      <c r="H142" s="16">
        <v>479</v>
      </c>
      <c r="I142" s="8">
        <v>1066</v>
      </c>
      <c r="J142" s="8">
        <v>100</v>
      </c>
      <c r="K142" s="8">
        <v>100</v>
      </c>
      <c r="L142" s="8">
        <v>100</v>
      </c>
      <c r="M142" s="8">
        <v>100</v>
      </c>
      <c r="N142" s="8">
        <v>100</v>
      </c>
      <c r="O142" s="8">
        <v>100</v>
      </c>
      <c r="P142" s="8">
        <v>100</v>
      </c>
      <c r="Q142" s="8">
        <v>100</v>
      </c>
      <c r="R142" s="8">
        <v>100</v>
      </c>
      <c r="S142" s="8">
        <v>100</v>
      </c>
      <c r="T142" s="8">
        <v>100</v>
      </c>
      <c r="U142" s="15">
        <v>203.46153846153899</v>
      </c>
      <c r="V142" s="6" t="s">
        <v>1101</v>
      </c>
    </row>
    <row r="143" spans="1:22" ht="30" customHeight="1">
      <c r="A143" s="6" t="s">
        <v>697</v>
      </c>
      <c r="B143" s="6" t="s">
        <v>1102</v>
      </c>
      <c r="C143" s="6" t="s">
        <v>1103</v>
      </c>
      <c r="D143" s="6" t="s">
        <v>25</v>
      </c>
      <c r="E143" s="19" t="s">
        <v>700</v>
      </c>
      <c r="F143" s="6">
        <v>30</v>
      </c>
      <c r="G143" s="14">
        <v>82.692307692307693</v>
      </c>
      <c r="H143" s="16">
        <v>81</v>
      </c>
      <c r="I143" s="8">
        <v>127</v>
      </c>
      <c r="J143" s="8">
        <v>134</v>
      </c>
      <c r="K143" s="8">
        <v>159</v>
      </c>
      <c r="L143" s="8">
        <v>178</v>
      </c>
      <c r="M143" s="8">
        <v>149</v>
      </c>
      <c r="N143" s="8">
        <v>113</v>
      </c>
      <c r="O143" s="8">
        <v>108</v>
      </c>
      <c r="P143" s="8">
        <v>100</v>
      </c>
      <c r="Q143" s="8">
        <v>96</v>
      </c>
      <c r="R143" s="8">
        <v>98</v>
      </c>
      <c r="S143" s="8">
        <v>92</v>
      </c>
      <c r="T143" s="8">
        <v>30</v>
      </c>
      <c r="U143" s="15">
        <v>112.69230769230801</v>
      </c>
      <c r="V143" s="6" t="s">
        <v>1053</v>
      </c>
    </row>
    <row r="144" spans="1:22" ht="30" customHeight="1">
      <c r="A144" s="6" t="s">
        <v>697</v>
      </c>
      <c r="B144" s="6" t="s">
        <v>1104</v>
      </c>
      <c r="C144" s="6" t="s">
        <v>1105</v>
      </c>
      <c r="D144" s="6" t="s">
        <v>25</v>
      </c>
      <c r="E144" s="19" t="s">
        <v>704</v>
      </c>
      <c r="F144" s="6">
        <v>100</v>
      </c>
      <c r="G144" s="14">
        <v>0</v>
      </c>
      <c r="H144" s="16">
        <v>100</v>
      </c>
      <c r="I144" s="8">
        <v>100</v>
      </c>
      <c r="J144" s="8">
        <v>100</v>
      </c>
      <c r="K144" s="8">
        <v>100</v>
      </c>
      <c r="L144" s="8">
        <v>100</v>
      </c>
      <c r="M144" s="8">
        <v>100</v>
      </c>
      <c r="N144" s="8">
        <v>100</v>
      </c>
      <c r="O144" s="8">
        <v>100</v>
      </c>
      <c r="P144" s="8">
        <v>100</v>
      </c>
      <c r="Q144" s="8">
        <v>100</v>
      </c>
      <c r="R144" s="8">
        <v>100</v>
      </c>
      <c r="S144" s="8">
        <v>100</v>
      </c>
      <c r="T144" s="8">
        <v>100</v>
      </c>
      <c r="U144" s="15">
        <v>100</v>
      </c>
      <c r="V144" s="6" t="s">
        <v>1106</v>
      </c>
    </row>
    <row r="145" spans="1:22" ht="30" customHeight="1">
      <c r="A145" s="6" t="s">
        <v>697</v>
      </c>
      <c r="B145" s="6" t="s">
        <v>1107</v>
      </c>
      <c r="C145" s="6" t="s">
        <v>1108</v>
      </c>
      <c r="D145" s="6" t="s">
        <v>25</v>
      </c>
      <c r="E145" s="19" t="s">
        <v>704</v>
      </c>
      <c r="F145" s="6">
        <v>100</v>
      </c>
      <c r="G145" s="14">
        <v>0</v>
      </c>
      <c r="H145" s="16">
        <v>100</v>
      </c>
      <c r="I145" s="8">
        <v>100</v>
      </c>
      <c r="J145" s="8">
        <v>100</v>
      </c>
      <c r="K145" s="8">
        <v>100</v>
      </c>
      <c r="L145" s="8">
        <v>100</v>
      </c>
      <c r="M145" s="8">
        <v>100</v>
      </c>
      <c r="N145" s="8">
        <v>100</v>
      </c>
      <c r="O145" s="8">
        <v>100</v>
      </c>
      <c r="P145" s="8">
        <v>100</v>
      </c>
      <c r="Q145" s="8">
        <v>100</v>
      </c>
      <c r="R145" s="8">
        <v>100</v>
      </c>
      <c r="S145" s="8">
        <v>100</v>
      </c>
      <c r="T145" s="8">
        <v>100</v>
      </c>
      <c r="U145" s="15">
        <v>100</v>
      </c>
      <c r="V145" s="6" t="s">
        <v>1106</v>
      </c>
    </row>
    <row r="146" spans="1:22" ht="30" customHeight="1">
      <c r="A146" s="6" t="s">
        <v>697</v>
      </c>
      <c r="B146" s="6" t="s">
        <v>1109</v>
      </c>
      <c r="C146" s="6" t="s">
        <v>1110</v>
      </c>
      <c r="D146" s="6" t="s">
        <v>25</v>
      </c>
      <c r="E146" s="19" t="s">
        <v>704</v>
      </c>
      <c r="F146" s="6">
        <v>100</v>
      </c>
      <c r="G146" s="14">
        <v>0</v>
      </c>
      <c r="H146" s="16">
        <v>100</v>
      </c>
      <c r="I146" s="8">
        <v>100</v>
      </c>
      <c r="J146" s="8">
        <v>100</v>
      </c>
      <c r="K146" s="8">
        <v>100</v>
      </c>
      <c r="L146" s="8">
        <v>100</v>
      </c>
      <c r="M146" s="8">
        <v>100</v>
      </c>
      <c r="N146" s="8">
        <v>100</v>
      </c>
      <c r="O146" s="8">
        <v>100</v>
      </c>
      <c r="P146" s="8">
        <v>100</v>
      </c>
      <c r="Q146" s="8">
        <v>100</v>
      </c>
      <c r="R146" s="8">
        <v>100</v>
      </c>
      <c r="S146" s="8">
        <v>100</v>
      </c>
      <c r="T146" s="8">
        <v>100</v>
      </c>
      <c r="U146" s="15">
        <v>100</v>
      </c>
      <c r="V146" s="6" t="s">
        <v>1106</v>
      </c>
    </row>
    <row r="147" spans="1:22" ht="30" customHeight="1">
      <c r="A147" s="6" t="s">
        <v>697</v>
      </c>
      <c r="B147" s="6" t="s">
        <v>1111</v>
      </c>
      <c r="C147" s="6" t="s">
        <v>1112</v>
      </c>
      <c r="D147" s="6" t="s">
        <v>25</v>
      </c>
      <c r="E147" s="19" t="s">
        <v>700</v>
      </c>
      <c r="F147" s="6">
        <v>30</v>
      </c>
      <c r="G147" s="6">
        <v>1128.5384615384601</v>
      </c>
      <c r="H147" s="16">
        <v>1410</v>
      </c>
      <c r="I147" s="8">
        <v>1327</v>
      </c>
      <c r="J147" s="8">
        <v>1916</v>
      </c>
      <c r="K147" s="8">
        <v>2527</v>
      </c>
      <c r="L147" s="8">
        <v>2596</v>
      </c>
      <c r="M147" s="8">
        <v>1537</v>
      </c>
      <c r="N147" s="8">
        <v>1047</v>
      </c>
      <c r="O147" s="8">
        <v>522</v>
      </c>
      <c r="P147" s="8">
        <v>482</v>
      </c>
      <c r="Q147" s="8">
        <v>373</v>
      </c>
      <c r="R147" s="8">
        <v>514</v>
      </c>
      <c r="S147" s="8">
        <v>780</v>
      </c>
      <c r="T147" s="8">
        <v>30</v>
      </c>
      <c r="U147" s="15">
        <v>1158.5384615384601</v>
      </c>
      <c r="V147" s="6" t="s">
        <v>1113</v>
      </c>
    </row>
    <row r="148" spans="1:22" ht="30" customHeight="1">
      <c r="A148" s="6" t="s">
        <v>697</v>
      </c>
      <c r="B148" s="6" t="s">
        <v>1114</v>
      </c>
      <c r="C148" s="6" t="s">
        <v>1115</v>
      </c>
      <c r="D148" s="6" t="s">
        <v>25</v>
      </c>
      <c r="E148" s="19" t="s">
        <v>700</v>
      </c>
      <c r="F148" s="6">
        <v>30</v>
      </c>
      <c r="G148" s="14">
        <v>377.769230769231</v>
      </c>
      <c r="H148" s="16">
        <v>412</v>
      </c>
      <c r="I148" s="8">
        <v>439</v>
      </c>
      <c r="J148" s="8">
        <v>493</v>
      </c>
      <c r="K148" s="8">
        <v>410</v>
      </c>
      <c r="L148" s="8">
        <v>484</v>
      </c>
      <c r="M148" s="8">
        <v>455</v>
      </c>
      <c r="N148" s="8">
        <v>492</v>
      </c>
      <c r="O148" s="8">
        <v>454</v>
      </c>
      <c r="P148" s="8">
        <v>488</v>
      </c>
      <c r="Q148" s="8">
        <v>389</v>
      </c>
      <c r="R148" s="8">
        <v>380</v>
      </c>
      <c r="S148" s="8">
        <v>375</v>
      </c>
      <c r="T148" s="8">
        <v>30</v>
      </c>
      <c r="U148" s="15">
        <v>407.769230769231</v>
      </c>
      <c r="V148" s="6" t="s">
        <v>1113</v>
      </c>
    </row>
    <row r="149" spans="1:22" ht="30" customHeight="1">
      <c r="A149" s="6" t="s">
        <v>697</v>
      </c>
      <c r="B149" s="6" t="s">
        <v>1116</v>
      </c>
      <c r="C149" s="6" t="s">
        <v>1117</v>
      </c>
      <c r="D149" s="6" t="s">
        <v>25</v>
      </c>
      <c r="E149" s="19" t="s">
        <v>704</v>
      </c>
      <c r="F149" s="6">
        <v>100</v>
      </c>
      <c r="G149" s="14">
        <v>0</v>
      </c>
      <c r="H149" s="16">
        <v>100</v>
      </c>
      <c r="I149" s="8">
        <v>100</v>
      </c>
      <c r="J149" s="8">
        <v>100</v>
      </c>
      <c r="K149" s="8">
        <v>100</v>
      </c>
      <c r="L149" s="8">
        <v>100</v>
      </c>
      <c r="M149" s="8">
        <v>100</v>
      </c>
      <c r="N149" s="8">
        <v>100</v>
      </c>
      <c r="O149" s="8">
        <v>100</v>
      </c>
      <c r="P149" s="8">
        <v>100</v>
      </c>
      <c r="Q149" s="8">
        <v>100</v>
      </c>
      <c r="R149" s="8">
        <v>100</v>
      </c>
      <c r="S149" s="8">
        <v>100</v>
      </c>
      <c r="T149" s="8">
        <v>100</v>
      </c>
      <c r="U149" s="15">
        <v>100</v>
      </c>
      <c r="V149" s="6" t="s">
        <v>1118</v>
      </c>
    </row>
    <row r="150" spans="1:22" ht="30" customHeight="1">
      <c r="A150" s="6" t="s">
        <v>697</v>
      </c>
      <c r="B150" s="6" t="s">
        <v>1119</v>
      </c>
      <c r="C150" s="6" t="s">
        <v>1120</v>
      </c>
      <c r="D150" s="6" t="s">
        <v>25</v>
      </c>
      <c r="E150" s="19" t="s">
        <v>700</v>
      </c>
      <c r="F150" s="6">
        <v>30</v>
      </c>
      <c r="G150" s="14">
        <v>433.84615384615398</v>
      </c>
      <c r="H150" s="16">
        <v>500</v>
      </c>
      <c r="I150" s="8">
        <v>500</v>
      </c>
      <c r="J150" s="8">
        <v>500</v>
      </c>
      <c r="K150" s="8">
        <v>500</v>
      </c>
      <c r="L150" s="8">
        <v>500</v>
      </c>
      <c r="M150" s="8">
        <v>500</v>
      </c>
      <c r="N150" s="8">
        <v>500</v>
      </c>
      <c r="O150" s="8">
        <v>500</v>
      </c>
      <c r="P150" s="8">
        <v>500</v>
      </c>
      <c r="Q150" s="8">
        <v>500</v>
      </c>
      <c r="R150" s="8">
        <v>500</v>
      </c>
      <c r="S150" s="8">
        <v>500</v>
      </c>
      <c r="T150" s="8">
        <v>30</v>
      </c>
      <c r="U150" s="15">
        <v>463.84615384615398</v>
      </c>
      <c r="V150" s="6" t="s">
        <v>1092</v>
      </c>
    </row>
    <row r="151" spans="1:22" ht="30" customHeight="1">
      <c r="A151" s="6" t="s">
        <v>697</v>
      </c>
      <c r="B151" s="6" t="s">
        <v>1121</v>
      </c>
      <c r="C151" s="6" t="s">
        <v>1122</v>
      </c>
      <c r="D151" s="6" t="s">
        <v>25</v>
      </c>
      <c r="E151" s="19" t="s">
        <v>704</v>
      </c>
      <c r="F151" s="6">
        <v>100</v>
      </c>
      <c r="G151" s="14">
        <v>0</v>
      </c>
      <c r="H151" s="16">
        <v>100</v>
      </c>
      <c r="I151" s="8">
        <v>100</v>
      </c>
      <c r="J151" s="8">
        <v>100</v>
      </c>
      <c r="K151" s="8">
        <v>100</v>
      </c>
      <c r="L151" s="8">
        <v>100</v>
      </c>
      <c r="M151" s="8">
        <v>100</v>
      </c>
      <c r="N151" s="8">
        <v>100</v>
      </c>
      <c r="O151" s="8">
        <v>100</v>
      </c>
      <c r="P151" s="8">
        <v>100</v>
      </c>
      <c r="Q151" s="8">
        <v>100</v>
      </c>
      <c r="R151" s="8">
        <v>100</v>
      </c>
      <c r="S151" s="8">
        <v>100</v>
      </c>
      <c r="T151" s="8">
        <v>100</v>
      </c>
      <c r="U151" s="15">
        <v>100</v>
      </c>
      <c r="V151" s="6" t="s">
        <v>1123</v>
      </c>
    </row>
    <row r="152" spans="1:22" ht="30" customHeight="1">
      <c r="A152" s="6" t="s">
        <v>697</v>
      </c>
      <c r="B152" s="6" t="s">
        <v>1124</v>
      </c>
      <c r="C152" s="6" t="s">
        <v>1125</v>
      </c>
      <c r="D152" s="6" t="s">
        <v>25</v>
      </c>
      <c r="E152" s="19" t="s">
        <v>704</v>
      </c>
      <c r="F152" s="6">
        <v>100</v>
      </c>
      <c r="G152" s="14">
        <v>2085.6153846153902</v>
      </c>
      <c r="H152" s="16">
        <v>2640</v>
      </c>
      <c r="I152" s="8">
        <v>2730</v>
      </c>
      <c r="J152" s="8">
        <v>2655</v>
      </c>
      <c r="K152" s="8">
        <v>4382</v>
      </c>
      <c r="L152" s="8">
        <v>3783</v>
      </c>
      <c r="M152" s="8">
        <v>3070</v>
      </c>
      <c r="N152" s="8">
        <v>1996</v>
      </c>
      <c r="O152" s="8">
        <v>1416</v>
      </c>
      <c r="P152" s="8">
        <v>1460</v>
      </c>
      <c r="Q152" s="8">
        <v>1332</v>
      </c>
      <c r="R152" s="8">
        <v>1468</v>
      </c>
      <c r="S152" s="8">
        <v>1381</v>
      </c>
      <c r="T152" s="8">
        <v>100</v>
      </c>
      <c r="U152" s="15">
        <v>2185.6153846153902</v>
      </c>
      <c r="V152" s="6" t="s">
        <v>1126</v>
      </c>
    </row>
    <row r="153" spans="1:22" ht="30" customHeight="1">
      <c r="A153" s="6" t="s">
        <v>697</v>
      </c>
      <c r="B153" s="6" t="s">
        <v>1127</v>
      </c>
      <c r="C153" s="6" t="s">
        <v>1128</v>
      </c>
      <c r="D153" s="6" t="s">
        <v>25</v>
      </c>
      <c r="E153" s="19" t="s">
        <v>700</v>
      </c>
      <c r="F153" s="6">
        <v>30</v>
      </c>
      <c r="G153" s="14">
        <v>2</v>
      </c>
      <c r="H153" s="16">
        <v>30</v>
      </c>
      <c r="I153" s="8">
        <v>30</v>
      </c>
      <c r="J153" s="8">
        <v>30</v>
      </c>
      <c r="K153" s="8">
        <v>30</v>
      </c>
      <c r="L153" s="8">
        <v>30</v>
      </c>
      <c r="M153" s="8">
        <v>56</v>
      </c>
      <c r="N153" s="8">
        <v>30</v>
      </c>
      <c r="O153" s="8">
        <v>30</v>
      </c>
      <c r="P153" s="8">
        <v>30</v>
      </c>
      <c r="Q153" s="8">
        <v>30</v>
      </c>
      <c r="R153" s="8">
        <v>30</v>
      </c>
      <c r="S153" s="8">
        <v>30</v>
      </c>
      <c r="T153" s="8">
        <v>30</v>
      </c>
      <c r="U153" s="15">
        <v>32</v>
      </c>
      <c r="V153" s="6" t="s">
        <v>1129</v>
      </c>
    </row>
    <row r="154" spans="1:22" ht="30" customHeight="1">
      <c r="A154" s="6" t="s">
        <v>697</v>
      </c>
      <c r="B154" s="6" t="s">
        <v>1130</v>
      </c>
      <c r="C154" s="6" t="s">
        <v>1131</v>
      </c>
      <c r="D154" s="6" t="s">
        <v>25</v>
      </c>
      <c r="E154" s="19" t="s">
        <v>700</v>
      </c>
      <c r="F154" s="6">
        <v>30</v>
      </c>
      <c r="G154" s="14">
        <v>0</v>
      </c>
      <c r="H154" s="16">
        <v>30</v>
      </c>
      <c r="I154" s="8">
        <v>30</v>
      </c>
      <c r="J154" s="8">
        <v>30</v>
      </c>
      <c r="K154" s="8">
        <v>30</v>
      </c>
      <c r="L154" s="8">
        <v>30</v>
      </c>
      <c r="M154" s="8">
        <v>30</v>
      </c>
      <c r="N154" s="8">
        <v>30</v>
      </c>
      <c r="O154" s="8">
        <v>30</v>
      </c>
      <c r="P154" s="8">
        <v>30</v>
      </c>
      <c r="Q154" s="8">
        <v>30</v>
      </c>
      <c r="R154" s="8">
        <v>30</v>
      </c>
      <c r="S154" s="8">
        <v>30</v>
      </c>
      <c r="T154" s="8">
        <v>30</v>
      </c>
      <c r="U154" s="15">
        <v>30</v>
      </c>
      <c r="V154" s="6" t="s">
        <v>1092</v>
      </c>
    </row>
    <row r="155" spans="1:22" ht="30" customHeight="1">
      <c r="A155" s="6" t="s">
        <v>697</v>
      </c>
      <c r="B155" s="6" t="s">
        <v>1132</v>
      </c>
      <c r="C155" s="6" t="s">
        <v>1133</v>
      </c>
      <c r="D155" s="6" t="s">
        <v>25</v>
      </c>
      <c r="E155" s="19" t="s">
        <v>704</v>
      </c>
      <c r="F155" s="6">
        <v>100</v>
      </c>
      <c r="G155" s="14">
        <v>0</v>
      </c>
      <c r="H155" s="16">
        <v>100</v>
      </c>
      <c r="I155" s="8">
        <v>100</v>
      </c>
      <c r="J155" s="8">
        <v>100</v>
      </c>
      <c r="K155" s="8">
        <v>100</v>
      </c>
      <c r="L155" s="8">
        <v>100</v>
      </c>
      <c r="M155" s="8">
        <v>100</v>
      </c>
      <c r="N155" s="8">
        <v>100</v>
      </c>
      <c r="O155" s="8">
        <v>100</v>
      </c>
      <c r="P155" s="8">
        <v>100</v>
      </c>
      <c r="Q155" s="8">
        <v>100</v>
      </c>
      <c r="R155" s="8">
        <v>100</v>
      </c>
      <c r="S155" s="8">
        <v>100</v>
      </c>
      <c r="T155" s="8">
        <v>100</v>
      </c>
      <c r="U155" s="15">
        <v>100</v>
      </c>
      <c r="V155" s="6" t="s">
        <v>1134</v>
      </c>
    </row>
    <row r="156" spans="1:22" ht="30" customHeight="1">
      <c r="A156" s="6" t="s">
        <v>697</v>
      </c>
      <c r="B156" s="6" t="s">
        <v>1135</v>
      </c>
      <c r="C156" s="6" t="s">
        <v>1136</v>
      </c>
      <c r="D156" s="6" t="s">
        <v>25</v>
      </c>
      <c r="E156" s="19" t="s">
        <v>704</v>
      </c>
      <c r="F156" s="6">
        <v>100</v>
      </c>
      <c r="G156" s="14">
        <v>514.84615384615404</v>
      </c>
      <c r="H156" s="16">
        <v>699</v>
      </c>
      <c r="I156" s="8">
        <v>650</v>
      </c>
      <c r="J156" s="8">
        <v>507</v>
      </c>
      <c r="K156" s="8">
        <v>492</v>
      </c>
      <c r="L156" s="8">
        <v>548</v>
      </c>
      <c r="M156" s="8">
        <v>546</v>
      </c>
      <c r="N156" s="8">
        <v>558</v>
      </c>
      <c r="O156" s="8">
        <v>639</v>
      </c>
      <c r="P156" s="8">
        <v>794</v>
      </c>
      <c r="Q156" s="8">
        <v>789</v>
      </c>
      <c r="R156" s="8">
        <v>841</v>
      </c>
      <c r="S156" s="8">
        <v>830</v>
      </c>
      <c r="T156" s="8">
        <v>100</v>
      </c>
      <c r="U156" s="15">
        <v>614.84615384615404</v>
      </c>
      <c r="V156" s="6" t="s">
        <v>1129</v>
      </c>
    </row>
    <row r="157" spans="1:22" ht="30" customHeight="1">
      <c r="A157" s="6" t="s">
        <v>697</v>
      </c>
      <c r="B157" s="6" t="s">
        <v>1137</v>
      </c>
      <c r="C157" s="6" t="s">
        <v>1138</v>
      </c>
      <c r="D157" s="6" t="s">
        <v>25</v>
      </c>
      <c r="E157" s="19" t="s">
        <v>700</v>
      </c>
      <c r="F157" s="6">
        <v>30</v>
      </c>
      <c r="G157" s="14">
        <v>253.92307692307699</v>
      </c>
      <c r="H157" s="16">
        <v>278</v>
      </c>
      <c r="I157" s="8">
        <v>333</v>
      </c>
      <c r="J157" s="8">
        <v>257</v>
      </c>
      <c r="K157" s="8">
        <v>453</v>
      </c>
      <c r="L157" s="8">
        <v>748</v>
      </c>
      <c r="M157" s="8">
        <v>440</v>
      </c>
      <c r="N157" s="8">
        <v>247</v>
      </c>
      <c r="O157" s="8">
        <v>173</v>
      </c>
      <c r="P157" s="8">
        <v>241</v>
      </c>
      <c r="Q157" s="8">
        <v>174</v>
      </c>
      <c r="R157" s="8">
        <v>167</v>
      </c>
      <c r="S157" s="8">
        <v>150</v>
      </c>
      <c r="T157" s="8">
        <v>30</v>
      </c>
      <c r="U157" s="15">
        <v>283.92307692307702</v>
      </c>
      <c r="V157" s="6" t="s">
        <v>1139</v>
      </c>
    </row>
    <row r="158" spans="1:22" ht="30" customHeight="1">
      <c r="A158" s="6" t="s">
        <v>697</v>
      </c>
      <c r="B158" s="6" t="s">
        <v>1140</v>
      </c>
      <c r="C158" s="6" t="s">
        <v>1141</v>
      </c>
      <c r="D158" s="6" t="s">
        <v>25</v>
      </c>
      <c r="E158" s="19" t="s">
        <v>700</v>
      </c>
      <c r="F158" s="6">
        <v>30</v>
      </c>
      <c r="G158" s="14">
        <v>309.46153846153902</v>
      </c>
      <c r="H158" s="16">
        <v>333</v>
      </c>
      <c r="I158" s="8">
        <v>336</v>
      </c>
      <c r="J158" s="8">
        <v>30</v>
      </c>
      <c r="K158" s="8">
        <v>851</v>
      </c>
      <c r="L158" s="8">
        <v>650</v>
      </c>
      <c r="M158" s="8">
        <v>510</v>
      </c>
      <c r="N158" s="8">
        <v>385</v>
      </c>
      <c r="O158" s="8">
        <v>358</v>
      </c>
      <c r="P158" s="8">
        <v>246</v>
      </c>
      <c r="Q158" s="8">
        <v>201</v>
      </c>
      <c r="R158" s="8">
        <v>230</v>
      </c>
      <c r="S158" s="8">
        <v>253</v>
      </c>
      <c r="T158" s="8">
        <v>30</v>
      </c>
      <c r="U158" s="15">
        <v>339.46153846153902</v>
      </c>
      <c r="V158" s="6" t="s">
        <v>1142</v>
      </c>
    </row>
    <row r="159" spans="1:22" ht="30" customHeight="1">
      <c r="A159" s="6" t="s">
        <v>697</v>
      </c>
      <c r="B159" s="6" t="s">
        <v>1143</v>
      </c>
      <c r="C159" s="6" t="s">
        <v>1144</v>
      </c>
      <c r="D159" s="6" t="s">
        <v>25</v>
      </c>
      <c r="E159" s="19" t="s">
        <v>700</v>
      </c>
      <c r="F159" s="6">
        <v>30</v>
      </c>
      <c r="G159" s="14">
        <v>360.769230769231</v>
      </c>
      <c r="H159" s="16">
        <v>401</v>
      </c>
      <c r="I159" s="8">
        <v>484</v>
      </c>
      <c r="J159" s="8">
        <v>450</v>
      </c>
      <c r="K159" s="8">
        <v>643</v>
      </c>
      <c r="L159" s="8">
        <v>734</v>
      </c>
      <c r="M159" s="8">
        <v>635</v>
      </c>
      <c r="N159" s="8">
        <v>439</v>
      </c>
      <c r="O159" s="8">
        <v>352</v>
      </c>
      <c r="P159" s="8">
        <v>221</v>
      </c>
      <c r="Q159" s="8">
        <v>205</v>
      </c>
      <c r="R159" s="8">
        <v>208</v>
      </c>
      <c r="S159" s="8">
        <v>278</v>
      </c>
      <c r="T159" s="8">
        <v>30</v>
      </c>
      <c r="U159" s="15">
        <v>390.769230769231</v>
      </c>
      <c r="V159" s="6" t="s">
        <v>1145</v>
      </c>
    </row>
    <row r="160" spans="1:22" ht="30" customHeight="1">
      <c r="A160" s="6" t="s">
        <v>697</v>
      </c>
      <c r="B160" s="6" t="s">
        <v>1146</v>
      </c>
      <c r="C160" s="6" t="s">
        <v>1147</v>
      </c>
      <c r="D160" s="6" t="s">
        <v>25</v>
      </c>
      <c r="E160" s="19" t="s">
        <v>700</v>
      </c>
      <c r="F160" s="6">
        <v>30</v>
      </c>
      <c r="G160" s="14">
        <v>104.07692307692299</v>
      </c>
      <c r="H160" s="16">
        <v>124</v>
      </c>
      <c r="I160" s="8">
        <v>120</v>
      </c>
      <c r="J160" s="8">
        <v>88</v>
      </c>
      <c r="K160" s="8">
        <v>128</v>
      </c>
      <c r="L160" s="8">
        <v>229</v>
      </c>
      <c r="M160" s="8">
        <v>209</v>
      </c>
      <c r="N160" s="8">
        <v>155</v>
      </c>
      <c r="O160" s="8">
        <v>125</v>
      </c>
      <c r="P160" s="8">
        <v>121</v>
      </c>
      <c r="Q160" s="8">
        <v>130</v>
      </c>
      <c r="R160" s="8">
        <v>144</v>
      </c>
      <c r="S160" s="8">
        <v>140</v>
      </c>
      <c r="T160" s="8">
        <v>30</v>
      </c>
      <c r="U160" s="15">
        <v>134.07692307692301</v>
      </c>
      <c r="V160" s="6" t="s">
        <v>1148</v>
      </c>
    </row>
    <row r="161" spans="1:22" ht="30" customHeight="1">
      <c r="A161" s="6" t="s">
        <v>697</v>
      </c>
      <c r="B161" s="6" t="s">
        <v>1149</v>
      </c>
      <c r="C161" s="6" t="s">
        <v>1150</v>
      </c>
      <c r="D161" s="6" t="s">
        <v>25</v>
      </c>
      <c r="E161" s="19" t="s">
        <v>700</v>
      </c>
      <c r="F161" s="6">
        <v>30</v>
      </c>
      <c r="G161" s="14">
        <v>178.69230769230799</v>
      </c>
      <c r="H161" s="16">
        <v>200</v>
      </c>
      <c r="I161" s="8">
        <v>209</v>
      </c>
      <c r="J161" s="8">
        <v>231</v>
      </c>
      <c r="K161" s="8">
        <v>304</v>
      </c>
      <c r="L161" s="8">
        <v>433</v>
      </c>
      <c r="M161" s="8">
        <v>373</v>
      </c>
      <c r="N161" s="8">
        <v>239</v>
      </c>
      <c r="O161" s="8">
        <v>197</v>
      </c>
      <c r="P161" s="8">
        <v>142</v>
      </c>
      <c r="Q161" s="8">
        <v>108</v>
      </c>
      <c r="R161" s="8">
        <v>111</v>
      </c>
      <c r="S161" s="8">
        <v>136</v>
      </c>
      <c r="T161" s="8">
        <v>30</v>
      </c>
      <c r="U161" s="15">
        <v>208.69230769230799</v>
      </c>
      <c r="V161" s="6" t="s">
        <v>1151</v>
      </c>
    </row>
    <row r="162" spans="1:22" ht="30" customHeight="1">
      <c r="A162" s="6" t="s">
        <v>697</v>
      </c>
      <c r="B162" s="6" t="s">
        <v>1152</v>
      </c>
      <c r="C162" s="6" t="s">
        <v>1153</v>
      </c>
      <c r="D162" s="6" t="s">
        <v>25</v>
      </c>
      <c r="E162" s="19" t="s">
        <v>700</v>
      </c>
      <c r="F162" s="6">
        <v>30</v>
      </c>
      <c r="G162" s="14">
        <v>296.538461538462</v>
      </c>
      <c r="H162" s="16">
        <v>278</v>
      </c>
      <c r="I162" s="8">
        <v>360</v>
      </c>
      <c r="J162" s="8">
        <v>356</v>
      </c>
      <c r="K162" s="8">
        <v>466</v>
      </c>
      <c r="L162" s="8">
        <v>582</v>
      </c>
      <c r="M162" s="8">
        <v>499</v>
      </c>
      <c r="N162" s="8">
        <v>396</v>
      </c>
      <c r="O162" s="8">
        <v>343</v>
      </c>
      <c r="P162" s="8">
        <v>229</v>
      </c>
      <c r="Q162" s="8">
        <v>222</v>
      </c>
      <c r="R162" s="8">
        <v>235</v>
      </c>
      <c r="S162" s="8">
        <v>249</v>
      </c>
      <c r="T162" s="8">
        <v>30</v>
      </c>
      <c r="U162" s="15">
        <v>326.538461538462</v>
      </c>
      <c r="V162" s="6" t="s">
        <v>1154</v>
      </c>
    </row>
    <row r="163" spans="1:22" ht="30" customHeight="1">
      <c r="A163" s="6" t="s">
        <v>697</v>
      </c>
      <c r="B163" s="6" t="s">
        <v>1155</v>
      </c>
      <c r="C163" s="6" t="s">
        <v>1156</v>
      </c>
      <c r="D163" s="6" t="s">
        <v>25</v>
      </c>
      <c r="E163" s="19" t="s">
        <v>700</v>
      </c>
      <c r="F163" s="6">
        <v>30</v>
      </c>
      <c r="G163" s="14">
        <v>1976.6923076923099</v>
      </c>
      <c r="H163" s="16">
        <v>2062</v>
      </c>
      <c r="I163" s="8">
        <v>2423</v>
      </c>
      <c r="J163" s="8">
        <v>2934</v>
      </c>
      <c r="K163" s="8">
        <v>3275</v>
      </c>
      <c r="L163" s="8">
        <v>3240</v>
      </c>
      <c r="M163" s="8">
        <v>2768</v>
      </c>
      <c r="N163" s="8">
        <v>2224</v>
      </c>
      <c r="O163" s="8">
        <v>1866</v>
      </c>
      <c r="P163" s="8">
        <v>628</v>
      </c>
      <c r="Q163" s="8">
        <v>1979</v>
      </c>
      <c r="R163" s="8">
        <v>1295</v>
      </c>
      <c r="S163" s="8">
        <v>1363</v>
      </c>
      <c r="T163" s="8">
        <v>30</v>
      </c>
      <c r="U163" s="15">
        <v>2006.6923076923099</v>
      </c>
      <c r="V163" s="6" t="s">
        <v>1157</v>
      </c>
    </row>
    <row r="164" spans="1:22" ht="30" customHeight="1">
      <c r="A164" s="6" t="s">
        <v>697</v>
      </c>
      <c r="B164" s="6" t="s">
        <v>1158</v>
      </c>
      <c r="C164" s="6" t="s">
        <v>1159</v>
      </c>
      <c r="D164" s="6" t="s">
        <v>25</v>
      </c>
      <c r="E164" s="19" t="s">
        <v>700</v>
      </c>
      <c r="F164" s="6">
        <v>30</v>
      </c>
      <c r="G164" s="14">
        <v>251.30769230769201</v>
      </c>
      <c r="H164" s="16">
        <v>291</v>
      </c>
      <c r="I164" s="8">
        <v>334</v>
      </c>
      <c r="J164" s="8">
        <v>328</v>
      </c>
      <c r="K164" s="8">
        <v>390</v>
      </c>
      <c r="L164" s="8">
        <v>481</v>
      </c>
      <c r="M164" s="8">
        <v>414</v>
      </c>
      <c r="N164" s="8">
        <v>334</v>
      </c>
      <c r="O164" s="8">
        <v>272</v>
      </c>
      <c r="P164" s="8">
        <v>203</v>
      </c>
      <c r="Q164" s="8">
        <v>185</v>
      </c>
      <c r="R164" s="8">
        <v>186</v>
      </c>
      <c r="S164" s="8">
        <v>209</v>
      </c>
      <c r="T164" s="8">
        <v>30</v>
      </c>
      <c r="U164" s="15">
        <v>281.30769230769198</v>
      </c>
      <c r="V164" s="6" t="s">
        <v>1160</v>
      </c>
    </row>
    <row r="165" spans="1:22" ht="30" customHeight="1">
      <c r="A165" s="6" t="s">
        <v>697</v>
      </c>
      <c r="B165" s="6" t="s">
        <v>1161</v>
      </c>
      <c r="C165" s="6" t="s">
        <v>1162</v>
      </c>
      <c r="D165" s="6" t="s">
        <v>25</v>
      </c>
      <c r="E165" s="19" t="s">
        <v>700</v>
      </c>
      <c r="F165" s="6">
        <v>30</v>
      </c>
      <c r="G165" s="14">
        <v>415.769230769231</v>
      </c>
      <c r="H165" s="16">
        <v>519</v>
      </c>
      <c r="I165" s="8">
        <v>546</v>
      </c>
      <c r="J165" s="8">
        <v>519</v>
      </c>
      <c r="K165" s="8">
        <v>752</v>
      </c>
      <c r="L165" s="8">
        <v>914</v>
      </c>
      <c r="M165" s="8">
        <v>796</v>
      </c>
      <c r="N165" s="8">
        <v>276</v>
      </c>
      <c r="O165" s="8">
        <v>272</v>
      </c>
      <c r="P165" s="8">
        <v>266</v>
      </c>
      <c r="Q165" s="8">
        <v>269</v>
      </c>
      <c r="R165" s="8">
        <v>291</v>
      </c>
      <c r="S165" s="8">
        <v>345</v>
      </c>
      <c r="T165" s="8">
        <v>30</v>
      </c>
      <c r="U165" s="15">
        <v>445.769230769231</v>
      </c>
      <c r="V165" s="6" t="s">
        <v>1163</v>
      </c>
    </row>
    <row r="166" spans="1:22" ht="30" customHeight="1">
      <c r="A166" s="6" t="s">
        <v>697</v>
      </c>
      <c r="B166" s="6" t="s">
        <v>1164</v>
      </c>
      <c r="C166" s="6" t="s">
        <v>1165</v>
      </c>
      <c r="D166" s="6" t="s">
        <v>25</v>
      </c>
      <c r="E166" s="19" t="s">
        <v>700</v>
      </c>
      <c r="F166" s="6">
        <v>30</v>
      </c>
      <c r="G166" s="14">
        <v>339.46153846153902</v>
      </c>
      <c r="H166" s="16">
        <v>359</v>
      </c>
      <c r="I166" s="8">
        <v>374</v>
      </c>
      <c r="J166" s="8">
        <v>385</v>
      </c>
      <c r="K166" s="8">
        <v>562</v>
      </c>
      <c r="L166" s="8">
        <v>722</v>
      </c>
      <c r="M166" s="8">
        <v>684</v>
      </c>
      <c r="N166" s="8">
        <v>425</v>
      </c>
      <c r="O166" s="8">
        <v>424</v>
      </c>
      <c r="P166" s="8">
        <v>231</v>
      </c>
      <c r="Q166" s="8">
        <v>205</v>
      </c>
      <c r="R166" s="8">
        <v>191</v>
      </c>
      <c r="S166" s="8">
        <v>211</v>
      </c>
      <c r="T166" s="8">
        <v>30</v>
      </c>
      <c r="U166" s="15">
        <v>369.46153846153902</v>
      </c>
      <c r="V166" s="6" t="s">
        <v>1166</v>
      </c>
    </row>
    <row r="167" spans="1:22" ht="30" customHeight="1">
      <c r="A167" s="6" t="s">
        <v>697</v>
      </c>
      <c r="B167" s="6" t="s">
        <v>1167</v>
      </c>
      <c r="C167" s="6" t="s">
        <v>1168</v>
      </c>
      <c r="D167" s="6" t="s">
        <v>25</v>
      </c>
      <c r="E167" s="19" t="s">
        <v>700</v>
      </c>
      <c r="F167" s="6">
        <v>30</v>
      </c>
      <c r="G167" s="14">
        <v>461.538461538462</v>
      </c>
      <c r="H167" s="16">
        <v>560</v>
      </c>
      <c r="I167" s="8">
        <v>596</v>
      </c>
      <c r="J167" s="8">
        <v>543</v>
      </c>
      <c r="K167" s="8">
        <v>803</v>
      </c>
      <c r="L167" s="8">
        <v>855</v>
      </c>
      <c r="M167" s="8">
        <v>777</v>
      </c>
      <c r="N167" s="8">
        <v>519</v>
      </c>
      <c r="O167" s="8">
        <v>509</v>
      </c>
      <c r="P167" s="8">
        <v>323</v>
      </c>
      <c r="Q167" s="8">
        <v>287</v>
      </c>
      <c r="R167" s="8">
        <v>292</v>
      </c>
      <c r="S167" s="8">
        <v>296</v>
      </c>
      <c r="T167" s="8">
        <v>30</v>
      </c>
      <c r="U167" s="15">
        <v>491.538461538462</v>
      </c>
      <c r="V167" s="6" t="s">
        <v>1169</v>
      </c>
    </row>
    <row r="168" spans="1:22" ht="30" customHeight="1">
      <c r="A168" s="6" t="s">
        <v>697</v>
      </c>
      <c r="B168" s="6" t="s">
        <v>1170</v>
      </c>
      <c r="C168" s="6" t="s">
        <v>1171</v>
      </c>
      <c r="D168" s="6" t="s">
        <v>25</v>
      </c>
      <c r="E168" s="19" t="s">
        <v>700</v>
      </c>
      <c r="F168" s="6">
        <v>30</v>
      </c>
      <c r="G168" s="14">
        <v>444.769230769231</v>
      </c>
      <c r="H168" s="16">
        <v>547</v>
      </c>
      <c r="I168" s="8">
        <v>598</v>
      </c>
      <c r="J168" s="8">
        <v>574</v>
      </c>
      <c r="K168" s="8">
        <v>856</v>
      </c>
      <c r="L168" s="8">
        <v>903</v>
      </c>
      <c r="M168" s="8">
        <v>874</v>
      </c>
      <c r="N168" s="8">
        <v>472</v>
      </c>
      <c r="O168" s="8">
        <v>369</v>
      </c>
      <c r="P168" s="8">
        <v>243</v>
      </c>
      <c r="Q168" s="8">
        <v>206</v>
      </c>
      <c r="R168" s="8">
        <v>216</v>
      </c>
      <c r="S168" s="8">
        <v>284</v>
      </c>
      <c r="T168" s="8">
        <v>30</v>
      </c>
      <c r="U168" s="15">
        <v>474.769230769231</v>
      </c>
      <c r="V168" s="6" t="s">
        <v>1172</v>
      </c>
    </row>
    <row r="169" spans="1:22" ht="30" customHeight="1">
      <c r="A169" s="6" t="s">
        <v>697</v>
      </c>
      <c r="B169" s="6" t="s">
        <v>1173</v>
      </c>
      <c r="C169" s="6" t="s">
        <v>1174</v>
      </c>
      <c r="D169" s="6" t="s">
        <v>25</v>
      </c>
      <c r="E169" s="19" t="s">
        <v>700</v>
      </c>
      <c r="F169" s="6">
        <v>30</v>
      </c>
      <c r="G169" s="14">
        <v>451.38461538461502</v>
      </c>
      <c r="H169" s="16">
        <v>467</v>
      </c>
      <c r="I169" s="8">
        <v>526</v>
      </c>
      <c r="J169" s="8">
        <v>523</v>
      </c>
      <c r="K169" s="8">
        <v>887</v>
      </c>
      <c r="L169" s="8">
        <v>940</v>
      </c>
      <c r="M169" s="8">
        <v>995</v>
      </c>
      <c r="N169" s="8">
        <v>468</v>
      </c>
      <c r="O169" s="8">
        <v>467</v>
      </c>
      <c r="P169" s="8">
        <v>269</v>
      </c>
      <c r="Q169" s="8">
        <v>248</v>
      </c>
      <c r="R169" s="8">
        <v>213</v>
      </c>
      <c r="S169" s="8">
        <v>225</v>
      </c>
      <c r="T169" s="8">
        <v>30</v>
      </c>
      <c r="U169" s="15">
        <v>481.38461538461502</v>
      </c>
      <c r="V169" s="6" t="s">
        <v>1175</v>
      </c>
    </row>
    <row r="170" spans="1:22" ht="30" customHeight="1">
      <c r="A170" s="6" t="s">
        <v>697</v>
      </c>
      <c r="B170" s="6" t="s">
        <v>1176</v>
      </c>
      <c r="C170" s="6" t="s">
        <v>1177</v>
      </c>
      <c r="D170" s="6" t="s">
        <v>25</v>
      </c>
      <c r="E170" s="19" t="s">
        <v>700</v>
      </c>
      <c r="F170" s="6">
        <v>30</v>
      </c>
      <c r="G170" s="14">
        <v>412.92307692307702</v>
      </c>
      <c r="H170" s="16">
        <v>438</v>
      </c>
      <c r="I170" s="8">
        <v>508</v>
      </c>
      <c r="J170" s="8">
        <v>464</v>
      </c>
      <c r="K170" s="8">
        <v>707</v>
      </c>
      <c r="L170" s="8">
        <v>1059</v>
      </c>
      <c r="M170" s="8">
        <v>776</v>
      </c>
      <c r="N170" s="8">
        <v>452</v>
      </c>
      <c r="O170" s="8">
        <v>281</v>
      </c>
      <c r="P170" s="8">
        <v>305</v>
      </c>
      <c r="Q170" s="8">
        <v>229</v>
      </c>
      <c r="R170" s="8">
        <v>248</v>
      </c>
      <c r="S170" s="8">
        <v>261</v>
      </c>
      <c r="T170" s="8">
        <v>30</v>
      </c>
      <c r="U170" s="15">
        <v>442.92307692307702</v>
      </c>
      <c r="V170" s="6" t="s">
        <v>1178</v>
      </c>
    </row>
    <row r="171" spans="1:22" ht="30" customHeight="1">
      <c r="A171" s="6" t="s">
        <v>697</v>
      </c>
      <c r="B171" s="6" t="s">
        <v>1179</v>
      </c>
      <c r="C171" s="6" t="s">
        <v>1180</v>
      </c>
      <c r="D171" s="6" t="s">
        <v>25</v>
      </c>
      <c r="E171" s="19" t="s">
        <v>700</v>
      </c>
      <c r="F171" s="6">
        <v>30</v>
      </c>
      <c r="G171" s="14">
        <v>0</v>
      </c>
      <c r="H171" s="16">
        <v>30</v>
      </c>
      <c r="I171" s="8">
        <v>30</v>
      </c>
      <c r="J171" s="8">
        <v>30</v>
      </c>
      <c r="K171" s="8">
        <v>30</v>
      </c>
      <c r="L171" s="8">
        <v>30</v>
      </c>
      <c r="M171" s="8">
        <v>30</v>
      </c>
      <c r="N171" s="8">
        <v>30</v>
      </c>
      <c r="O171" s="8">
        <v>30</v>
      </c>
      <c r="P171" s="8">
        <v>30</v>
      </c>
      <c r="Q171" s="8">
        <v>30</v>
      </c>
      <c r="R171" s="8">
        <v>30</v>
      </c>
      <c r="S171" s="8">
        <v>30</v>
      </c>
      <c r="T171" s="8">
        <v>30</v>
      </c>
      <c r="U171" s="15">
        <v>30</v>
      </c>
      <c r="V171" s="6" t="s">
        <v>1181</v>
      </c>
    </row>
    <row r="172" spans="1:22" ht="30" customHeight="1">
      <c r="A172" s="6" t="s">
        <v>697</v>
      </c>
      <c r="B172" s="6" t="s">
        <v>1182</v>
      </c>
      <c r="C172" s="6" t="s">
        <v>1183</v>
      </c>
      <c r="D172" s="6" t="s">
        <v>25</v>
      </c>
      <c r="E172" s="19" t="s">
        <v>700</v>
      </c>
      <c r="F172" s="6">
        <v>30</v>
      </c>
      <c r="G172" s="14">
        <v>94.384615384615401</v>
      </c>
      <c r="H172" s="16">
        <v>102</v>
      </c>
      <c r="I172" s="8">
        <v>47</v>
      </c>
      <c r="J172" s="8">
        <v>91</v>
      </c>
      <c r="K172" s="8">
        <v>160</v>
      </c>
      <c r="L172" s="8">
        <v>225</v>
      </c>
      <c r="M172" s="8">
        <v>197</v>
      </c>
      <c r="N172" s="8">
        <v>238</v>
      </c>
      <c r="O172" s="8">
        <v>130</v>
      </c>
      <c r="P172" s="8">
        <v>39</v>
      </c>
      <c r="Q172" s="8">
        <v>80</v>
      </c>
      <c r="R172" s="8">
        <v>232</v>
      </c>
      <c r="S172" s="8">
        <v>46</v>
      </c>
      <c r="T172" s="8">
        <v>30</v>
      </c>
      <c r="U172" s="15">
        <v>124.384615384615</v>
      </c>
      <c r="V172" s="6" t="s">
        <v>1184</v>
      </c>
    </row>
    <row r="173" spans="1:22" ht="30" customHeight="1">
      <c r="A173" s="6" t="s">
        <v>697</v>
      </c>
      <c r="B173" s="6" t="s">
        <v>1185</v>
      </c>
      <c r="C173" s="6" t="s">
        <v>1186</v>
      </c>
      <c r="D173" s="6" t="s">
        <v>25</v>
      </c>
      <c r="E173" s="19" t="s">
        <v>700</v>
      </c>
      <c r="F173" s="6">
        <v>30</v>
      </c>
      <c r="G173" s="14">
        <v>590.23076923076906</v>
      </c>
      <c r="H173" s="16">
        <v>467</v>
      </c>
      <c r="I173" s="8">
        <v>652</v>
      </c>
      <c r="J173" s="8">
        <v>660</v>
      </c>
      <c r="K173" s="8">
        <v>1024</v>
      </c>
      <c r="L173" s="8">
        <v>1415</v>
      </c>
      <c r="M173" s="8">
        <v>1097</v>
      </c>
      <c r="N173" s="8">
        <v>679</v>
      </c>
      <c r="O173" s="8">
        <v>602</v>
      </c>
      <c r="P173" s="8">
        <v>370</v>
      </c>
      <c r="Q173" s="8">
        <v>345</v>
      </c>
      <c r="R173" s="8">
        <v>341</v>
      </c>
      <c r="S173" s="8">
        <v>381</v>
      </c>
      <c r="T173" s="8">
        <v>30</v>
      </c>
      <c r="U173" s="15">
        <v>620.23076923076906</v>
      </c>
      <c r="V173" s="6" t="s">
        <v>1187</v>
      </c>
    </row>
    <row r="174" spans="1:22" ht="30" customHeight="1">
      <c r="A174" s="6" t="s">
        <v>697</v>
      </c>
      <c r="B174" s="6" t="s">
        <v>1188</v>
      </c>
      <c r="C174" s="6" t="s">
        <v>1189</v>
      </c>
      <c r="D174" s="6" t="s">
        <v>25</v>
      </c>
      <c r="E174" s="19" t="s">
        <v>700</v>
      </c>
      <c r="F174" s="6">
        <v>30</v>
      </c>
      <c r="G174" s="14">
        <v>360.538461538462</v>
      </c>
      <c r="H174" s="16">
        <v>303</v>
      </c>
      <c r="I174" s="8">
        <v>394</v>
      </c>
      <c r="J174" s="8">
        <v>377</v>
      </c>
      <c r="K174" s="8">
        <v>547</v>
      </c>
      <c r="L174" s="8">
        <v>697</v>
      </c>
      <c r="M174" s="8">
        <v>649</v>
      </c>
      <c r="N174" s="8">
        <v>498</v>
      </c>
      <c r="O174" s="8">
        <v>488</v>
      </c>
      <c r="P174" s="8">
        <v>278</v>
      </c>
      <c r="Q174" s="8">
        <v>279</v>
      </c>
      <c r="R174" s="8">
        <v>251</v>
      </c>
      <c r="S174" s="8">
        <v>286</v>
      </c>
      <c r="T174" s="8">
        <v>30</v>
      </c>
      <c r="U174" s="15">
        <v>390.538461538462</v>
      </c>
      <c r="V174" s="6" t="s">
        <v>1190</v>
      </c>
    </row>
    <row r="175" spans="1:22" ht="30" customHeight="1">
      <c r="A175" s="6" t="s">
        <v>697</v>
      </c>
      <c r="B175" s="6" t="s">
        <v>1191</v>
      </c>
      <c r="C175" s="6" t="s">
        <v>1192</v>
      </c>
      <c r="D175" s="6" t="s">
        <v>25</v>
      </c>
      <c r="E175" s="19" t="s">
        <v>700</v>
      </c>
      <c r="F175" s="6">
        <v>30</v>
      </c>
      <c r="G175" s="14">
        <v>818.46153846153902</v>
      </c>
      <c r="H175" s="16">
        <v>873</v>
      </c>
      <c r="I175" s="8">
        <v>939</v>
      </c>
      <c r="J175" s="8">
        <v>1087</v>
      </c>
      <c r="K175" s="8">
        <v>1213</v>
      </c>
      <c r="L175" s="8">
        <v>1370</v>
      </c>
      <c r="M175" s="8">
        <v>1217</v>
      </c>
      <c r="N175" s="8">
        <v>939</v>
      </c>
      <c r="O175" s="8">
        <v>834</v>
      </c>
      <c r="P175" s="8">
        <v>551</v>
      </c>
      <c r="Q175" s="8">
        <v>545</v>
      </c>
      <c r="R175" s="8">
        <v>664</v>
      </c>
      <c r="S175" s="8">
        <v>768</v>
      </c>
      <c r="T175" s="8">
        <v>30</v>
      </c>
      <c r="U175" s="15">
        <v>848.46153846153902</v>
      </c>
      <c r="V175" s="6" t="s">
        <v>1193</v>
      </c>
    </row>
    <row r="176" spans="1:22" ht="30" customHeight="1">
      <c r="A176" s="6" t="s">
        <v>697</v>
      </c>
      <c r="B176" s="6" t="s">
        <v>1194</v>
      </c>
      <c r="C176" s="6" t="s">
        <v>1195</v>
      </c>
      <c r="D176" s="6" t="s">
        <v>25</v>
      </c>
      <c r="E176" s="19" t="s">
        <v>700</v>
      </c>
      <c r="F176" s="6">
        <v>30</v>
      </c>
      <c r="G176" s="14">
        <v>548.23076923076906</v>
      </c>
      <c r="H176" s="16">
        <v>454</v>
      </c>
      <c r="I176" s="8">
        <v>482</v>
      </c>
      <c r="J176" s="8">
        <v>441</v>
      </c>
      <c r="K176" s="8">
        <v>529</v>
      </c>
      <c r="L176" s="8">
        <v>629</v>
      </c>
      <c r="M176" s="8">
        <v>789</v>
      </c>
      <c r="N176" s="8">
        <v>894</v>
      </c>
      <c r="O176" s="8">
        <v>878</v>
      </c>
      <c r="P176" s="8">
        <v>613</v>
      </c>
      <c r="Q176" s="8">
        <v>553</v>
      </c>
      <c r="R176" s="8">
        <v>623</v>
      </c>
      <c r="S176" s="8">
        <v>602</v>
      </c>
      <c r="T176" s="8">
        <v>30</v>
      </c>
      <c r="U176" s="15">
        <v>578.23076923076906</v>
      </c>
      <c r="V176" s="6" t="s">
        <v>1196</v>
      </c>
    </row>
    <row r="177" spans="1:22" ht="30" customHeight="1">
      <c r="A177" s="6" t="s">
        <v>697</v>
      </c>
      <c r="B177" s="6" t="s">
        <v>1197</v>
      </c>
      <c r="C177" s="6" t="s">
        <v>1198</v>
      </c>
      <c r="D177" s="6" t="s">
        <v>25</v>
      </c>
      <c r="E177" s="19" t="s">
        <v>700</v>
      </c>
      <c r="F177" s="6">
        <v>30</v>
      </c>
      <c r="G177" s="6">
        <v>35</v>
      </c>
      <c r="H177" s="16">
        <v>42</v>
      </c>
      <c r="I177" s="8">
        <v>43</v>
      </c>
      <c r="J177" s="8">
        <v>76</v>
      </c>
      <c r="K177" s="8">
        <v>120</v>
      </c>
      <c r="L177" s="8">
        <v>165</v>
      </c>
      <c r="M177" s="8">
        <v>118</v>
      </c>
      <c r="N177" s="8">
        <v>59</v>
      </c>
      <c r="O177" s="8">
        <v>48</v>
      </c>
      <c r="P177" s="8">
        <v>38</v>
      </c>
      <c r="Q177" s="8">
        <v>36</v>
      </c>
      <c r="R177" s="8">
        <v>33</v>
      </c>
      <c r="S177" s="8">
        <v>37</v>
      </c>
      <c r="T177" s="8">
        <v>30</v>
      </c>
      <c r="U177" s="15">
        <v>65</v>
      </c>
      <c r="V177" s="6" t="s">
        <v>1129</v>
      </c>
    </row>
    <row r="178" spans="1:22" ht="30" customHeight="1">
      <c r="A178" s="6" t="s">
        <v>697</v>
      </c>
      <c r="B178" s="6" t="s">
        <v>1199</v>
      </c>
      <c r="C178" s="6" t="s">
        <v>1200</v>
      </c>
      <c r="D178" s="6" t="s">
        <v>25</v>
      </c>
      <c r="E178" s="19" t="s">
        <v>704</v>
      </c>
      <c r="F178" s="6">
        <v>100</v>
      </c>
      <c r="G178" s="6">
        <v>664.38461538461502</v>
      </c>
      <c r="H178" s="16">
        <v>1030</v>
      </c>
      <c r="I178" s="8">
        <v>822</v>
      </c>
      <c r="J178" s="8">
        <v>850</v>
      </c>
      <c r="K178" s="8">
        <v>1204</v>
      </c>
      <c r="L178" s="8">
        <v>1619</v>
      </c>
      <c r="M178" s="8">
        <v>1283</v>
      </c>
      <c r="N178" s="8">
        <v>541</v>
      </c>
      <c r="O178" s="8">
        <v>528</v>
      </c>
      <c r="P178" s="8">
        <v>454</v>
      </c>
      <c r="Q178" s="8">
        <v>399</v>
      </c>
      <c r="R178" s="8">
        <v>567</v>
      </c>
      <c r="S178" s="8">
        <v>540</v>
      </c>
      <c r="T178" s="8">
        <v>100</v>
      </c>
      <c r="U178" s="15">
        <v>764.38461538461502</v>
      </c>
      <c r="V178" s="6" t="s">
        <v>1201</v>
      </c>
    </row>
    <row r="179" spans="1:22" ht="30" customHeight="1">
      <c r="A179" s="6" t="s">
        <v>697</v>
      </c>
      <c r="B179" s="6" t="s">
        <v>1202</v>
      </c>
      <c r="C179" s="6" t="s">
        <v>1203</v>
      </c>
      <c r="D179" s="6" t="s">
        <v>25</v>
      </c>
      <c r="E179" s="19" t="s">
        <v>704</v>
      </c>
      <c r="F179" s="6">
        <v>100</v>
      </c>
      <c r="G179" s="6">
        <v>15.384615384615399</v>
      </c>
      <c r="H179" s="16">
        <v>100</v>
      </c>
      <c r="I179" s="8">
        <v>100</v>
      </c>
      <c r="J179" s="8">
        <v>100</v>
      </c>
      <c r="K179" s="8">
        <v>200</v>
      </c>
      <c r="L179" s="8">
        <v>100</v>
      </c>
      <c r="M179" s="8">
        <v>100</v>
      </c>
      <c r="N179" s="8">
        <v>100</v>
      </c>
      <c r="O179" s="8">
        <v>100</v>
      </c>
      <c r="P179" s="8">
        <v>100</v>
      </c>
      <c r="Q179" s="8">
        <v>100</v>
      </c>
      <c r="R179" s="8">
        <v>200</v>
      </c>
      <c r="S179" s="8">
        <v>100</v>
      </c>
      <c r="T179" s="8">
        <v>100</v>
      </c>
      <c r="U179" s="15">
        <v>115.384615384615</v>
      </c>
      <c r="V179" s="6" t="s">
        <v>1204</v>
      </c>
    </row>
    <row r="180" spans="1:22" ht="30" customHeight="1">
      <c r="A180" s="6" t="s">
        <v>697</v>
      </c>
      <c r="B180" s="6" t="s">
        <v>1205</v>
      </c>
      <c r="C180" s="6" t="s">
        <v>1206</v>
      </c>
      <c r="D180" s="6" t="s">
        <v>25</v>
      </c>
      <c r="E180" s="19" t="s">
        <v>700</v>
      </c>
      <c r="F180" s="6">
        <v>30</v>
      </c>
      <c r="G180" s="14">
        <v>304.230769230769</v>
      </c>
      <c r="H180" s="16">
        <v>332</v>
      </c>
      <c r="I180" s="8">
        <v>495</v>
      </c>
      <c r="J180" s="8">
        <v>187</v>
      </c>
      <c r="K180" s="8">
        <v>483</v>
      </c>
      <c r="L180" s="8">
        <v>716</v>
      </c>
      <c r="M180" s="8">
        <v>645</v>
      </c>
      <c r="N180" s="8">
        <v>389</v>
      </c>
      <c r="O180" s="8">
        <v>262</v>
      </c>
      <c r="P180" s="8">
        <v>211</v>
      </c>
      <c r="Q180" s="8">
        <v>190</v>
      </c>
      <c r="R180" s="8">
        <v>208</v>
      </c>
      <c r="S180" s="8">
        <v>197</v>
      </c>
      <c r="T180" s="8">
        <v>30</v>
      </c>
      <c r="U180" s="15">
        <v>334.230769230769</v>
      </c>
      <c r="V180" s="6" t="s">
        <v>1207</v>
      </c>
    </row>
    <row r="181" spans="1:22" ht="30" customHeight="1">
      <c r="A181" s="6" t="s">
        <v>697</v>
      </c>
      <c r="B181" s="6" t="s">
        <v>1208</v>
      </c>
      <c r="C181" s="6" t="s">
        <v>1209</v>
      </c>
      <c r="D181" s="6" t="s">
        <v>25</v>
      </c>
      <c r="E181" s="19" t="s">
        <v>704</v>
      </c>
      <c r="F181" s="6">
        <v>100</v>
      </c>
      <c r="G181" s="14">
        <v>607.69230769230796</v>
      </c>
      <c r="H181" s="16">
        <v>661</v>
      </c>
      <c r="I181" s="8">
        <v>750</v>
      </c>
      <c r="J181" s="8">
        <v>633</v>
      </c>
      <c r="K181" s="8">
        <v>672</v>
      </c>
      <c r="L181" s="8">
        <v>1898</v>
      </c>
      <c r="M181" s="8">
        <v>679</v>
      </c>
      <c r="N181" s="8">
        <v>683</v>
      </c>
      <c r="O181" s="8">
        <v>1536</v>
      </c>
      <c r="P181" s="8">
        <v>403</v>
      </c>
      <c r="Q181" s="8">
        <v>388</v>
      </c>
      <c r="R181" s="8">
        <v>396</v>
      </c>
      <c r="S181" s="8">
        <v>401</v>
      </c>
      <c r="T181" s="8">
        <v>100</v>
      </c>
      <c r="U181" s="15">
        <v>707.69230769230796</v>
      </c>
      <c r="V181" s="6" t="s">
        <v>1210</v>
      </c>
    </row>
    <row r="182" spans="1:22" ht="30" customHeight="1">
      <c r="A182" s="6" t="s">
        <v>697</v>
      </c>
      <c r="B182" s="6" t="s">
        <v>1211</v>
      </c>
      <c r="C182" s="6" t="s">
        <v>1212</v>
      </c>
      <c r="D182" s="6" t="s">
        <v>25</v>
      </c>
      <c r="E182" s="19" t="s">
        <v>704</v>
      </c>
      <c r="F182" s="6">
        <v>100</v>
      </c>
      <c r="G182" s="6">
        <v>7.6923076923076898</v>
      </c>
      <c r="H182" s="16">
        <v>100</v>
      </c>
      <c r="I182" s="8">
        <v>200</v>
      </c>
      <c r="J182" s="8">
        <v>100</v>
      </c>
      <c r="K182" s="8">
        <v>100</v>
      </c>
      <c r="L182" s="8">
        <v>100</v>
      </c>
      <c r="M182" s="8">
        <v>100</v>
      </c>
      <c r="N182" s="8">
        <v>100</v>
      </c>
      <c r="O182" s="8">
        <v>100</v>
      </c>
      <c r="P182" s="8">
        <v>100</v>
      </c>
      <c r="Q182" s="8">
        <v>100</v>
      </c>
      <c r="R182" s="8">
        <v>100</v>
      </c>
      <c r="S182" s="8">
        <v>100</v>
      </c>
      <c r="T182" s="8">
        <v>100</v>
      </c>
      <c r="U182" s="15">
        <v>107.69230769230801</v>
      </c>
      <c r="V182" s="6" t="s">
        <v>1213</v>
      </c>
    </row>
    <row r="183" spans="1:22" ht="30" customHeight="1">
      <c r="A183" s="6" t="s">
        <v>697</v>
      </c>
      <c r="B183" s="6" t="s">
        <v>1214</v>
      </c>
      <c r="C183" s="6" t="s">
        <v>1215</v>
      </c>
      <c r="D183" s="6" t="s">
        <v>25</v>
      </c>
      <c r="E183" s="19" t="s">
        <v>704</v>
      </c>
      <c r="F183" s="6">
        <v>100</v>
      </c>
      <c r="G183" s="6">
        <v>1740.0769230769199</v>
      </c>
      <c r="H183" s="16">
        <v>1914</v>
      </c>
      <c r="I183" s="8">
        <v>1847</v>
      </c>
      <c r="J183" s="8">
        <v>2147</v>
      </c>
      <c r="K183" s="8">
        <v>2629</v>
      </c>
      <c r="L183" s="8">
        <v>2937</v>
      </c>
      <c r="M183" s="8">
        <v>2499</v>
      </c>
      <c r="N183" s="8">
        <v>1796</v>
      </c>
      <c r="O183" s="8">
        <v>1713</v>
      </c>
      <c r="P183" s="8">
        <v>1892</v>
      </c>
      <c r="Q183" s="8">
        <v>1422</v>
      </c>
      <c r="R183" s="8">
        <v>1601</v>
      </c>
      <c r="S183" s="8">
        <v>1424</v>
      </c>
      <c r="T183" s="8">
        <v>100</v>
      </c>
      <c r="U183" s="15">
        <v>1840.0769230769199</v>
      </c>
      <c r="V183" s="6" t="s">
        <v>964</v>
      </c>
    </row>
    <row r="184" spans="1:22" ht="30" customHeight="1">
      <c r="A184" s="6" t="s">
        <v>697</v>
      </c>
      <c r="B184" s="6" t="s">
        <v>1170</v>
      </c>
      <c r="C184" s="6" t="s">
        <v>1216</v>
      </c>
      <c r="D184" s="6" t="s">
        <v>25</v>
      </c>
      <c r="E184" s="19" t="s">
        <v>704</v>
      </c>
      <c r="F184" s="6">
        <v>100</v>
      </c>
      <c r="G184" s="6">
        <v>327.30769230769198</v>
      </c>
      <c r="H184" s="16">
        <v>100</v>
      </c>
      <c r="I184" s="8">
        <v>100</v>
      </c>
      <c r="J184" s="8">
        <v>100</v>
      </c>
      <c r="K184" s="8">
        <v>100</v>
      </c>
      <c r="L184" s="8">
        <v>100</v>
      </c>
      <c r="M184" s="8">
        <v>100</v>
      </c>
      <c r="N184" s="8">
        <v>1044</v>
      </c>
      <c r="O184" s="8">
        <v>930</v>
      </c>
      <c r="P184" s="8">
        <v>707</v>
      </c>
      <c r="Q184" s="8">
        <v>609</v>
      </c>
      <c r="R184" s="8">
        <v>742</v>
      </c>
      <c r="S184" s="8">
        <v>823</v>
      </c>
      <c r="T184" s="8">
        <v>100</v>
      </c>
      <c r="U184" s="15">
        <v>427.30769230769198</v>
      </c>
      <c r="V184" s="6" t="s">
        <v>1217</v>
      </c>
    </row>
    <row r="185" spans="1:22" ht="30" customHeight="1">
      <c r="A185" s="6" t="s">
        <v>697</v>
      </c>
      <c r="B185" s="6" t="s">
        <v>1218</v>
      </c>
      <c r="C185" s="6" t="s">
        <v>1219</v>
      </c>
      <c r="D185" s="6" t="s">
        <v>25</v>
      </c>
      <c r="E185" s="19" t="s">
        <v>704</v>
      </c>
      <c r="F185" s="6">
        <v>100</v>
      </c>
      <c r="G185" s="14">
        <v>2164.8461538461502</v>
      </c>
      <c r="H185" s="16">
        <v>2100</v>
      </c>
      <c r="I185" s="8">
        <v>2728</v>
      </c>
      <c r="J185" s="8">
        <v>2628</v>
      </c>
      <c r="K185" s="8">
        <v>3671</v>
      </c>
      <c r="L185" s="8">
        <v>4380</v>
      </c>
      <c r="M185" s="8">
        <v>3466</v>
      </c>
      <c r="N185" s="8">
        <v>2343</v>
      </c>
      <c r="O185" s="8">
        <v>2051</v>
      </c>
      <c r="P185" s="8">
        <v>1545</v>
      </c>
      <c r="Q185" s="8">
        <v>1383</v>
      </c>
      <c r="R185" s="8">
        <v>1562</v>
      </c>
      <c r="S185" s="8">
        <v>1486</v>
      </c>
      <c r="T185" s="8">
        <v>100</v>
      </c>
      <c r="U185" s="15">
        <v>2264.8461538461502</v>
      </c>
      <c r="V185" s="6" t="s">
        <v>1220</v>
      </c>
    </row>
    <row r="186" spans="1:22" ht="30" customHeight="1">
      <c r="A186" s="6" t="s">
        <v>697</v>
      </c>
      <c r="B186" s="6" t="s">
        <v>1221</v>
      </c>
      <c r="C186" s="6" t="s">
        <v>1222</v>
      </c>
      <c r="D186" s="6" t="s">
        <v>25</v>
      </c>
      <c r="E186" s="19" t="s">
        <v>704</v>
      </c>
      <c r="F186" s="6">
        <v>100</v>
      </c>
      <c r="G186" s="14">
        <v>1739.9230769230801</v>
      </c>
      <c r="H186" s="16">
        <v>2029</v>
      </c>
      <c r="I186" s="8">
        <v>2278</v>
      </c>
      <c r="J186" s="8">
        <v>2119</v>
      </c>
      <c r="K186" s="8">
        <v>3332</v>
      </c>
      <c r="L186" s="8">
        <v>3441</v>
      </c>
      <c r="M186" s="8">
        <v>2926</v>
      </c>
      <c r="N186" s="8">
        <v>1632</v>
      </c>
      <c r="O186" s="8">
        <v>1418</v>
      </c>
      <c r="P186" s="8">
        <v>1521</v>
      </c>
      <c r="Q186" s="8">
        <v>970</v>
      </c>
      <c r="R186" s="8">
        <v>1161</v>
      </c>
      <c r="S186" s="8">
        <v>992</v>
      </c>
      <c r="T186" s="8">
        <v>100</v>
      </c>
      <c r="U186" s="15">
        <v>1839.9230769230801</v>
      </c>
      <c r="V186" s="6" t="s">
        <v>1223</v>
      </c>
    </row>
    <row r="187" spans="1:22" ht="30" customHeight="1">
      <c r="A187" s="6" t="s">
        <v>697</v>
      </c>
      <c r="B187" s="6" t="s">
        <v>1224</v>
      </c>
      <c r="C187" s="6" t="s">
        <v>1225</v>
      </c>
      <c r="D187" s="6" t="s">
        <v>25</v>
      </c>
      <c r="E187" s="19" t="s">
        <v>704</v>
      </c>
      <c r="F187" s="6">
        <v>100</v>
      </c>
      <c r="G187" s="14">
        <v>1271.8461538461499</v>
      </c>
      <c r="H187" s="16">
        <v>1612</v>
      </c>
      <c r="I187" s="8">
        <v>2043</v>
      </c>
      <c r="J187" s="8">
        <v>1376</v>
      </c>
      <c r="K187" s="8">
        <v>2366</v>
      </c>
      <c r="L187" s="8">
        <v>2359</v>
      </c>
      <c r="M187" s="8">
        <v>1857</v>
      </c>
      <c r="N187" s="8">
        <v>1215</v>
      </c>
      <c r="O187" s="8">
        <v>1239</v>
      </c>
      <c r="P187" s="8">
        <v>828</v>
      </c>
      <c r="Q187" s="8">
        <v>771</v>
      </c>
      <c r="R187" s="8">
        <v>974</v>
      </c>
      <c r="S187" s="8">
        <v>1094</v>
      </c>
      <c r="T187" s="8">
        <v>100</v>
      </c>
      <c r="U187" s="15">
        <v>1371.8461538461499</v>
      </c>
      <c r="V187" s="6" t="s">
        <v>1226</v>
      </c>
    </row>
    <row r="188" spans="1:22" ht="30" customHeight="1">
      <c r="A188" s="6" t="s">
        <v>697</v>
      </c>
      <c r="B188" s="6" t="s">
        <v>1227</v>
      </c>
      <c r="C188" s="6" t="s">
        <v>1228</v>
      </c>
      <c r="D188" s="6" t="s">
        <v>25</v>
      </c>
      <c r="E188" s="19" t="s">
        <v>704</v>
      </c>
      <c r="F188" s="6">
        <v>100</v>
      </c>
      <c r="G188" s="14">
        <v>2719.3846153846198</v>
      </c>
      <c r="H188" s="16">
        <v>4185</v>
      </c>
      <c r="I188" s="8">
        <v>4048</v>
      </c>
      <c r="J188" s="8">
        <v>3089</v>
      </c>
      <c r="K188" s="8">
        <v>5433</v>
      </c>
      <c r="L188" s="8">
        <v>4763</v>
      </c>
      <c r="M188" s="8">
        <v>4124</v>
      </c>
      <c r="N188" s="8">
        <v>2325</v>
      </c>
      <c r="O188" s="8">
        <v>1826</v>
      </c>
      <c r="P188" s="8">
        <v>1754</v>
      </c>
      <c r="Q188" s="8">
        <v>1398</v>
      </c>
      <c r="R188" s="8">
        <v>1713</v>
      </c>
      <c r="S188" s="8">
        <v>1894</v>
      </c>
      <c r="T188" s="8">
        <v>100</v>
      </c>
      <c r="U188" s="15">
        <v>2819.3846153846198</v>
      </c>
      <c r="V188" s="6" t="s">
        <v>1229</v>
      </c>
    </row>
    <row r="189" spans="1:22" ht="30" customHeight="1">
      <c r="A189" s="6" t="s">
        <v>697</v>
      </c>
      <c r="B189" s="6" t="s">
        <v>1230</v>
      </c>
      <c r="C189" s="6" t="s">
        <v>1231</v>
      </c>
      <c r="D189" s="6" t="s">
        <v>25</v>
      </c>
      <c r="E189" s="19" t="s">
        <v>700</v>
      </c>
      <c r="F189" s="6">
        <v>30</v>
      </c>
      <c r="G189" s="14">
        <v>0</v>
      </c>
      <c r="H189" s="16">
        <v>30</v>
      </c>
      <c r="I189" s="8">
        <v>30</v>
      </c>
      <c r="J189" s="8">
        <v>30</v>
      </c>
      <c r="K189" s="8">
        <v>30</v>
      </c>
      <c r="L189" s="8">
        <v>30</v>
      </c>
      <c r="M189" s="8">
        <v>30</v>
      </c>
      <c r="N189" s="8">
        <v>30</v>
      </c>
      <c r="O189" s="8">
        <v>30</v>
      </c>
      <c r="P189" s="8">
        <v>30</v>
      </c>
      <c r="Q189" s="8">
        <v>30</v>
      </c>
      <c r="R189" s="8">
        <v>30</v>
      </c>
      <c r="S189" s="8">
        <v>30</v>
      </c>
      <c r="T189" s="8">
        <v>30</v>
      </c>
      <c r="U189" s="15">
        <v>30</v>
      </c>
      <c r="V189" s="6" t="s">
        <v>799</v>
      </c>
    </row>
    <row r="190" spans="1:22" ht="30" customHeight="1">
      <c r="A190" s="6" t="s">
        <v>697</v>
      </c>
      <c r="B190" s="6" t="s">
        <v>1232</v>
      </c>
      <c r="C190" s="6" t="s">
        <v>1233</v>
      </c>
      <c r="D190" s="6" t="s">
        <v>25</v>
      </c>
      <c r="E190" s="19" t="s">
        <v>704</v>
      </c>
      <c r="F190" s="6">
        <v>100</v>
      </c>
      <c r="G190" s="14">
        <v>1458.0769230769199</v>
      </c>
      <c r="H190" s="16">
        <v>2105</v>
      </c>
      <c r="I190" s="8">
        <v>2242</v>
      </c>
      <c r="J190" s="8">
        <v>1183</v>
      </c>
      <c r="K190" s="8">
        <v>1325</v>
      </c>
      <c r="L190" s="8">
        <v>3972</v>
      </c>
      <c r="M190" s="8">
        <v>2910</v>
      </c>
      <c r="N190" s="8">
        <v>1463</v>
      </c>
      <c r="O190" s="8">
        <v>1134</v>
      </c>
      <c r="P190" s="8">
        <v>1053</v>
      </c>
      <c r="Q190" s="8">
        <v>613</v>
      </c>
      <c r="R190" s="8">
        <v>1014</v>
      </c>
      <c r="S190" s="8">
        <v>1141</v>
      </c>
      <c r="T190" s="8">
        <v>100</v>
      </c>
      <c r="U190" s="15">
        <v>1558.0769230769199</v>
      </c>
      <c r="V190" s="6" t="s">
        <v>1234</v>
      </c>
    </row>
    <row r="191" spans="1:22" ht="30" customHeight="1">
      <c r="A191" s="6" t="s">
        <v>697</v>
      </c>
      <c r="B191" s="6" t="s">
        <v>1235</v>
      </c>
      <c r="C191" s="6" t="s">
        <v>1236</v>
      </c>
      <c r="D191" s="6" t="s">
        <v>25</v>
      </c>
      <c r="E191" s="19" t="s">
        <v>700</v>
      </c>
      <c r="F191" s="6">
        <v>30</v>
      </c>
      <c r="G191" s="14">
        <v>526.15392307692298</v>
      </c>
      <c r="H191" s="16">
        <v>600</v>
      </c>
      <c r="I191" s="8">
        <v>600</v>
      </c>
      <c r="J191" s="8">
        <v>600</v>
      </c>
      <c r="K191" s="8">
        <v>600</v>
      </c>
      <c r="L191" s="8">
        <v>600</v>
      </c>
      <c r="M191" s="8">
        <v>600</v>
      </c>
      <c r="N191" s="8">
        <v>600</v>
      </c>
      <c r="O191" s="8">
        <v>600</v>
      </c>
      <c r="P191" s="8">
        <v>600</v>
      </c>
      <c r="Q191" s="8">
        <v>600.00099999999998</v>
      </c>
      <c r="R191" s="8">
        <v>600</v>
      </c>
      <c r="S191" s="8">
        <v>600</v>
      </c>
      <c r="T191" s="8">
        <v>30</v>
      </c>
      <c r="U191" s="15">
        <v>556.15392307692298</v>
      </c>
      <c r="V191" s="6" t="s">
        <v>1113</v>
      </c>
    </row>
    <row r="192" spans="1:22" ht="30" customHeight="1">
      <c r="A192" s="6" t="s">
        <v>697</v>
      </c>
      <c r="B192" s="6" t="s">
        <v>1237</v>
      </c>
      <c r="C192" s="6" t="s">
        <v>1238</v>
      </c>
      <c r="D192" s="6" t="s">
        <v>25</v>
      </c>
      <c r="E192" s="19" t="s">
        <v>700</v>
      </c>
      <c r="F192" s="6">
        <v>30</v>
      </c>
      <c r="G192" s="14">
        <v>495.38461538461502</v>
      </c>
      <c r="H192" s="16">
        <v>189</v>
      </c>
      <c r="I192" s="8">
        <v>723</v>
      </c>
      <c r="J192" s="8">
        <v>724</v>
      </c>
      <c r="K192" s="8">
        <v>878</v>
      </c>
      <c r="L192" s="8">
        <v>1112</v>
      </c>
      <c r="M192" s="8">
        <v>817</v>
      </c>
      <c r="N192" s="8">
        <v>450</v>
      </c>
      <c r="O192" s="8">
        <v>360</v>
      </c>
      <c r="P192" s="8">
        <v>406</v>
      </c>
      <c r="Q192" s="8">
        <v>423</v>
      </c>
      <c r="R192" s="8">
        <v>384</v>
      </c>
      <c r="S192" s="8">
        <v>334</v>
      </c>
      <c r="T192" s="8">
        <v>30</v>
      </c>
      <c r="U192" s="15">
        <v>525.38461538461502</v>
      </c>
      <c r="V192" s="6" t="s">
        <v>1239</v>
      </c>
    </row>
    <row r="193" spans="1:22" ht="30" customHeight="1">
      <c r="A193" s="6" t="s">
        <v>697</v>
      </c>
      <c r="B193" s="6" t="s">
        <v>1240</v>
      </c>
      <c r="C193" s="6" t="s">
        <v>1241</v>
      </c>
      <c r="D193" s="6" t="s">
        <v>25</v>
      </c>
      <c r="E193" s="19" t="s">
        <v>704</v>
      </c>
      <c r="F193" s="6">
        <v>100</v>
      </c>
      <c r="G193" s="14">
        <v>878.23076923076906</v>
      </c>
      <c r="H193" s="16">
        <v>1092</v>
      </c>
      <c r="I193" s="8">
        <v>1185</v>
      </c>
      <c r="J193" s="8">
        <v>999</v>
      </c>
      <c r="K193" s="8">
        <v>1513</v>
      </c>
      <c r="L193" s="8">
        <v>1817</v>
      </c>
      <c r="M193" s="8">
        <v>1581</v>
      </c>
      <c r="N193" s="8">
        <v>1157</v>
      </c>
      <c r="O193" s="8">
        <v>798</v>
      </c>
      <c r="P193" s="8">
        <v>617</v>
      </c>
      <c r="Q193" s="8">
        <v>566</v>
      </c>
      <c r="R193" s="8">
        <v>625</v>
      </c>
      <c r="S193" s="8">
        <v>667</v>
      </c>
      <c r="T193" s="8">
        <v>100</v>
      </c>
      <c r="U193" s="15">
        <v>978.23076923076906</v>
      </c>
      <c r="V193" s="6" t="s">
        <v>1242</v>
      </c>
    </row>
    <row r="194" spans="1:22" ht="30" customHeight="1">
      <c r="A194" s="6" t="s">
        <v>697</v>
      </c>
      <c r="B194" s="6" t="s">
        <v>1243</v>
      </c>
      <c r="C194" s="6" t="s">
        <v>1244</v>
      </c>
      <c r="D194" s="6" t="s">
        <v>25</v>
      </c>
      <c r="E194" s="19" t="s">
        <v>704</v>
      </c>
      <c r="F194" s="6">
        <v>100</v>
      </c>
      <c r="G194" s="14">
        <v>101.92307692307701</v>
      </c>
      <c r="H194" s="16">
        <v>1009</v>
      </c>
      <c r="I194" s="8">
        <v>516</v>
      </c>
      <c r="J194" s="8">
        <v>100</v>
      </c>
      <c r="K194" s="8">
        <v>100</v>
      </c>
      <c r="L194" s="8">
        <v>100</v>
      </c>
      <c r="M194" s="8">
        <v>100</v>
      </c>
      <c r="N194" s="8">
        <v>100</v>
      </c>
      <c r="O194" s="8">
        <v>100</v>
      </c>
      <c r="P194" s="8">
        <v>100</v>
      </c>
      <c r="Q194" s="8">
        <v>100</v>
      </c>
      <c r="R194" s="8">
        <v>100</v>
      </c>
      <c r="S194" s="8">
        <v>100</v>
      </c>
      <c r="T194" s="8">
        <v>100</v>
      </c>
      <c r="U194" s="15">
        <v>201.92307692307699</v>
      </c>
      <c r="V194" s="6" t="s">
        <v>979</v>
      </c>
    </row>
    <row r="195" spans="1:22" ht="30" customHeight="1">
      <c r="A195" s="6" t="s">
        <v>697</v>
      </c>
      <c r="B195" s="6" t="s">
        <v>1245</v>
      </c>
      <c r="C195" s="6" t="s">
        <v>1246</v>
      </c>
      <c r="D195" s="6" t="s">
        <v>25</v>
      </c>
      <c r="E195" s="19" t="s">
        <v>704</v>
      </c>
      <c r="F195" s="6">
        <v>100</v>
      </c>
      <c r="G195" s="14">
        <v>0</v>
      </c>
      <c r="H195" s="16">
        <v>100</v>
      </c>
      <c r="I195" s="8">
        <v>100</v>
      </c>
      <c r="J195" s="8">
        <v>100</v>
      </c>
      <c r="K195" s="8">
        <v>100</v>
      </c>
      <c r="L195" s="8">
        <v>100</v>
      </c>
      <c r="M195" s="8">
        <v>100</v>
      </c>
      <c r="N195" s="8">
        <v>100</v>
      </c>
      <c r="O195" s="8">
        <v>100</v>
      </c>
      <c r="P195" s="8">
        <v>100</v>
      </c>
      <c r="Q195" s="8">
        <v>100</v>
      </c>
      <c r="R195" s="8">
        <v>100</v>
      </c>
      <c r="S195" s="8">
        <v>100</v>
      </c>
      <c r="T195" s="8">
        <v>100</v>
      </c>
      <c r="U195" s="15">
        <v>100</v>
      </c>
      <c r="V195" s="6" t="s">
        <v>1247</v>
      </c>
    </row>
    <row r="196" spans="1:22" ht="30" customHeight="1">
      <c r="A196" s="6" t="s">
        <v>697</v>
      </c>
      <c r="B196" s="6" t="s">
        <v>1248</v>
      </c>
      <c r="C196" s="6" t="s">
        <v>1249</v>
      </c>
      <c r="D196" s="6" t="s">
        <v>25</v>
      </c>
      <c r="E196" s="19" t="s">
        <v>704</v>
      </c>
      <c r="F196" s="6">
        <v>100</v>
      </c>
      <c r="G196" s="14">
        <v>945.38461538461604</v>
      </c>
      <c r="H196" s="16">
        <v>1371</v>
      </c>
      <c r="I196" s="8">
        <v>1477</v>
      </c>
      <c r="J196" s="8">
        <v>1092</v>
      </c>
      <c r="K196" s="8">
        <v>1572</v>
      </c>
      <c r="L196" s="8">
        <v>1813</v>
      </c>
      <c r="M196" s="8">
        <v>1682</v>
      </c>
      <c r="N196" s="8">
        <v>966</v>
      </c>
      <c r="O196" s="8">
        <v>748</v>
      </c>
      <c r="P196" s="8">
        <v>647</v>
      </c>
      <c r="Q196" s="8">
        <v>647</v>
      </c>
      <c r="R196" s="8">
        <v>639</v>
      </c>
      <c r="S196" s="8">
        <v>836</v>
      </c>
      <c r="T196" s="8">
        <v>100</v>
      </c>
      <c r="U196" s="15">
        <v>1045.38461538462</v>
      </c>
      <c r="V196" s="6" t="s">
        <v>1250</v>
      </c>
    </row>
    <row r="197" spans="1:22" ht="30" customHeight="1">
      <c r="A197" s="6" t="s">
        <v>697</v>
      </c>
      <c r="B197" s="6" t="s">
        <v>1251</v>
      </c>
      <c r="C197" s="6" t="s">
        <v>1252</v>
      </c>
      <c r="D197" s="6" t="s">
        <v>25</v>
      </c>
      <c r="E197" s="19" t="s">
        <v>704</v>
      </c>
      <c r="F197" s="6">
        <v>100</v>
      </c>
      <c r="G197" s="14">
        <v>399</v>
      </c>
      <c r="H197" s="16">
        <v>629</v>
      </c>
      <c r="I197" s="8">
        <v>627</v>
      </c>
      <c r="J197" s="8">
        <v>625</v>
      </c>
      <c r="K197" s="8">
        <v>978</v>
      </c>
      <c r="L197" s="8">
        <v>895</v>
      </c>
      <c r="M197" s="8">
        <v>740</v>
      </c>
      <c r="N197" s="8">
        <v>429</v>
      </c>
      <c r="O197" s="8">
        <v>327</v>
      </c>
      <c r="P197" s="8">
        <v>302</v>
      </c>
      <c r="Q197" s="8">
        <v>255</v>
      </c>
      <c r="R197" s="8">
        <v>281</v>
      </c>
      <c r="S197" s="8">
        <v>299</v>
      </c>
      <c r="T197" s="8">
        <v>100</v>
      </c>
      <c r="U197" s="15">
        <v>499</v>
      </c>
      <c r="V197" s="6" t="s">
        <v>1253</v>
      </c>
    </row>
    <row r="198" spans="1:22" ht="30" customHeight="1">
      <c r="A198" s="6" t="s">
        <v>697</v>
      </c>
      <c r="B198" s="6" t="s">
        <v>1254</v>
      </c>
      <c r="C198" s="6" t="s">
        <v>1255</v>
      </c>
      <c r="D198" s="6" t="s">
        <v>25</v>
      </c>
      <c r="E198" s="19" t="s">
        <v>704</v>
      </c>
      <c r="F198" s="6">
        <v>100</v>
      </c>
      <c r="G198" s="14">
        <v>220.07692307692301</v>
      </c>
      <c r="H198" s="16">
        <v>381</v>
      </c>
      <c r="I198" s="8">
        <v>440</v>
      </c>
      <c r="J198" s="8">
        <v>358</v>
      </c>
      <c r="K198" s="8">
        <v>351</v>
      </c>
      <c r="L198" s="8">
        <v>706</v>
      </c>
      <c r="M198" s="8">
        <v>606</v>
      </c>
      <c r="N198" s="8">
        <v>415</v>
      </c>
      <c r="O198" s="8">
        <v>404</v>
      </c>
      <c r="P198" s="8">
        <v>100</v>
      </c>
      <c r="Q198" s="8">
        <v>100</v>
      </c>
      <c r="R198" s="8">
        <v>100</v>
      </c>
      <c r="S198" s="8">
        <v>100</v>
      </c>
      <c r="T198" s="8">
        <v>100</v>
      </c>
      <c r="U198" s="15">
        <v>320.07692307692298</v>
      </c>
      <c r="V198" s="6" t="s">
        <v>1256</v>
      </c>
    </row>
    <row r="199" spans="1:22" ht="30" customHeight="1">
      <c r="A199" s="6" t="s">
        <v>697</v>
      </c>
      <c r="B199" s="6" t="s">
        <v>1170</v>
      </c>
      <c r="C199" s="6" t="s">
        <v>1257</v>
      </c>
      <c r="D199" s="6" t="s">
        <v>25</v>
      </c>
      <c r="E199" s="19" t="s">
        <v>700</v>
      </c>
      <c r="F199" s="6">
        <v>30</v>
      </c>
      <c r="G199" s="14">
        <v>116.07692307692299</v>
      </c>
      <c r="H199" s="16">
        <v>30</v>
      </c>
      <c r="I199" s="8">
        <v>30</v>
      </c>
      <c r="J199" s="8">
        <v>30</v>
      </c>
      <c r="K199" s="8">
        <v>30</v>
      </c>
      <c r="L199" s="8">
        <v>30</v>
      </c>
      <c r="M199" s="8">
        <v>30</v>
      </c>
      <c r="N199" s="8">
        <v>313</v>
      </c>
      <c r="O199" s="8">
        <v>379</v>
      </c>
      <c r="P199" s="8">
        <v>199</v>
      </c>
      <c r="Q199" s="8">
        <v>240</v>
      </c>
      <c r="R199" s="8">
        <v>272</v>
      </c>
      <c r="S199" s="8">
        <v>286</v>
      </c>
      <c r="T199" s="8">
        <v>30</v>
      </c>
      <c r="U199" s="15">
        <v>146.07692307692301</v>
      </c>
      <c r="V199" s="6" t="s">
        <v>1217</v>
      </c>
    </row>
    <row r="200" spans="1:22" ht="30" customHeight="1">
      <c r="A200" s="6" t="s">
        <v>697</v>
      </c>
      <c r="B200" s="6" t="s">
        <v>1258</v>
      </c>
      <c r="C200" s="6" t="s">
        <v>1259</v>
      </c>
      <c r="D200" s="6" t="s">
        <v>25</v>
      </c>
      <c r="E200" s="19" t="s">
        <v>704</v>
      </c>
      <c r="F200" s="6">
        <v>100</v>
      </c>
      <c r="G200" s="14">
        <v>5689.6153846153902</v>
      </c>
      <c r="H200" s="16">
        <v>8089</v>
      </c>
      <c r="I200" s="8">
        <v>5261</v>
      </c>
      <c r="J200" s="8">
        <v>1667</v>
      </c>
      <c r="K200" s="8">
        <v>9258</v>
      </c>
      <c r="L200" s="8">
        <v>10578</v>
      </c>
      <c r="M200" s="8">
        <v>10229</v>
      </c>
      <c r="N200" s="8">
        <v>6593</v>
      </c>
      <c r="O200" s="8">
        <v>4948</v>
      </c>
      <c r="P200" s="8">
        <v>4047</v>
      </c>
      <c r="Q200" s="8">
        <v>3658</v>
      </c>
      <c r="R200" s="8">
        <v>5105</v>
      </c>
      <c r="S200" s="8">
        <v>5732</v>
      </c>
      <c r="T200" s="8">
        <v>100</v>
      </c>
      <c r="U200" s="15">
        <v>5789.6153846153902</v>
      </c>
      <c r="V200" s="6" t="s">
        <v>1260</v>
      </c>
    </row>
    <row r="201" spans="1:22" ht="30" customHeight="1">
      <c r="A201" s="6" t="s">
        <v>697</v>
      </c>
      <c r="B201" s="6" t="s">
        <v>1261</v>
      </c>
      <c r="C201" s="6" t="s">
        <v>1262</v>
      </c>
      <c r="D201" s="6" t="s">
        <v>25</v>
      </c>
      <c r="E201" s="19" t="s">
        <v>704</v>
      </c>
      <c r="F201" s="6">
        <v>100</v>
      </c>
      <c r="G201" s="14">
        <v>1067.76923076923</v>
      </c>
      <c r="H201" s="16">
        <v>1729</v>
      </c>
      <c r="I201" s="8">
        <v>1785</v>
      </c>
      <c r="J201" s="8">
        <v>246</v>
      </c>
      <c r="K201" s="8">
        <v>1900</v>
      </c>
      <c r="L201" s="8">
        <v>2809</v>
      </c>
      <c r="M201" s="8">
        <v>2114</v>
      </c>
      <c r="N201" s="8">
        <v>1086</v>
      </c>
      <c r="O201" s="8">
        <v>762</v>
      </c>
      <c r="P201" s="8">
        <v>752</v>
      </c>
      <c r="Q201" s="8">
        <v>454</v>
      </c>
      <c r="R201" s="8">
        <v>654</v>
      </c>
      <c r="S201" s="8">
        <v>790</v>
      </c>
      <c r="T201" s="8">
        <v>100</v>
      </c>
      <c r="U201" s="15">
        <v>1167.76923076923</v>
      </c>
      <c r="V201" s="6" t="s">
        <v>1263</v>
      </c>
    </row>
    <row r="202" spans="1:22" ht="30" customHeight="1">
      <c r="A202" s="6" t="s">
        <v>697</v>
      </c>
      <c r="B202" s="6" t="s">
        <v>1264</v>
      </c>
      <c r="C202" s="6" t="s">
        <v>1265</v>
      </c>
      <c r="D202" s="6" t="s">
        <v>25</v>
      </c>
      <c r="E202" s="19" t="s">
        <v>704</v>
      </c>
      <c r="F202" s="6">
        <v>100</v>
      </c>
      <c r="G202" s="14">
        <v>1401.0769230769199</v>
      </c>
      <c r="H202" s="16">
        <v>1340</v>
      </c>
      <c r="I202" s="8">
        <v>1810</v>
      </c>
      <c r="J202" s="8">
        <v>1778</v>
      </c>
      <c r="K202" s="8">
        <v>2971</v>
      </c>
      <c r="L202" s="8">
        <v>3268</v>
      </c>
      <c r="M202" s="8">
        <v>2463</v>
      </c>
      <c r="N202" s="8">
        <v>1197</v>
      </c>
      <c r="O202" s="8">
        <v>985</v>
      </c>
      <c r="P202" s="8">
        <v>965</v>
      </c>
      <c r="Q202" s="8">
        <v>833</v>
      </c>
      <c r="R202" s="8">
        <v>925</v>
      </c>
      <c r="S202" s="8">
        <v>879</v>
      </c>
      <c r="T202" s="8">
        <v>100</v>
      </c>
      <c r="U202" s="15">
        <v>1501.0769230769199</v>
      </c>
      <c r="V202" s="6" t="s">
        <v>1226</v>
      </c>
    </row>
    <row r="203" spans="1:22" ht="30" customHeight="1">
      <c r="A203" s="6" t="s">
        <v>697</v>
      </c>
      <c r="B203" s="6" t="s">
        <v>1266</v>
      </c>
      <c r="C203" s="6" t="s">
        <v>1267</v>
      </c>
      <c r="D203" s="6" t="s">
        <v>25</v>
      </c>
      <c r="E203" s="19" t="s">
        <v>700</v>
      </c>
      <c r="F203" s="6">
        <v>30</v>
      </c>
      <c r="G203" s="14">
        <v>341.538461538462</v>
      </c>
      <c r="H203" s="16">
        <v>400</v>
      </c>
      <c r="I203" s="8">
        <v>400</v>
      </c>
      <c r="J203" s="8">
        <v>400</v>
      </c>
      <c r="K203" s="8">
        <v>400</v>
      </c>
      <c r="L203" s="8">
        <v>400</v>
      </c>
      <c r="M203" s="8">
        <v>400</v>
      </c>
      <c r="N203" s="8">
        <v>400</v>
      </c>
      <c r="O203" s="8">
        <v>400</v>
      </c>
      <c r="P203" s="8">
        <v>400</v>
      </c>
      <c r="Q203" s="8">
        <v>400</v>
      </c>
      <c r="R203" s="8">
        <v>400</v>
      </c>
      <c r="S203" s="8">
        <v>400</v>
      </c>
      <c r="T203" s="8">
        <v>30</v>
      </c>
      <c r="U203" s="15">
        <v>371.538461538462</v>
      </c>
      <c r="V203" s="6" t="s">
        <v>1092</v>
      </c>
    </row>
    <row r="204" spans="1:22" ht="30" customHeight="1">
      <c r="A204" s="6" t="s">
        <v>697</v>
      </c>
      <c r="B204" s="6" t="s">
        <v>1268</v>
      </c>
      <c r="C204" s="6" t="s">
        <v>1269</v>
      </c>
      <c r="D204" s="6" t="s">
        <v>25</v>
      </c>
      <c r="E204" s="19" t="s">
        <v>704</v>
      </c>
      <c r="F204" s="6">
        <v>100</v>
      </c>
      <c r="G204" s="14">
        <v>1735.1538461538501</v>
      </c>
      <c r="H204" s="16">
        <v>1983</v>
      </c>
      <c r="I204" s="8">
        <v>2056</v>
      </c>
      <c r="J204" s="8">
        <v>2052</v>
      </c>
      <c r="K204" s="8">
        <v>3267</v>
      </c>
      <c r="L204" s="8">
        <v>3303</v>
      </c>
      <c r="M204" s="8">
        <v>2542</v>
      </c>
      <c r="N204" s="8">
        <v>1584</v>
      </c>
      <c r="O204" s="8">
        <v>1255</v>
      </c>
      <c r="P204" s="8">
        <v>1632</v>
      </c>
      <c r="Q204" s="8">
        <v>1453</v>
      </c>
      <c r="R204" s="8">
        <v>1397</v>
      </c>
      <c r="S204" s="8">
        <v>1233</v>
      </c>
      <c r="T204" s="8">
        <v>100</v>
      </c>
      <c r="U204" s="15">
        <v>1835.1538461538501</v>
      </c>
      <c r="V204" s="6" t="s">
        <v>1270</v>
      </c>
    </row>
    <row r="205" spans="1:22" ht="30" customHeight="1">
      <c r="A205" s="6" t="s">
        <v>697</v>
      </c>
      <c r="B205" s="6" t="s">
        <v>1271</v>
      </c>
      <c r="C205" s="6" t="s">
        <v>1272</v>
      </c>
      <c r="D205" s="6" t="s">
        <v>25</v>
      </c>
      <c r="E205" s="19" t="s">
        <v>704</v>
      </c>
      <c r="F205" s="6">
        <v>100</v>
      </c>
      <c r="G205" s="14">
        <v>579.23076923076906</v>
      </c>
      <c r="H205" s="16">
        <v>667</v>
      </c>
      <c r="I205" s="8">
        <v>715</v>
      </c>
      <c r="J205" s="8">
        <v>628</v>
      </c>
      <c r="K205" s="8">
        <v>760</v>
      </c>
      <c r="L205" s="8">
        <v>617</v>
      </c>
      <c r="M205" s="8">
        <v>622</v>
      </c>
      <c r="N205" s="8">
        <v>751</v>
      </c>
      <c r="O205" s="8">
        <v>1061</v>
      </c>
      <c r="P205" s="8">
        <v>100</v>
      </c>
      <c r="Q205" s="8">
        <v>1456</v>
      </c>
      <c r="R205" s="8">
        <v>729</v>
      </c>
      <c r="S205" s="8">
        <v>624</v>
      </c>
      <c r="T205" s="8">
        <v>100</v>
      </c>
      <c r="U205" s="15">
        <v>679.23076923076906</v>
      </c>
      <c r="V205" s="6" t="s">
        <v>701</v>
      </c>
    </row>
    <row r="206" spans="1:22" ht="30" customHeight="1">
      <c r="A206" s="6" t="s">
        <v>697</v>
      </c>
      <c r="B206" s="6" t="s">
        <v>1273</v>
      </c>
      <c r="C206" s="6" t="s">
        <v>1274</v>
      </c>
      <c r="D206" s="6" t="s">
        <v>25</v>
      </c>
      <c r="E206" s="19" t="s">
        <v>700</v>
      </c>
      <c r="F206" s="6">
        <v>30</v>
      </c>
      <c r="G206" s="14">
        <v>43.153846153846203</v>
      </c>
      <c r="H206" s="16">
        <v>56</v>
      </c>
      <c r="I206" s="8">
        <v>92</v>
      </c>
      <c r="J206" s="8">
        <v>84</v>
      </c>
      <c r="K206" s="8">
        <v>132</v>
      </c>
      <c r="L206" s="8">
        <v>166</v>
      </c>
      <c r="M206" s="8">
        <v>140</v>
      </c>
      <c r="N206" s="8">
        <v>74</v>
      </c>
      <c r="O206" s="8">
        <v>57</v>
      </c>
      <c r="P206" s="8">
        <v>30</v>
      </c>
      <c r="Q206" s="8">
        <v>30</v>
      </c>
      <c r="R206" s="8">
        <v>30</v>
      </c>
      <c r="S206" s="8">
        <v>30</v>
      </c>
      <c r="T206" s="8">
        <v>30</v>
      </c>
      <c r="U206" s="15">
        <v>73.153846153846203</v>
      </c>
      <c r="V206" s="6" t="s">
        <v>1275</v>
      </c>
    </row>
    <row r="207" spans="1:22" ht="30" customHeight="1">
      <c r="A207" s="6" t="s">
        <v>697</v>
      </c>
      <c r="B207" s="6" t="s">
        <v>1276</v>
      </c>
      <c r="C207" s="6" t="s">
        <v>1277</v>
      </c>
      <c r="D207" s="6" t="s">
        <v>25</v>
      </c>
      <c r="E207" s="19" t="s">
        <v>700</v>
      </c>
      <c r="F207" s="6">
        <v>30</v>
      </c>
      <c r="G207" s="14">
        <v>139.61538461538501</v>
      </c>
      <c r="H207" s="16">
        <v>197</v>
      </c>
      <c r="I207" s="8">
        <v>216</v>
      </c>
      <c r="J207" s="8">
        <v>193</v>
      </c>
      <c r="K207" s="8">
        <v>188</v>
      </c>
      <c r="L207" s="8">
        <v>206</v>
      </c>
      <c r="M207" s="8">
        <v>198</v>
      </c>
      <c r="N207" s="8">
        <v>175</v>
      </c>
      <c r="O207" s="8">
        <v>206</v>
      </c>
      <c r="P207" s="8">
        <v>158</v>
      </c>
      <c r="Q207" s="8">
        <v>134</v>
      </c>
      <c r="R207" s="8">
        <v>149</v>
      </c>
      <c r="S207" s="8">
        <v>155</v>
      </c>
      <c r="T207" s="8">
        <v>30</v>
      </c>
      <c r="U207" s="15">
        <v>169.61538461538501</v>
      </c>
      <c r="V207" s="6" t="s">
        <v>1275</v>
      </c>
    </row>
    <row r="208" spans="1:22" ht="30" customHeight="1">
      <c r="A208" s="6" t="s">
        <v>697</v>
      </c>
      <c r="B208" s="6" t="s">
        <v>1278</v>
      </c>
      <c r="C208" s="6" t="s">
        <v>1279</v>
      </c>
      <c r="D208" s="6" t="s">
        <v>25</v>
      </c>
      <c r="E208" s="19" t="s">
        <v>700</v>
      </c>
      <c r="F208" s="6">
        <v>30</v>
      </c>
      <c r="G208" s="14">
        <v>2.3076923076923102</v>
      </c>
      <c r="H208" s="16">
        <v>30</v>
      </c>
      <c r="I208" s="8">
        <v>30</v>
      </c>
      <c r="J208" s="8">
        <v>30</v>
      </c>
      <c r="K208" s="8">
        <v>30</v>
      </c>
      <c r="L208" s="8">
        <v>30</v>
      </c>
      <c r="M208" s="8">
        <v>30</v>
      </c>
      <c r="N208" s="8">
        <v>30</v>
      </c>
      <c r="O208" s="8">
        <v>30</v>
      </c>
      <c r="P208" s="8">
        <v>60</v>
      </c>
      <c r="Q208" s="8">
        <v>30</v>
      </c>
      <c r="R208" s="8">
        <v>30</v>
      </c>
      <c r="S208" s="8">
        <v>30</v>
      </c>
      <c r="T208" s="8">
        <v>30</v>
      </c>
      <c r="U208" s="15">
        <v>32.307692307692299</v>
      </c>
      <c r="V208" s="6" t="s">
        <v>1280</v>
      </c>
    </row>
    <row r="209" spans="1:22" ht="30" customHeight="1">
      <c r="A209" s="6" t="s">
        <v>697</v>
      </c>
      <c r="B209" s="6" t="s">
        <v>1281</v>
      </c>
      <c r="C209" s="6" t="s">
        <v>1282</v>
      </c>
      <c r="D209" s="6" t="s">
        <v>25</v>
      </c>
      <c r="E209" s="19" t="s">
        <v>700</v>
      </c>
      <c r="F209" s="6">
        <v>30</v>
      </c>
      <c r="G209" s="14">
        <v>2.3076923076923102</v>
      </c>
      <c r="H209" s="16">
        <v>30</v>
      </c>
      <c r="I209" s="8">
        <v>30</v>
      </c>
      <c r="J209" s="8">
        <v>30</v>
      </c>
      <c r="K209" s="8">
        <v>30</v>
      </c>
      <c r="L209" s="8">
        <v>30</v>
      </c>
      <c r="M209" s="8">
        <v>30</v>
      </c>
      <c r="N209" s="8">
        <v>30</v>
      </c>
      <c r="O209" s="8">
        <v>30</v>
      </c>
      <c r="P209" s="8">
        <v>60</v>
      </c>
      <c r="Q209" s="8">
        <v>30</v>
      </c>
      <c r="R209" s="8">
        <v>30</v>
      </c>
      <c r="S209" s="8">
        <v>30</v>
      </c>
      <c r="T209" s="8">
        <v>30</v>
      </c>
      <c r="U209" s="15">
        <v>32.307692307692299</v>
      </c>
      <c r="V209" s="6" t="s">
        <v>1283</v>
      </c>
    </row>
    <row r="210" spans="1:22" ht="30" customHeight="1">
      <c r="A210" s="6" t="s">
        <v>697</v>
      </c>
      <c r="B210" s="6" t="s">
        <v>1284</v>
      </c>
      <c r="C210" s="6" t="s">
        <v>1285</v>
      </c>
      <c r="D210" s="6" t="s">
        <v>25</v>
      </c>
      <c r="E210" s="19" t="s">
        <v>700</v>
      </c>
      <c r="F210" s="6">
        <v>30</v>
      </c>
      <c r="G210" s="14">
        <v>2.3076923076923102</v>
      </c>
      <c r="H210" s="16">
        <v>30</v>
      </c>
      <c r="I210" s="8">
        <v>30</v>
      </c>
      <c r="J210" s="8">
        <v>30</v>
      </c>
      <c r="K210" s="8">
        <v>30</v>
      </c>
      <c r="L210" s="8">
        <v>30</v>
      </c>
      <c r="M210" s="8">
        <v>30</v>
      </c>
      <c r="N210" s="8">
        <v>30</v>
      </c>
      <c r="O210" s="8">
        <v>30</v>
      </c>
      <c r="P210" s="8">
        <v>60</v>
      </c>
      <c r="Q210" s="8">
        <v>30</v>
      </c>
      <c r="R210" s="8">
        <v>30</v>
      </c>
      <c r="S210" s="8">
        <v>30</v>
      </c>
      <c r="T210" s="8">
        <v>30</v>
      </c>
      <c r="U210" s="15">
        <v>32.307692307692299</v>
      </c>
      <c r="V210" s="6" t="s">
        <v>1286</v>
      </c>
    </row>
    <row r="211" spans="1:22" ht="30" customHeight="1">
      <c r="A211" s="6" t="s">
        <v>697</v>
      </c>
      <c r="B211" s="6" t="s">
        <v>1287</v>
      </c>
      <c r="C211" s="6" t="s">
        <v>1288</v>
      </c>
      <c r="D211" s="6" t="s">
        <v>25</v>
      </c>
      <c r="E211" s="19" t="s">
        <v>700</v>
      </c>
      <c r="F211" s="6">
        <v>30</v>
      </c>
      <c r="G211" s="14">
        <v>2.3076923076923102</v>
      </c>
      <c r="H211" s="16">
        <v>30</v>
      </c>
      <c r="I211" s="8">
        <v>30</v>
      </c>
      <c r="J211" s="8">
        <v>30</v>
      </c>
      <c r="K211" s="8">
        <v>30</v>
      </c>
      <c r="L211" s="8">
        <v>30</v>
      </c>
      <c r="M211" s="8">
        <v>30</v>
      </c>
      <c r="N211" s="8">
        <v>30</v>
      </c>
      <c r="O211" s="8">
        <v>30</v>
      </c>
      <c r="P211" s="8">
        <v>60</v>
      </c>
      <c r="Q211" s="8">
        <v>30</v>
      </c>
      <c r="R211" s="8">
        <v>30</v>
      </c>
      <c r="S211" s="8">
        <v>30</v>
      </c>
      <c r="T211" s="8">
        <v>30</v>
      </c>
      <c r="U211" s="15">
        <v>32.307692307692299</v>
      </c>
      <c r="V211" s="6" t="s">
        <v>1289</v>
      </c>
    </row>
    <row r="212" spans="1:22" ht="30" customHeight="1">
      <c r="A212" s="6" t="s">
        <v>697</v>
      </c>
      <c r="B212" s="6" t="s">
        <v>1290</v>
      </c>
      <c r="C212" s="6" t="s">
        <v>1291</v>
      </c>
      <c r="D212" s="6" t="s">
        <v>25</v>
      </c>
      <c r="E212" s="19" t="s">
        <v>700</v>
      </c>
      <c r="F212" s="6">
        <v>30</v>
      </c>
      <c r="G212" s="14">
        <v>2.3076923076923102</v>
      </c>
      <c r="H212" s="16">
        <v>30</v>
      </c>
      <c r="I212" s="8">
        <v>30</v>
      </c>
      <c r="J212" s="8">
        <v>30</v>
      </c>
      <c r="K212" s="8">
        <v>30</v>
      </c>
      <c r="L212" s="8">
        <v>30</v>
      </c>
      <c r="M212" s="8">
        <v>30</v>
      </c>
      <c r="N212" s="8">
        <v>30</v>
      </c>
      <c r="O212" s="8">
        <v>30</v>
      </c>
      <c r="P212" s="8">
        <v>60</v>
      </c>
      <c r="Q212" s="8">
        <v>30</v>
      </c>
      <c r="R212" s="8">
        <v>30</v>
      </c>
      <c r="S212" s="8">
        <v>30</v>
      </c>
      <c r="T212" s="8">
        <v>30</v>
      </c>
      <c r="U212" s="15">
        <v>32.307692307692299</v>
      </c>
      <c r="V212" s="6" t="s">
        <v>1292</v>
      </c>
    </row>
    <row r="213" spans="1:22" ht="30" customHeight="1">
      <c r="A213" s="6" t="s">
        <v>697</v>
      </c>
      <c r="B213" s="6" t="s">
        <v>1293</v>
      </c>
      <c r="C213" s="6" t="s">
        <v>1294</v>
      </c>
      <c r="D213" s="6" t="s">
        <v>25</v>
      </c>
      <c r="E213" s="19" t="s">
        <v>700</v>
      </c>
      <c r="F213" s="6">
        <v>30</v>
      </c>
      <c r="G213" s="14">
        <v>2.3076923076923102</v>
      </c>
      <c r="H213" s="16">
        <v>30</v>
      </c>
      <c r="I213" s="8">
        <v>30</v>
      </c>
      <c r="J213" s="8">
        <v>30</v>
      </c>
      <c r="K213" s="8">
        <v>30</v>
      </c>
      <c r="L213" s="8">
        <v>30</v>
      </c>
      <c r="M213" s="8">
        <v>30</v>
      </c>
      <c r="N213" s="8">
        <v>30</v>
      </c>
      <c r="O213" s="8">
        <v>30</v>
      </c>
      <c r="P213" s="8">
        <v>60</v>
      </c>
      <c r="Q213" s="8">
        <v>30</v>
      </c>
      <c r="R213" s="8">
        <v>30</v>
      </c>
      <c r="S213" s="8">
        <v>30</v>
      </c>
      <c r="T213" s="8">
        <v>30</v>
      </c>
      <c r="U213" s="15">
        <v>32.307692307692299</v>
      </c>
      <c r="V213" s="6" t="s">
        <v>1295</v>
      </c>
    </row>
    <row r="214" spans="1:22" ht="30" customHeight="1">
      <c r="A214" s="6" t="s">
        <v>697</v>
      </c>
      <c r="B214" s="6" t="s">
        <v>1296</v>
      </c>
      <c r="C214" s="6" t="s">
        <v>1297</v>
      </c>
      <c r="D214" s="6" t="s">
        <v>25</v>
      </c>
      <c r="E214" s="19" t="s">
        <v>700</v>
      </c>
      <c r="F214" s="6">
        <v>30</v>
      </c>
      <c r="G214" s="14">
        <v>2.3076923076923102</v>
      </c>
      <c r="H214" s="16">
        <v>30</v>
      </c>
      <c r="I214" s="8">
        <v>30</v>
      </c>
      <c r="J214" s="8">
        <v>30</v>
      </c>
      <c r="K214" s="8">
        <v>30</v>
      </c>
      <c r="L214" s="8">
        <v>30</v>
      </c>
      <c r="M214" s="8">
        <v>30</v>
      </c>
      <c r="N214" s="8">
        <v>30</v>
      </c>
      <c r="O214" s="8">
        <v>30</v>
      </c>
      <c r="P214" s="8">
        <v>60</v>
      </c>
      <c r="Q214" s="8">
        <v>30</v>
      </c>
      <c r="R214" s="8">
        <v>30</v>
      </c>
      <c r="S214" s="8">
        <v>30</v>
      </c>
      <c r="T214" s="8">
        <v>30</v>
      </c>
      <c r="U214" s="15">
        <v>32.307692307692299</v>
      </c>
      <c r="V214" s="6" t="s">
        <v>1298</v>
      </c>
    </row>
    <row r="215" spans="1:22" ht="30" customHeight="1">
      <c r="A215" s="6" t="s">
        <v>697</v>
      </c>
      <c r="B215" s="6" t="s">
        <v>1299</v>
      </c>
      <c r="C215" s="6" t="s">
        <v>1300</v>
      </c>
      <c r="D215" s="6" t="s">
        <v>25</v>
      </c>
      <c r="E215" s="19" t="s">
        <v>700</v>
      </c>
      <c r="F215" s="6">
        <v>30</v>
      </c>
      <c r="G215" s="6">
        <v>2.3076923076923102</v>
      </c>
      <c r="H215" s="16">
        <v>30</v>
      </c>
      <c r="I215" s="8">
        <v>30</v>
      </c>
      <c r="J215" s="8">
        <v>30</v>
      </c>
      <c r="K215" s="8">
        <v>30</v>
      </c>
      <c r="L215" s="8">
        <v>30</v>
      </c>
      <c r="M215" s="8">
        <v>30</v>
      </c>
      <c r="N215" s="8">
        <v>30</v>
      </c>
      <c r="O215" s="8">
        <v>30</v>
      </c>
      <c r="P215" s="8">
        <v>60</v>
      </c>
      <c r="Q215" s="8">
        <v>30</v>
      </c>
      <c r="R215" s="8">
        <v>30</v>
      </c>
      <c r="S215" s="8">
        <v>30</v>
      </c>
      <c r="T215" s="8">
        <v>30</v>
      </c>
      <c r="U215" s="15">
        <v>32.307692307692299</v>
      </c>
      <c r="V215" s="6" t="s">
        <v>1301</v>
      </c>
    </row>
    <row r="216" spans="1:22" ht="30" customHeight="1">
      <c r="A216" s="6" t="s">
        <v>697</v>
      </c>
      <c r="B216" s="6" t="s">
        <v>1302</v>
      </c>
      <c r="C216" s="6" t="s">
        <v>1303</v>
      </c>
      <c r="D216" s="6" t="s">
        <v>25</v>
      </c>
      <c r="E216" s="19" t="s">
        <v>700</v>
      </c>
      <c r="F216" s="6">
        <v>30</v>
      </c>
      <c r="G216" s="14">
        <v>2.3076923076923102</v>
      </c>
      <c r="H216" s="16">
        <v>30</v>
      </c>
      <c r="I216" s="8">
        <v>30</v>
      </c>
      <c r="J216" s="8">
        <v>30</v>
      </c>
      <c r="K216" s="8">
        <v>30</v>
      </c>
      <c r="L216" s="8">
        <v>30</v>
      </c>
      <c r="M216" s="8">
        <v>30</v>
      </c>
      <c r="N216" s="8">
        <v>30</v>
      </c>
      <c r="O216" s="8">
        <v>30</v>
      </c>
      <c r="P216" s="8">
        <v>60</v>
      </c>
      <c r="Q216" s="8">
        <v>30</v>
      </c>
      <c r="R216" s="8">
        <v>30</v>
      </c>
      <c r="S216" s="8">
        <v>30</v>
      </c>
      <c r="T216" s="8">
        <v>30</v>
      </c>
      <c r="U216" s="15">
        <v>32.307692307692299</v>
      </c>
      <c r="V216" s="6" t="s">
        <v>1292</v>
      </c>
    </row>
    <row r="217" spans="1:22" ht="30" customHeight="1">
      <c r="A217" s="6" t="s">
        <v>697</v>
      </c>
      <c r="B217" s="6" t="s">
        <v>1304</v>
      </c>
      <c r="C217" s="6" t="s">
        <v>1305</v>
      </c>
      <c r="D217" s="6" t="s">
        <v>25</v>
      </c>
      <c r="E217" s="19" t="s">
        <v>700</v>
      </c>
      <c r="F217" s="6">
        <v>30</v>
      </c>
      <c r="G217" s="14">
        <v>2.3076923076923102</v>
      </c>
      <c r="H217" s="16">
        <v>30</v>
      </c>
      <c r="I217" s="8">
        <v>30</v>
      </c>
      <c r="J217" s="8">
        <v>30</v>
      </c>
      <c r="K217" s="8">
        <v>30</v>
      </c>
      <c r="L217" s="8">
        <v>30</v>
      </c>
      <c r="M217" s="8">
        <v>30</v>
      </c>
      <c r="N217" s="8">
        <v>30</v>
      </c>
      <c r="O217" s="8">
        <v>30</v>
      </c>
      <c r="P217" s="8">
        <v>60</v>
      </c>
      <c r="Q217" s="8">
        <v>30</v>
      </c>
      <c r="R217" s="8">
        <v>30</v>
      </c>
      <c r="S217" s="8">
        <v>30</v>
      </c>
      <c r="T217" s="8">
        <v>30</v>
      </c>
      <c r="U217" s="15">
        <v>32.307692307692299</v>
      </c>
      <c r="V217" s="6" t="s">
        <v>1306</v>
      </c>
    </row>
    <row r="218" spans="1:22" ht="30" customHeight="1">
      <c r="A218" s="6" t="s">
        <v>697</v>
      </c>
      <c r="B218" s="6" t="s">
        <v>1307</v>
      </c>
      <c r="C218" s="6" t="s">
        <v>1308</v>
      </c>
      <c r="D218" s="6" t="s">
        <v>25</v>
      </c>
      <c r="E218" s="19" t="s">
        <v>700</v>
      </c>
      <c r="F218" s="6">
        <v>30</v>
      </c>
      <c r="G218" s="14">
        <v>2.3076923076923102</v>
      </c>
      <c r="H218" s="16">
        <v>30</v>
      </c>
      <c r="I218" s="8">
        <v>30</v>
      </c>
      <c r="J218" s="8">
        <v>30</v>
      </c>
      <c r="K218" s="8">
        <v>30</v>
      </c>
      <c r="L218" s="8">
        <v>30</v>
      </c>
      <c r="M218" s="8">
        <v>30</v>
      </c>
      <c r="N218" s="8">
        <v>30</v>
      </c>
      <c r="O218" s="8">
        <v>30</v>
      </c>
      <c r="P218" s="8">
        <v>60</v>
      </c>
      <c r="Q218" s="8">
        <v>30</v>
      </c>
      <c r="R218" s="8">
        <v>30</v>
      </c>
      <c r="S218" s="8">
        <v>30</v>
      </c>
      <c r="T218" s="8">
        <v>30</v>
      </c>
      <c r="U218" s="15">
        <v>32.307692307692299</v>
      </c>
      <c r="V218" s="6" t="s">
        <v>1292</v>
      </c>
    </row>
    <row r="219" spans="1:22" ht="30" customHeight="1">
      <c r="A219" s="6" t="s">
        <v>697</v>
      </c>
      <c r="B219" s="6" t="s">
        <v>1309</v>
      </c>
      <c r="C219" s="6" t="s">
        <v>1310</v>
      </c>
      <c r="D219" s="6" t="s">
        <v>25</v>
      </c>
      <c r="E219" s="19" t="s">
        <v>700</v>
      </c>
      <c r="F219" s="6">
        <v>30</v>
      </c>
      <c r="G219" s="14">
        <v>2.3076923076923102</v>
      </c>
      <c r="H219" s="16">
        <v>30</v>
      </c>
      <c r="I219" s="8">
        <v>30</v>
      </c>
      <c r="J219" s="8">
        <v>30</v>
      </c>
      <c r="K219" s="8">
        <v>30</v>
      </c>
      <c r="L219" s="8">
        <v>30</v>
      </c>
      <c r="M219" s="8">
        <v>30</v>
      </c>
      <c r="N219" s="8">
        <v>30</v>
      </c>
      <c r="O219" s="8">
        <v>30</v>
      </c>
      <c r="P219" s="8">
        <v>60</v>
      </c>
      <c r="Q219" s="8">
        <v>30</v>
      </c>
      <c r="R219" s="8">
        <v>30</v>
      </c>
      <c r="S219" s="8">
        <v>30</v>
      </c>
      <c r="T219" s="8">
        <v>30</v>
      </c>
      <c r="U219" s="15">
        <v>32.307692307692299</v>
      </c>
      <c r="V219" s="6" t="s">
        <v>1311</v>
      </c>
    </row>
    <row r="220" spans="1:22" ht="30" customHeight="1">
      <c r="A220" s="6" t="s">
        <v>697</v>
      </c>
      <c r="B220" s="6" t="s">
        <v>1312</v>
      </c>
      <c r="C220" s="6" t="s">
        <v>1313</v>
      </c>
      <c r="D220" s="6" t="s">
        <v>25</v>
      </c>
      <c r="E220" s="19" t="s">
        <v>700</v>
      </c>
      <c r="F220" s="6">
        <v>30</v>
      </c>
      <c r="G220" s="14">
        <v>2.3076923076923102</v>
      </c>
      <c r="H220" s="16">
        <v>30</v>
      </c>
      <c r="I220" s="8">
        <v>30</v>
      </c>
      <c r="J220" s="8">
        <v>30</v>
      </c>
      <c r="K220" s="8">
        <v>30</v>
      </c>
      <c r="L220" s="8">
        <v>30</v>
      </c>
      <c r="M220" s="8">
        <v>30</v>
      </c>
      <c r="N220" s="8">
        <v>30</v>
      </c>
      <c r="O220" s="8">
        <v>30</v>
      </c>
      <c r="P220" s="8">
        <v>60</v>
      </c>
      <c r="Q220" s="8">
        <v>30</v>
      </c>
      <c r="R220" s="8">
        <v>30</v>
      </c>
      <c r="S220" s="8">
        <v>30</v>
      </c>
      <c r="T220" s="8">
        <v>30</v>
      </c>
      <c r="U220" s="15">
        <v>32.307692307692299</v>
      </c>
      <c r="V220" s="6" t="s">
        <v>1314</v>
      </c>
    </row>
    <row r="221" spans="1:22" ht="30" customHeight="1">
      <c r="A221" s="6" t="s">
        <v>697</v>
      </c>
      <c r="B221" s="6" t="s">
        <v>1315</v>
      </c>
      <c r="C221" s="6" t="s">
        <v>1316</v>
      </c>
      <c r="D221" s="6" t="s">
        <v>25</v>
      </c>
      <c r="E221" s="19" t="s">
        <v>700</v>
      </c>
      <c r="F221" s="6">
        <v>30</v>
      </c>
      <c r="G221" s="14">
        <v>2.3076923076923102</v>
      </c>
      <c r="H221" s="16">
        <v>30</v>
      </c>
      <c r="I221" s="8">
        <v>30</v>
      </c>
      <c r="J221" s="8">
        <v>30</v>
      </c>
      <c r="K221" s="8">
        <v>30</v>
      </c>
      <c r="L221" s="8">
        <v>30</v>
      </c>
      <c r="M221" s="8">
        <v>30</v>
      </c>
      <c r="N221" s="8">
        <v>30</v>
      </c>
      <c r="O221" s="8">
        <v>30</v>
      </c>
      <c r="P221" s="8">
        <v>60</v>
      </c>
      <c r="Q221" s="8">
        <v>30</v>
      </c>
      <c r="R221" s="8">
        <v>30</v>
      </c>
      <c r="S221" s="8">
        <v>30</v>
      </c>
      <c r="T221" s="8">
        <v>30</v>
      </c>
      <c r="U221" s="15">
        <v>32.307692307692299</v>
      </c>
      <c r="V221" s="6" t="s">
        <v>1317</v>
      </c>
    </row>
    <row r="222" spans="1:22" ht="30" customHeight="1">
      <c r="A222" s="6" t="s">
        <v>697</v>
      </c>
      <c r="B222" s="6" t="s">
        <v>1318</v>
      </c>
      <c r="C222" s="6" t="s">
        <v>1319</v>
      </c>
      <c r="D222" s="6" t="s">
        <v>25</v>
      </c>
      <c r="E222" s="19" t="s">
        <v>700</v>
      </c>
      <c r="F222" s="6">
        <v>30</v>
      </c>
      <c r="G222" s="14">
        <v>2.3076923076923102</v>
      </c>
      <c r="H222" s="16">
        <v>30</v>
      </c>
      <c r="I222" s="8">
        <v>30</v>
      </c>
      <c r="J222" s="8">
        <v>30</v>
      </c>
      <c r="K222" s="8">
        <v>30</v>
      </c>
      <c r="L222" s="8">
        <v>30</v>
      </c>
      <c r="M222" s="8">
        <v>30</v>
      </c>
      <c r="N222" s="8">
        <v>30</v>
      </c>
      <c r="O222" s="8">
        <v>30</v>
      </c>
      <c r="P222" s="8">
        <v>60</v>
      </c>
      <c r="Q222" s="8">
        <v>30</v>
      </c>
      <c r="R222" s="8">
        <v>30</v>
      </c>
      <c r="S222" s="8">
        <v>30</v>
      </c>
      <c r="T222" s="8">
        <v>30</v>
      </c>
      <c r="U222" s="15">
        <v>32.307692307692299</v>
      </c>
      <c r="V222" s="6" t="s">
        <v>1320</v>
      </c>
    </row>
    <row r="223" spans="1:22" ht="30" customHeight="1">
      <c r="A223" s="6" t="s">
        <v>697</v>
      </c>
      <c r="B223" s="6" t="s">
        <v>1321</v>
      </c>
      <c r="C223" s="6" t="s">
        <v>1322</v>
      </c>
      <c r="D223" s="6" t="s">
        <v>25</v>
      </c>
      <c r="E223" s="19" t="s">
        <v>700</v>
      </c>
      <c r="F223" s="6">
        <v>30</v>
      </c>
      <c r="G223" s="14">
        <v>2.3076923076923102</v>
      </c>
      <c r="H223" s="16">
        <v>30</v>
      </c>
      <c r="I223" s="8">
        <v>30</v>
      </c>
      <c r="J223" s="8">
        <v>30</v>
      </c>
      <c r="K223" s="8">
        <v>30</v>
      </c>
      <c r="L223" s="8">
        <v>30</v>
      </c>
      <c r="M223" s="8">
        <v>30</v>
      </c>
      <c r="N223" s="8">
        <v>30</v>
      </c>
      <c r="O223" s="8">
        <v>30</v>
      </c>
      <c r="P223" s="8">
        <v>60</v>
      </c>
      <c r="Q223" s="8">
        <v>30</v>
      </c>
      <c r="R223" s="8">
        <v>30</v>
      </c>
      <c r="S223" s="8">
        <v>30</v>
      </c>
      <c r="T223" s="8">
        <v>30</v>
      </c>
      <c r="U223" s="15">
        <v>32.307692307692299</v>
      </c>
      <c r="V223" s="6" t="s">
        <v>1323</v>
      </c>
    </row>
    <row r="224" spans="1:22" ht="30" customHeight="1">
      <c r="A224" s="6" t="s">
        <v>697</v>
      </c>
      <c r="B224" s="6" t="s">
        <v>1324</v>
      </c>
      <c r="C224" s="6" t="s">
        <v>1325</v>
      </c>
      <c r="D224" s="6" t="s">
        <v>25</v>
      </c>
      <c r="E224" s="19" t="s">
        <v>700</v>
      </c>
      <c r="F224" s="6">
        <v>30</v>
      </c>
      <c r="G224" s="14">
        <v>2.3076923076923102</v>
      </c>
      <c r="H224" s="16">
        <v>30</v>
      </c>
      <c r="I224" s="8">
        <v>30</v>
      </c>
      <c r="J224" s="8">
        <v>30</v>
      </c>
      <c r="K224" s="8">
        <v>30</v>
      </c>
      <c r="L224" s="8">
        <v>30</v>
      </c>
      <c r="M224" s="8">
        <v>30</v>
      </c>
      <c r="N224" s="8">
        <v>30</v>
      </c>
      <c r="O224" s="8">
        <v>30</v>
      </c>
      <c r="P224" s="8">
        <v>60</v>
      </c>
      <c r="Q224" s="8">
        <v>30</v>
      </c>
      <c r="R224" s="8">
        <v>30</v>
      </c>
      <c r="S224" s="8">
        <v>30</v>
      </c>
      <c r="T224" s="8">
        <v>30</v>
      </c>
      <c r="U224" s="15">
        <v>32.307692307692299</v>
      </c>
      <c r="V224" s="6" t="s">
        <v>1326</v>
      </c>
    </row>
    <row r="225" spans="1:22" ht="30" customHeight="1">
      <c r="A225" s="6" t="s">
        <v>697</v>
      </c>
      <c r="B225" s="6" t="s">
        <v>1327</v>
      </c>
      <c r="C225" s="6" t="s">
        <v>1328</v>
      </c>
      <c r="D225" s="6" t="s">
        <v>25</v>
      </c>
      <c r="E225" s="19" t="s">
        <v>700</v>
      </c>
      <c r="F225" s="6">
        <v>30</v>
      </c>
      <c r="G225" s="14">
        <v>2.3076923076923102</v>
      </c>
      <c r="H225" s="16">
        <v>30</v>
      </c>
      <c r="I225" s="8">
        <v>30</v>
      </c>
      <c r="J225" s="8">
        <v>30</v>
      </c>
      <c r="K225" s="8">
        <v>30</v>
      </c>
      <c r="L225" s="8">
        <v>30</v>
      </c>
      <c r="M225" s="8">
        <v>30</v>
      </c>
      <c r="N225" s="8">
        <v>30</v>
      </c>
      <c r="O225" s="8">
        <v>30</v>
      </c>
      <c r="P225" s="8">
        <v>60</v>
      </c>
      <c r="Q225" s="8">
        <v>30</v>
      </c>
      <c r="R225" s="8">
        <v>30</v>
      </c>
      <c r="S225" s="8">
        <v>30</v>
      </c>
      <c r="T225" s="8">
        <v>30</v>
      </c>
      <c r="U225" s="15">
        <v>32.307692307692299</v>
      </c>
      <c r="V225" s="6" t="s">
        <v>1326</v>
      </c>
    </row>
    <row r="226" spans="1:22" ht="30" customHeight="1">
      <c r="A226" s="6" t="s">
        <v>697</v>
      </c>
      <c r="B226" s="6" t="s">
        <v>1329</v>
      </c>
      <c r="C226" s="6" t="s">
        <v>1330</v>
      </c>
      <c r="D226" s="6" t="s">
        <v>25</v>
      </c>
      <c r="E226" s="19" t="s">
        <v>700</v>
      </c>
      <c r="F226" s="6">
        <v>30</v>
      </c>
      <c r="G226" s="14">
        <v>2.3076923076923102</v>
      </c>
      <c r="H226" s="16">
        <v>30</v>
      </c>
      <c r="I226" s="8">
        <v>30</v>
      </c>
      <c r="J226" s="8">
        <v>30</v>
      </c>
      <c r="K226" s="8">
        <v>30</v>
      </c>
      <c r="L226" s="8">
        <v>30</v>
      </c>
      <c r="M226" s="8">
        <v>30</v>
      </c>
      <c r="N226" s="8">
        <v>30</v>
      </c>
      <c r="O226" s="8">
        <v>30</v>
      </c>
      <c r="P226" s="8">
        <v>60</v>
      </c>
      <c r="Q226" s="8">
        <v>30</v>
      </c>
      <c r="R226" s="8">
        <v>30</v>
      </c>
      <c r="S226" s="8">
        <v>30</v>
      </c>
      <c r="T226" s="8">
        <v>30</v>
      </c>
      <c r="U226" s="15">
        <v>32.307692307692299</v>
      </c>
      <c r="V226" s="6" t="s">
        <v>1295</v>
      </c>
    </row>
    <row r="227" spans="1:22" ht="30" customHeight="1">
      <c r="A227" s="6" t="s">
        <v>697</v>
      </c>
      <c r="B227" s="6" t="s">
        <v>1331</v>
      </c>
      <c r="C227" s="6" t="s">
        <v>1332</v>
      </c>
      <c r="D227" s="6" t="s">
        <v>25</v>
      </c>
      <c r="E227" s="19" t="s">
        <v>700</v>
      </c>
      <c r="F227" s="6">
        <v>30</v>
      </c>
      <c r="G227" s="14">
        <v>2.3076923076923102</v>
      </c>
      <c r="H227" s="16">
        <v>30</v>
      </c>
      <c r="I227" s="8">
        <v>30</v>
      </c>
      <c r="J227" s="8">
        <v>30</v>
      </c>
      <c r="K227" s="8">
        <v>30</v>
      </c>
      <c r="L227" s="8">
        <v>30</v>
      </c>
      <c r="M227" s="8">
        <v>30</v>
      </c>
      <c r="N227" s="8">
        <v>30</v>
      </c>
      <c r="O227" s="8">
        <v>30</v>
      </c>
      <c r="P227" s="8">
        <v>60</v>
      </c>
      <c r="Q227" s="8">
        <v>30</v>
      </c>
      <c r="R227" s="8">
        <v>30</v>
      </c>
      <c r="S227" s="8">
        <v>30</v>
      </c>
      <c r="T227" s="8">
        <v>30</v>
      </c>
      <c r="U227" s="15">
        <v>32.307692307692299</v>
      </c>
      <c r="V227" s="6" t="s">
        <v>1333</v>
      </c>
    </row>
    <row r="228" spans="1:22" ht="30" customHeight="1">
      <c r="A228" s="6" t="s">
        <v>697</v>
      </c>
      <c r="B228" s="6" t="s">
        <v>1334</v>
      </c>
      <c r="C228" s="6" t="s">
        <v>1335</v>
      </c>
      <c r="D228" s="6" t="s">
        <v>25</v>
      </c>
      <c r="E228" s="19" t="s">
        <v>700</v>
      </c>
      <c r="F228" s="6">
        <v>30</v>
      </c>
      <c r="G228" s="14">
        <v>2.3076923076923102</v>
      </c>
      <c r="H228" s="16">
        <v>30</v>
      </c>
      <c r="I228" s="8">
        <v>30</v>
      </c>
      <c r="J228" s="8">
        <v>30</v>
      </c>
      <c r="K228" s="8">
        <v>30</v>
      </c>
      <c r="L228" s="8">
        <v>30</v>
      </c>
      <c r="M228" s="8">
        <v>30</v>
      </c>
      <c r="N228" s="8">
        <v>30</v>
      </c>
      <c r="O228" s="8">
        <v>30</v>
      </c>
      <c r="P228" s="8">
        <v>60</v>
      </c>
      <c r="Q228" s="8">
        <v>30</v>
      </c>
      <c r="R228" s="8">
        <v>30</v>
      </c>
      <c r="S228" s="8">
        <v>30</v>
      </c>
      <c r="T228" s="8">
        <v>30</v>
      </c>
      <c r="U228" s="15">
        <v>32.307692307692299</v>
      </c>
      <c r="V228" s="6" t="s">
        <v>1336</v>
      </c>
    </row>
    <row r="229" spans="1:22" ht="30" customHeight="1">
      <c r="A229" s="6" t="s">
        <v>697</v>
      </c>
      <c r="B229" s="6" t="s">
        <v>1337</v>
      </c>
      <c r="C229" s="6" t="s">
        <v>1338</v>
      </c>
      <c r="D229" s="6" t="s">
        <v>25</v>
      </c>
      <c r="E229" s="19" t="s">
        <v>700</v>
      </c>
      <c r="F229" s="6">
        <v>30</v>
      </c>
      <c r="G229" s="14">
        <v>2.3076923076923102</v>
      </c>
      <c r="H229" s="16">
        <v>30</v>
      </c>
      <c r="I229" s="8">
        <v>30</v>
      </c>
      <c r="J229" s="8">
        <v>30</v>
      </c>
      <c r="K229" s="8">
        <v>30</v>
      </c>
      <c r="L229" s="8">
        <v>30</v>
      </c>
      <c r="M229" s="8">
        <v>30</v>
      </c>
      <c r="N229" s="8">
        <v>30</v>
      </c>
      <c r="O229" s="8">
        <v>30</v>
      </c>
      <c r="P229" s="8">
        <v>60</v>
      </c>
      <c r="Q229" s="8">
        <v>30</v>
      </c>
      <c r="R229" s="8">
        <v>30</v>
      </c>
      <c r="S229" s="8">
        <v>30</v>
      </c>
      <c r="T229" s="8">
        <v>30</v>
      </c>
      <c r="U229" s="15">
        <v>32.307692307692299</v>
      </c>
      <c r="V229" s="6" t="s">
        <v>1339</v>
      </c>
    </row>
    <row r="230" spans="1:22" ht="30" customHeight="1">
      <c r="A230" s="6" t="s">
        <v>697</v>
      </c>
      <c r="B230" s="6" t="s">
        <v>1340</v>
      </c>
      <c r="C230" s="6" t="s">
        <v>1341</v>
      </c>
      <c r="D230" s="6" t="s">
        <v>25</v>
      </c>
      <c r="E230" s="19" t="s">
        <v>700</v>
      </c>
      <c r="F230" s="6">
        <v>30</v>
      </c>
      <c r="G230" s="14">
        <v>2.3076923076923102</v>
      </c>
      <c r="H230" s="16">
        <v>30</v>
      </c>
      <c r="I230" s="8">
        <v>30</v>
      </c>
      <c r="J230" s="8">
        <v>30</v>
      </c>
      <c r="K230" s="8">
        <v>30</v>
      </c>
      <c r="L230" s="8">
        <v>30</v>
      </c>
      <c r="M230" s="8">
        <v>30</v>
      </c>
      <c r="N230" s="8">
        <v>30</v>
      </c>
      <c r="O230" s="8">
        <v>30</v>
      </c>
      <c r="P230" s="8">
        <v>60</v>
      </c>
      <c r="Q230" s="8">
        <v>30</v>
      </c>
      <c r="R230" s="8">
        <v>30</v>
      </c>
      <c r="S230" s="8">
        <v>30</v>
      </c>
      <c r="T230" s="8">
        <v>30</v>
      </c>
      <c r="U230" s="15">
        <v>32.307692307692299</v>
      </c>
      <c r="V230" s="6" t="s">
        <v>1342</v>
      </c>
    </row>
    <row r="231" spans="1:22" ht="30" customHeight="1">
      <c r="A231" s="6" t="s">
        <v>697</v>
      </c>
      <c r="B231" s="6" t="s">
        <v>1343</v>
      </c>
      <c r="C231" s="6" t="s">
        <v>1344</v>
      </c>
      <c r="D231" s="6" t="s">
        <v>25</v>
      </c>
      <c r="E231" s="19" t="s">
        <v>700</v>
      </c>
      <c r="F231" s="6">
        <v>30</v>
      </c>
      <c r="G231" s="14">
        <v>2.3076923076923102</v>
      </c>
      <c r="H231" s="16">
        <v>30</v>
      </c>
      <c r="I231" s="8">
        <v>30</v>
      </c>
      <c r="J231" s="8">
        <v>30</v>
      </c>
      <c r="K231" s="8">
        <v>30</v>
      </c>
      <c r="L231" s="8">
        <v>30</v>
      </c>
      <c r="M231" s="8">
        <v>30</v>
      </c>
      <c r="N231" s="8">
        <v>30</v>
      </c>
      <c r="O231" s="8">
        <v>30</v>
      </c>
      <c r="P231" s="8">
        <v>60</v>
      </c>
      <c r="Q231" s="8">
        <v>30</v>
      </c>
      <c r="R231" s="8">
        <v>30</v>
      </c>
      <c r="S231" s="8">
        <v>30</v>
      </c>
      <c r="T231" s="8">
        <v>30</v>
      </c>
      <c r="U231" s="15">
        <v>32.307692307692299</v>
      </c>
      <c r="V231" s="6" t="s">
        <v>1345</v>
      </c>
    </row>
    <row r="232" spans="1:22" ht="30" customHeight="1">
      <c r="A232" s="6" t="s">
        <v>697</v>
      </c>
      <c r="B232" s="6" t="s">
        <v>1346</v>
      </c>
      <c r="C232" s="6" t="s">
        <v>1347</v>
      </c>
      <c r="D232" s="6" t="s">
        <v>25</v>
      </c>
      <c r="E232" s="19" t="s">
        <v>700</v>
      </c>
      <c r="F232" s="6">
        <v>30</v>
      </c>
      <c r="G232" s="14">
        <v>2.3076923076923102</v>
      </c>
      <c r="H232" s="16">
        <v>30</v>
      </c>
      <c r="I232" s="8">
        <v>30</v>
      </c>
      <c r="J232" s="8">
        <v>30</v>
      </c>
      <c r="K232" s="8">
        <v>30</v>
      </c>
      <c r="L232" s="8">
        <v>30</v>
      </c>
      <c r="M232" s="8">
        <v>30</v>
      </c>
      <c r="N232" s="8">
        <v>30</v>
      </c>
      <c r="O232" s="8">
        <v>30</v>
      </c>
      <c r="P232" s="8">
        <v>60</v>
      </c>
      <c r="Q232" s="8">
        <v>30</v>
      </c>
      <c r="R232" s="8">
        <v>30</v>
      </c>
      <c r="S232" s="8">
        <v>30</v>
      </c>
      <c r="T232" s="8">
        <v>30</v>
      </c>
      <c r="U232" s="15">
        <v>32.307692307692299</v>
      </c>
      <c r="V232" s="6" t="s">
        <v>1339</v>
      </c>
    </row>
    <row r="233" spans="1:22" ht="30" customHeight="1">
      <c r="A233" s="6" t="s">
        <v>697</v>
      </c>
      <c r="B233" s="6" t="s">
        <v>1348</v>
      </c>
      <c r="C233" s="6" t="s">
        <v>1349</v>
      </c>
      <c r="D233" s="6" t="s">
        <v>25</v>
      </c>
      <c r="E233" s="19" t="s">
        <v>700</v>
      </c>
      <c r="F233" s="6">
        <v>30</v>
      </c>
      <c r="G233" s="14">
        <v>2.3076923076923102</v>
      </c>
      <c r="H233" s="16">
        <v>30</v>
      </c>
      <c r="I233" s="8">
        <v>30</v>
      </c>
      <c r="J233" s="8">
        <v>30</v>
      </c>
      <c r="K233" s="8">
        <v>30</v>
      </c>
      <c r="L233" s="8">
        <v>30</v>
      </c>
      <c r="M233" s="8">
        <v>30</v>
      </c>
      <c r="N233" s="8">
        <v>30</v>
      </c>
      <c r="O233" s="8">
        <v>30</v>
      </c>
      <c r="P233" s="8">
        <v>60</v>
      </c>
      <c r="Q233" s="8">
        <v>30</v>
      </c>
      <c r="R233" s="8">
        <v>30</v>
      </c>
      <c r="S233" s="8">
        <v>30</v>
      </c>
      <c r="T233" s="8">
        <v>30</v>
      </c>
      <c r="U233" s="15">
        <v>32.307692307692299</v>
      </c>
      <c r="V233" s="6" t="s">
        <v>1350</v>
      </c>
    </row>
    <row r="234" spans="1:22" ht="30" customHeight="1">
      <c r="A234" s="6" t="s">
        <v>697</v>
      </c>
      <c r="B234" s="6" t="s">
        <v>1351</v>
      </c>
      <c r="C234" s="6" t="s">
        <v>1352</v>
      </c>
      <c r="D234" s="6" t="s">
        <v>25</v>
      </c>
      <c r="E234" s="19" t="s">
        <v>700</v>
      </c>
      <c r="F234" s="6">
        <v>30</v>
      </c>
      <c r="G234" s="14">
        <v>2.3076923076923102</v>
      </c>
      <c r="H234" s="16">
        <v>30</v>
      </c>
      <c r="I234" s="8">
        <v>30</v>
      </c>
      <c r="J234" s="8">
        <v>30</v>
      </c>
      <c r="K234" s="8">
        <v>30</v>
      </c>
      <c r="L234" s="8">
        <v>30</v>
      </c>
      <c r="M234" s="8">
        <v>30</v>
      </c>
      <c r="N234" s="8">
        <v>30</v>
      </c>
      <c r="O234" s="8">
        <v>30</v>
      </c>
      <c r="P234" s="8">
        <v>60</v>
      </c>
      <c r="Q234" s="8">
        <v>30</v>
      </c>
      <c r="R234" s="8">
        <v>30</v>
      </c>
      <c r="S234" s="8">
        <v>30</v>
      </c>
      <c r="T234" s="8">
        <v>30</v>
      </c>
      <c r="U234" s="15">
        <v>32.307692307692299</v>
      </c>
      <c r="V234" s="6" t="s">
        <v>1353</v>
      </c>
    </row>
    <row r="235" spans="1:22" ht="30" customHeight="1">
      <c r="A235" s="6" t="s">
        <v>697</v>
      </c>
      <c r="B235" s="6" t="s">
        <v>1354</v>
      </c>
      <c r="C235" s="6" t="s">
        <v>1355</v>
      </c>
      <c r="D235" s="6" t="s">
        <v>25</v>
      </c>
      <c r="E235" s="19" t="s">
        <v>700</v>
      </c>
      <c r="F235" s="6">
        <v>30</v>
      </c>
      <c r="G235" s="14">
        <v>2.3076923076923102</v>
      </c>
      <c r="H235" s="16">
        <v>30</v>
      </c>
      <c r="I235" s="8">
        <v>30</v>
      </c>
      <c r="J235" s="8">
        <v>30</v>
      </c>
      <c r="K235" s="8">
        <v>30</v>
      </c>
      <c r="L235" s="8">
        <v>30</v>
      </c>
      <c r="M235" s="8">
        <v>30</v>
      </c>
      <c r="N235" s="8">
        <v>30</v>
      </c>
      <c r="O235" s="8">
        <v>30</v>
      </c>
      <c r="P235" s="8">
        <v>60</v>
      </c>
      <c r="Q235" s="8">
        <v>30</v>
      </c>
      <c r="R235" s="8">
        <v>30</v>
      </c>
      <c r="S235" s="8">
        <v>30</v>
      </c>
      <c r="T235" s="8">
        <v>30</v>
      </c>
      <c r="U235" s="15">
        <v>32.307692307692299</v>
      </c>
      <c r="V235" s="6" t="s">
        <v>1353</v>
      </c>
    </row>
    <row r="236" spans="1:22" ht="30" customHeight="1">
      <c r="A236" s="6" t="s">
        <v>697</v>
      </c>
      <c r="B236" s="6" t="s">
        <v>1356</v>
      </c>
      <c r="C236" s="6" t="s">
        <v>1357</v>
      </c>
      <c r="D236" s="6" t="s">
        <v>25</v>
      </c>
      <c r="E236" s="19" t="s">
        <v>700</v>
      </c>
      <c r="F236" s="6">
        <v>30</v>
      </c>
      <c r="G236" s="14">
        <v>2.3076923076923102</v>
      </c>
      <c r="H236" s="16">
        <v>30</v>
      </c>
      <c r="I236" s="8">
        <v>30</v>
      </c>
      <c r="J236" s="8">
        <v>30</v>
      </c>
      <c r="K236" s="8">
        <v>30</v>
      </c>
      <c r="L236" s="8">
        <v>30</v>
      </c>
      <c r="M236" s="8">
        <v>30</v>
      </c>
      <c r="N236" s="8">
        <v>30</v>
      </c>
      <c r="O236" s="8">
        <v>30</v>
      </c>
      <c r="P236" s="8">
        <v>60</v>
      </c>
      <c r="Q236" s="8">
        <v>30</v>
      </c>
      <c r="R236" s="8">
        <v>30</v>
      </c>
      <c r="S236" s="8">
        <v>30</v>
      </c>
      <c r="T236" s="8">
        <v>30</v>
      </c>
      <c r="U236" s="15">
        <v>32.307692307692299</v>
      </c>
      <c r="V236" s="6" t="s">
        <v>1358</v>
      </c>
    </row>
    <row r="237" spans="1:22" ht="30" customHeight="1">
      <c r="A237" s="6" t="s">
        <v>697</v>
      </c>
      <c r="B237" s="6" t="s">
        <v>1359</v>
      </c>
      <c r="C237" s="6" t="s">
        <v>1360</v>
      </c>
      <c r="D237" s="6" t="s">
        <v>25</v>
      </c>
      <c r="E237" s="19" t="s">
        <v>700</v>
      </c>
      <c r="F237" s="6">
        <v>30</v>
      </c>
      <c r="G237" s="14">
        <v>2.3076923076923102</v>
      </c>
      <c r="H237" s="16">
        <v>30</v>
      </c>
      <c r="I237" s="8">
        <v>30</v>
      </c>
      <c r="J237" s="8">
        <v>30</v>
      </c>
      <c r="K237" s="8">
        <v>30</v>
      </c>
      <c r="L237" s="8">
        <v>30</v>
      </c>
      <c r="M237" s="8">
        <v>30</v>
      </c>
      <c r="N237" s="8">
        <v>30</v>
      </c>
      <c r="O237" s="8">
        <v>30</v>
      </c>
      <c r="P237" s="8">
        <v>30</v>
      </c>
      <c r="Q237" s="8">
        <v>60</v>
      </c>
      <c r="R237" s="8">
        <v>30</v>
      </c>
      <c r="S237" s="8">
        <v>30</v>
      </c>
      <c r="T237" s="8">
        <v>30</v>
      </c>
      <c r="U237" s="15">
        <v>32.307692307692299</v>
      </c>
      <c r="V237" s="6" t="s">
        <v>1361</v>
      </c>
    </row>
    <row r="238" spans="1:22" ht="30" customHeight="1">
      <c r="A238" s="6" t="s">
        <v>697</v>
      </c>
      <c r="B238" s="6" t="s">
        <v>1362</v>
      </c>
      <c r="C238" s="6" t="s">
        <v>1363</v>
      </c>
      <c r="D238" s="6" t="s">
        <v>25</v>
      </c>
      <c r="E238" s="19" t="s">
        <v>700</v>
      </c>
      <c r="F238" s="6">
        <v>30</v>
      </c>
      <c r="G238" s="14">
        <v>2.3076923076923102</v>
      </c>
      <c r="H238" s="16">
        <v>30</v>
      </c>
      <c r="I238" s="8">
        <v>30</v>
      </c>
      <c r="J238" s="8">
        <v>30</v>
      </c>
      <c r="K238" s="8">
        <v>30</v>
      </c>
      <c r="L238" s="8">
        <v>30</v>
      </c>
      <c r="M238" s="8">
        <v>30</v>
      </c>
      <c r="N238" s="8">
        <v>30</v>
      </c>
      <c r="O238" s="8">
        <v>30</v>
      </c>
      <c r="P238" s="8">
        <v>30</v>
      </c>
      <c r="Q238" s="8">
        <v>60</v>
      </c>
      <c r="R238" s="8">
        <v>30</v>
      </c>
      <c r="S238" s="8">
        <v>30</v>
      </c>
      <c r="T238" s="8">
        <v>30</v>
      </c>
      <c r="U238" s="15">
        <v>32.307692307692299</v>
      </c>
      <c r="V238" s="6" t="s">
        <v>1364</v>
      </c>
    </row>
    <row r="239" spans="1:22" ht="30" customHeight="1">
      <c r="A239" s="6" t="s">
        <v>697</v>
      </c>
      <c r="B239" s="6" t="s">
        <v>1365</v>
      </c>
      <c r="C239" s="6" t="s">
        <v>1366</v>
      </c>
      <c r="D239" s="6" t="s">
        <v>25</v>
      </c>
      <c r="E239" s="19" t="s">
        <v>700</v>
      </c>
      <c r="F239" s="6">
        <v>30</v>
      </c>
      <c r="G239" s="14">
        <v>2.3076923076923102</v>
      </c>
      <c r="H239" s="16">
        <v>30</v>
      </c>
      <c r="I239" s="8">
        <v>30</v>
      </c>
      <c r="J239" s="8">
        <v>30</v>
      </c>
      <c r="K239" s="8">
        <v>30</v>
      </c>
      <c r="L239" s="8">
        <v>30</v>
      </c>
      <c r="M239" s="8">
        <v>30</v>
      </c>
      <c r="N239" s="8">
        <v>30</v>
      </c>
      <c r="O239" s="8">
        <v>30</v>
      </c>
      <c r="P239" s="8">
        <v>60</v>
      </c>
      <c r="Q239" s="8">
        <v>30</v>
      </c>
      <c r="R239" s="8">
        <v>30</v>
      </c>
      <c r="S239" s="8">
        <v>30</v>
      </c>
      <c r="T239" s="8">
        <v>30</v>
      </c>
      <c r="U239" s="15">
        <v>32.307692307692299</v>
      </c>
      <c r="V239" s="6" t="s">
        <v>1333</v>
      </c>
    </row>
    <row r="240" spans="1:22" ht="30" customHeight="1">
      <c r="A240" s="6" t="s">
        <v>697</v>
      </c>
      <c r="B240" s="6" t="s">
        <v>1367</v>
      </c>
      <c r="C240" s="6" t="s">
        <v>1368</v>
      </c>
      <c r="D240" s="6" t="s">
        <v>25</v>
      </c>
      <c r="E240" s="19" t="s">
        <v>700</v>
      </c>
      <c r="F240" s="6">
        <v>30</v>
      </c>
      <c r="G240" s="14">
        <v>2.3076923076923102</v>
      </c>
      <c r="H240" s="16">
        <v>30</v>
      </c>
      <c r="I240" s="8">
        <v>30</v>
      </c>
      <c r="J240" s="8">
        <v>30</v>
      </c>
      <c r="K240" s="8">
        <v>30</v>
      </c>
      <c r="L240" s="8">
        <v>30</v>
      </c>
      <c r="M240" s="8">
        <v>30</v>
      </c>
      <c r="N240" s="8">
        <v>30</v>
      </c>
      <c r="O240" s="8">
        <v>30</v>
      </c>
      <c r="P240" s="8">
        <v>60</v>
      </c>
      <c r="Q240" s="8">
        <v>30</v>
      </c>
      <c r="R240" s="8">
        <v>30</v>
      </c>
      <c r="S240" s="8">
        <v>30</v>
      </c>
      <c r="T240" s="8">
        <v>30</v>
      </c>
      <c r="U240" s="15">
        <v>32.307692307692299</v>
      </c>
      <c r="V240" s="6" t="s">
        <v>1369</v>
      </c>
    </row>
    <row r="241" spans="1:22" ht="30" customHeight="1">
      <c r="A241" s="6" t="s">
        <v>697</v>
      </c>
      <c r="B241" s="6" t="s">
        <v>1370</v>
      </c>
      <c r="C241" s="6" t="s">
        <v>1371</v>
      </c>
      <c r="D241" s="6" t="s">
        <v>25</v>
      </c>
      <c r="E241" s="19" t="s">
        <v>700</v>
      </c>
      <c r="F241" s="6">
        <v>30</v>
      </c>
      <c r="G241" s="14">
        <v>2.3076923076923102</v>
      </c>
      <c r="H241" s="16">
        <v>30</v>
      </c>
      <c r="I241" s="8">
        <v>30</v>
      </c>
      <c r="J241" s="8">
        <v>30</v>
      </c>
      <c r="K241" s="8">
        <v>30</v>
      </c>
      <c r="L241" s="8">
        <v>30</v>
      </c>
      <c r="M241" s="8">
        <v>30</v>
      </c>
      <c r="N241" s="8">
        <v>30</v>
      </c>
      <c r="O241" s="8">
        <v>30</v>
      </c>
      <c r="P241" s="8">
        <v>60</v>
      </c>
      <c r="Q241" s="8">
        <v>30</v>
      </c>
      <c r="R241" s="8">
        <v>30</v>
      </c>
      <c r="S241" s="8">
        <v>30</v>
      </c>
      <c r="T241" s="8">
        <v>30</v>
      </c>
      <c r="U241" s="15">
        <v>32.307692307692299</v>
      </c>
      <c r="V241" s="6" t="s">
        <v>1372</v>
      </c>
    </row>
    <row r="242" spans="1:22" ht="30" customHeight="1">
      <c r="A242" s="6" t="s">
        <v>697</v>
      </c>
      <c r="B242" s="6" t="s">
        <v>1373</v>
      </c>
      <c r="C242" s="6" t="s">
        <v>1374</v>
      </c>
      <c r="D242" s="6" t="s">
        <v>25</v>
      </c>
      <c r="E242" s="19" t="s">
        <v>700</v>
      </c>
      <c r="F242" s="6">
        <v>30</v>
      </c>
      <c r="G242" s="14">
        <v>2.3076923076923102</v>
      </c>
      <c r="H242" s="16">
        <v>30</v>
      </c>
      <c r="I242" s="8">
        <v>30</v>
      </c>
      <c r="J242" s="8">
        <v>30</v>
      </c>
      <c r="K242" s="8">
        <v>30</v>
      </c>
      <c r="L242" s="8">
        <v>30</v>
      </c>
      <c r="M242" s="8">
        <v>30</v>
      </c>
      <c r="N242" s="8">
        <v>30</v>
      </c>
      <c r="O242" s="8">
        <v>30</v>
      </c>
      <c r="P242" s="8">
        <v>60</v>
      </c>
      <c r="Q242" s="8">
        <v>30</v>
      </c>
      <c r="R242" s="8">
        <v>30</v>
      </c>
      <c r="S242" s="8">
        <v>30</v>
      </c>
      <c r="T242" s="8">
        <v>30</v>
      </c>
      <c r="U242" s="15">
        <v>32.307692307692299</v>
      </c>
      <c r="V242" s="6" t="s">
        <v>1375</v>
      </c>
    </row>
    <row r="243" spans="1:22" ht="30" customHeight="1">
      <c r="A243" s="6" t="s">
        <v>697</v>
      </c>
      <c r="B243" s="6" t="s">
        <v>1376</v>
      </c>
      <c r="C243" s="6" t="s">
        <v>1377</v>
      </c>
      <c r="D243" s="6" t="s">
        <v>25</v>
      </c>
      <c r="E243" s="19" t="s">
        <v>700</v>
      </c>
      <c r="F243" s="6">
        <v>30</v>
      </c>
      <c r="G243" s="14">
        <v>2.3076923076923102</v>
      </c>
      <c r="H243" s="16">
        <v>30</v>
      </c>
      <c r="I243" s="8">
        <v>30</v>
      </c>
      <c r="J243" s="8">
        <v>30</v>
      </c>
      <c r="K243" s="8">
        <v>30</v>
      </c>
      <c r="L243" s="8">
        <v>30</v>
      </c>
      <c r="M243" s="8">
        <v>30</v>
      </c>
      <c r="N243" s="8">
        <v>30</v>
      </c>
      <c r="O243" s="8">
        <v>30</v>
      </c>
      <c r="P243" s="8">
        <v>60</v>
      </c>
      <c r="Q243" s="8">
        <v>30</v>
      </c>
      <c r="R243" s="8">
        <v>30</v>
      </c>
      <c r="S243" s="8">
        <v>30</v>
      </c>
      <c r="T243" s="8">
        <v>30</v>
      </c>
      <c r="U243" s="15">
        <v>32.307692307692299</v>
      </c>
      <c r="V243" s="6" t="s">
        <v>1378</v>
      </c>
    </row>
    <row r="244" spans="1:22" ht="30" customHeight="1">
      <c r="A244" s="6" t="s">
        <v>697</v>
      </c>
      <c r="B244" s="6" t="s">
        <v>1379</v>
      </c>
      <c r="C244" s="6" t="s">
        <v>1380</v>
      </c>
      <c r="D244" s="6" t="s">
        <v>25</v>
      </c>
      <c r="E244" s="19" t="s">
        <v>700</v>
      </c>
      <c r="F244" s="6">
        <v>30</v>
      </c>
      <c r="G244" s="14">
        <v>2.3076923076923102</v>
      </c>
      <c r="H244" s="16">
        <v>30</v>
      </c>
      <c r="I244" s="8">
        <v>30</v>
      </c>
      <c r="J244" s="8">
        <v>30</v>
      </c>
      <c r="K244" s="8">
        <v>30</v>
      </c>
      <c r="L244" s="8">
        <v>30</v>
      </c>
      <c r="M244" s="8">
        <v>30</v>
      </c>
      <c r="N244" s="8">
        <v>30</v>
      </c>
      <c r="O244" s="8">
        <v>30</v>
      </c>
      <c r="P244" s="8">
        <v>60</v>
      </c>
      <c r="Q244" s="8">
        <v>30</v>
      </c>
      <c r="R244" s="8">
        <v>30</v>
      </c>
      <c r="S244" s="8">
        <v>30</v>
      </c>
      <c r="T244" s="8">
        <v>30</v>
      </c>
      <c r="U244" s="15">
        <v>32.307692307692299</v>
      </c>
      <c r="V244" s="6" t="s">
        <v>1381</v>
      </c>
    </row>
    <row r="245" spans="1:22" ht="30" customHeight="1">
      <c r="A245" s="6" t="s">
        <v>697</v>
      </c>
      <c r="B245" s="6" t="s">
        <v>1382</v>
      </c>
      <c r="C245" s="6" t="s">
        <v>1383</v>
      </c>
      <c r="D245" s="6" t="s">
        <v>25</v>
      </c>
      <c r="E245" s="19" t="s">
        <v>700</v>
      </c>
      <c r="F245" s="6">
        <v>30</v>
      </c>
      <c r="G245" s="14">
        <v>2.3076923076923102</v>
      </c>
      <c r="H245" s="16">
        <v>30</v>
      </c>
      <c r="I245" s="8">
        <v>30</v>
      </c>
      <c r="J245" s="8">
        <v>30</v>
      </c>
      <c r="K245" s="8">
        <v>30</v>
      </c>
      <c r="L245" s="8">
        <v>30</v>
      </c>
      <c r="M245" s="8">
        <v>30</v>
      </c>
      <c r="N245" s="8">
        <v>30</v>
      </c>
      <c r="O245" s="8">
        <v>30</v>
      </c>
      <c r="P245" s="8">
        <v>60</v>
      </c>
      <c r="Q245" s="8">
        <v>30</v>
      </c>
      <c r="R245" s="8">
        <v>30</v>
      </c>
      <c r="S245" s="8">
        <v>30</v>
      </c>
      <c r="T245" s="8">
        <v>30</v>
      </c>
      <c r="U245" s="15">
        <v>32.307692307692299</v>
      </c>
      <c r="V245" s="6" t="s">
        <v>1384</v>
      </c>
    </row>
    <row r="246" spans="1:22" ht="30" customHeight="1">
      <c r="A246" s="6" t="s">
        <v>697</v>
      </c>
      <c r="B246" s="6" t="s">
        <v>1385</v>
      </c>
      <c r="C246" s="6" t="s">
        <v>1386</v>
      </c>
      <c r="D246" s="6" t="s">
        <v>25</v>
      </c>
      <c r="E246" s="19" t="s">
        <v>700</v>
      </c>
      <c r="F246" s="6">
        <v>30</v>
      </c>
      <c r="G246" s="14">
        <v>2.3076923076923102</v>
      </c>
      <c r="H246" s="16">
        <v>30</v>
      </c>
      <c r="I246" s="8">
        <v>30</v>
      </c>
      <c r="J246" s="8">
        <v>30</v>
      </c>
      <c r="K246" s="8">
        <v>30</v>
      </c>
      <c r="L246" s="8">
        <v>30</v>
      </c>
      <c r="M246" s="8">
        <v>30</v>
      </c>
      <c r="N246" s="8">
        <v>30</v>
      </c>
      <c r="O246" s="8">
        <v>30</v>
      </c>
      <c r="P246" s="8">
        <v>60</v>
      </c>
      <c r="Q246" s="8">
        <v>30</v>
      </c>
      <c r="R246" s="8">
        <v>30</v>
      </c>
      <c r="S246" s="8">
        <v>30</v>
      </c>
      <c r="T246" s="8">
        <v>30</v>
      </c>
      <c r="U246" s="15">
        <v>32.307692307692299</v>
      </c>
      <c r="V246" s="6" t="s">
        <v>1387</v>
      </c>
    </row>
    <row r="247" spans="1:22" ht="30" customHeight="1">
      <c r="A247" s="6" t="s">
        <v>697</v>
      </c>
      <c r="B247" s="6" t="s">
        <v>1388</v>
      </c>
      <c r="C247" s="6" t="s">
        <v>1389</v>
      </c>
      <c r="D247" s="6" t="s">
        <v>25</v>
      </c>
      <c r="E247" s="19" t="s">
        <v>700</v>
      </c>
      <c r="F247" s="6">
        <v>30</v>
      </c>
      <c r="G247" s="14">
        <v>2.3076923076923102</v>
      </c>
      <c r="H247" s="16">
        <v>30</v>
      </c>
      <c r="I247" s="8">
        <v>30</v>
      </c>
      <c r="J247" s="8">
        <v>30</v>
      </c>
      <c r="K247" s="8">
        <v>30</v>
      </c>
      <c r="L247" s="8">
        <v>30</v>
      </c>
      <c r="M247" s="8">
        <v>30</v>
      </c>
      <c r="N247" s="8">
        <v>30</v>
      </c>
      <c r="O247" s="8">
        <v>30</v>
      </c>
      <c r="P247" s="8">
        <v>60</v>
      </c>
      <c r="Q247" s="8">
        <v>30</v>
      </c>
      <c r="R247" s="8">
        <v>30</v>
      </c>
      <c r="S247" s="8">
        <v>30</v>
      </c>
      <c r="T247" s="8">
        <v>30</v>
      </c>
      <c r="U247" s="15">
        <v>32.307692307692299</v>
      </c>
      <c r="V247" s="6" t="s">
        <v>1390</v>
      </c>
    </row>
    <row r="248" spans="1:22" ht="30" customHeight="1">
      <c r="A248" s="6" t="s">
        <v>697</v>
      </c>
      <c r="B248" s="6" t="s">
        <v>1391</v>
      </c>
      <c r="C248" s="6" t="s">
        <v>1392</v>
      </c>
      <c r="D248" s="6" t="s">
        <v>25</v>
      </c>
      <c r="E248" s="19" t="s">
        <v>700</v>
      </c>
      <c r="F248" s="6">
        <v>30</v>
      </c>
      <c r="G248" s="14">
        <v>2.3076923076923102</v>
      </c>
      <c r="H248" s="16">
        <v>30</v>
      </c>
      <c r="I248" s="8">
        <v>30</v>
      </c>
      <c r="J248" s="8">
        <v>30</v>
      </c>
      <c r="K248" s="8">
        <v>30</v>
      </c>
      <c r="L248" s="8">
        <v>30</v>
      </c>
      <c r="M248" s="8">
        <v>30</v>
      </c>
      <c r="N248" s="8">
        <v>30</v>
      </c>
      <c r="O248" s="8">
        <v>30</v>
      </c>
      <c r="P248" s="8">
        <v>60</v>
      </c>
      <c r="Q248" s="8">
        <v>30</v>
      </c>
      <c r="R248" s="8">
        <v>30</v>
      </c>
      <c r="S248" s="8">
        <v>30</v>
      </c>
      <c r="T248" s="8">
        <v>30</v>
      </c>
      <c r="U248" s="15">
        <v>32.307692307692299</v>
      </c>
      <c r="V248" s="6" t="s">
        <v>1393</v>
      </c>
    </row>
    <row r="249" spans="1:22" ht="30" customHeight="1">
      <c r="A249" s="6" t="s">
        <v>697</v>
      </c>
      <c r="B249" s="6" t="s">
        <v>1394</v>
      </c>
      <c r="C249" s="6" t="s">
        <v>1395</v>
      </c>
      <c r="D249" s="6" t="s">
        <v>25</v>
      </c>
      <c r="E249" s="19" t="s">
        <v>700</v>
      </c>
      <c r="F249" s="6">
        <v>30</v>
      </c>
      <c r="G249" s="14">
        <v>4.6153846153846096</v>
      </c>
      <c r="H249" s="16">
        <v>30</v>
      </c>
      <c r="I249" s="8">
        <v>30</v>
      </c>
      <c r="J249" s="8">
        <v>30</v>
      </c>
      <c r="K249" s="8">
        <v>30</v>
      </c>
      <c r="L249" s="8">
        <v>30</v>
      </c>
      <c r="M249" s="8">
        <v>30</v>
      </c>
      <c r="N249" s="8">
        <v>30</v>
      </c>
      <c r="O249" s="8">
        <v>30</v>
      </c>
      <c r="P249" s="8">
        <v>60</v>
      </c>
      <c r="Q249" s="8">
        <v>30</v>
      </c>
      <c r="R249" s="8">
        <v>60</v>
      </c>
      <c r="S249" s="8">
        <v>30</v>
      </c>
      <c r="T249" s="8">
        <v>30</v>
      </c>
      <c r="U249" s="15">
        <v>34.615384615384599</v>
      </c>
      <c r="V249" s="6" t="s">
        <v>1396</v>
      </c>
    </row>
    <row r="250" spans="1:22" ht="30" customHeight="1">
      <c r="A250" s="6" t="s">
        <v>697</v>
      </c>
      <c r="B250" s="6" t="s">
        <v>1397</v>
      </c>
      <c r="C250" s="6" t="s">
        <v>1398</v>
      </c>
      <c r="D250" s="6" t="s">
        <v>25</v>
      </c>
      <c r="E250" s="19" t="s">
        <v>700</v>
      </c>
      <c r="F250" s="6">
        <v>30</v>
      </c>
      <c r="G250" s="14">
        <v>2.3076923076923102</v>
      </c>
      <c r="H250" s="16">
        <v>30</v>
      </c>
      <c r="I250" s="8">
        <v>30</v>
      </c>
      <c r="J250" s="8">
        <v>30</v>
      </c>
      <c r="K250" s="8">
        <v>30</v>
      </c>
      <c r="L250" s="8">
        <v>30</v>
      </c>
      <c r="M250" s="8">
        <v>30</v>
      </c>
      <c r="N250" s="8">
        <v>30</v>
      </c>
      <c r="O250" s="8">
        <v>30</v>
      </c>
      <c r="P250" s="8">
        <v>60</v>
      </c>
      <c r="Q250" s="8">
        <v>30</v>
      </c>
      <c r="R250" s="8">
        <v>30</v>
      </c>
      <c r="S250" s="8">
        <v>30</v>
      </c>
      <c r="T250" s="8">
        <v>30</v>
      </c>
      <c r="U250" s="15">
        <v>32.307692307692299</v>
      </c>
      <c r="V250" s="6" t="s">
        <v>1399</v>
      </c>
    </row>
    <row r="251" spans="1:22" ht="30" customHeight="1">
      <c r="A251" s="6" t="s">
        <v>697</v>
      </c>
      <c r="B251" s="6" t="s">
        <v>1400</v>
      </c>
      <c r="C251" s="6" t="s">
        <v>1401</v>
      </c>
      <c r="D251" s="6" t="s">
        <v>25</v>
      </c>
      <c r="E251" s="19" t="s">
        <v>700</v>
      </c>
      <c r="F251" s="6">
        <v>30</v>
      </c>
      <c r="G251" s="14">
        <v>144</v>
      </c>
      <c r="H251" s="16">
        <v>194</v>
      </c>
      <c r="I251" s="8">
        <v>277</v>
      </c>
      <c r="J251" s="8">
        <v>237</v>
      </c>
      <c r="K251" s="8">
        <v>277</v>
      </c>
      <c r="L251" s="8">
        <v>327</v>
      </c>
      <c r="M251" s="8">
        <v>257</v>
      </c>
      <c r="N251" s="8">
        <v>147</v>
      </c>
      <c r="O251" s="8">
        <v>136</v>
      </c>
      <c r="P251" s="8">
        <v>92</v>
      </c>
      <c r="Q251" s="8">
        <v>75</v>
      </c>
      <c r="R251" s="8">
        <v>98</v>
      </c>
      <c r="S251" s="8">
        <v>115</v>
      </c>
      <c r="T251" s="8">
        <v>30</v>
      </c>
      <c r="U251" s="15">
        <v>174</v>
      </c>
      <c r="V251" s="6" t="s">
        <v>1402</v>
      </c>
    </row>
    <row r="252" spans="1:22" ht="30" customHeight="1">
      <c r="A252" s="6" t="s">
        <v>697</v>
      </c>
      <c r="B252" s="6" t="s">
        <v>1403</v>
      </c>
      <c r="C252" s="6" t="s">
        <v>1404</v>
      </c>
      <c r="D252" s="6" t="s">
        <v>25</v>
      </c>
      <c r="E252" s="19" t="s">
        <v>700</v>
      </c>
      <c r="F252" s="6">
        <v>30</v>
      </c>
      <c r="G252" s="14">
        <v>2.3076923076923102</v>
      </c>
      <c r="H252" s="16">
        <v>30</v>
      </c>
      <c r="I252" s="8">
        <v>30</v>
      </c>
      <c r="J252" s="8">
        <v>30</v>
      </c>
      <c r="K252" s="8">
        <v>30</v>
      </c>
      <c r="L252" s="8">
        <v>30</v>
      </c>
      <c r="M252" s="8">
        <v>30</v>
      </c>
      <c r="N252" s="8">
        <v>30</v>
      </c>
      <c r="O252" s="8">
        <v>30</v>
      </c>
      <c r="P252" s="8">
        <v>60</v>
      </c>
      <c r="Q252" s="8">
        <v>30</v>
      </c>
      <c r="R252" s="8">
        <v>30</v>
      </c>
      <c r="S252" s="8">
        <v>30</v>
      </c>
      <c r="T252" s="8">
        <v>30</v>
      </c>
      <c r="U252" s="15">
        <v>32.307692307692299</v>
      </c>
      <c r="V252" s="6" t="s">
        <v>1405</v>
      </c>
    </row>
    <row r="253" spans="1:22" ht="30" customHeight="1">
      <c r="A253" s="6" t="s">
        <v>697</v>
      </c>
      <c r="B253" s="6" t="s">
        <v>1406</v>
      </c>
      <c r="C253" s="6" t="s">
        <v>1407</v>
      </c>
      <c r="D253" s="6" t="s">
        <v>25</v>
      </c>
      <c r="E253" s="19" t="s">
        <v>700</v>
      </c>
      <c r="F253" s="6">
        <v>30</v>
      </c>
      <c r="G253" s="14">
        <v>4.6153846153846096</v>
      </c>
      <c r="H253" s="16">
        <v>30</v>
      </c>
      <c r="I253" s="8">
        <v>30</v>
      </c>
      <c r="J253" s="8">
        <v>30</v>
      </c>
      <c r="K253" s="8">
        <v>30</v>
      </c>
      <c r="L253" s="8">
        <v>30</v>
      </c>
      <c r="M253" s="8">
        <v>30</v>
      </c>
      <c r="N253" s="8">
        <v>30</v>
      </c>
      <c r="O253" s="8">
        <v>30</v>
      </c>
      <c r="P253" s="8">
        <v>60</v>
      </c>
      <c r="Q253" s="8">
        <v>30</v>
      </c>
      <c r="R253" s="8">
        <v>60</v>
      </c>
      <c r="S253" s="8">
        <v>30</v>
      </c>
      <c r="T253" s="8">
        <v>30</v>
      </c>
      <c r="U253" s="15">
        <v>34.615384615384599</v>
      </c>
      <c r="V253" s="6" t="s">
        <v>1408</v>
      </c>
    </row>
    <row r="254" spans="1:22" ht="30" customHeight="1">
      <c r="A254" s="6" t="s">
        <v>697</v>
      </c>
      <c r="B254" s="6" t="s">
        <v>1409</v>
      </c>
      <c r="C254" s="6" t="s">
        <v>1410</v>
      </c>
      <c r="D254" s="6" t="s">
        <v>25</v>
      </c>
      <c r="E254" s="19" t="s">
        <v>700</v>
      </c>
      <c r="F254" s="6">
        <v>30</v>
      </c>
      <c r="G254" s="14">
        <v>4.6153846153846096</v>
      </c>
      <c r="H254" s="16">
        <v>30</v>
      </c>
      <c r="I254" s="8">
        <v>30</v>
      </c>
      <c r="J254" s="8">
        <v>30</v>
      </c>
      <c r="K254" s="8">
        <v>30</v>
      </c>
      <c r="L254" s="8">
        <v>30</v>
      </c>
      <c r="M254" s="8">
        <v>30</v>
      </c>
      <c r="N254" s="8">
        <v>30</v>
      </c>
      <c r="O254" s="8">
        <v>30</v>
      </c>
      <c r="P254" s="8">
        <v>60</v>
      </c>
      <c r="Q254" s="8">
        <v>30</v>
      </c>
      <c r="R254" s="8">
        <v>60</v>
      </c>
      <c r="S254" s="8">
        <v>30</v>
      </c>
      <c r="T254" s="8">
        <v>30</v>
      </c>
      <c r="U254" s="15">
        <v>34.615384615384599</v>
      </c>
      <c r="V254" s="6" t="s">
        <v>1411</v>
      </c>
    </row>
    <row r="255" spans="1:22" ht="30" customHeight="1">
      <c r="A255" s="6" t="s">
        <v>697</v>
      </c>
      <c r="B255" s="6" t="s">
        <v>1412</v>
      </c>
      <c r="C255" s="6" t="s">
        <v>1413</v>
      </c>
      <c r="D255" s="6" t="s">
        <v>25</v>
      </c>
      <c r="E255" s="19" t="s">
        <v>700</v>
      </c>
      <c r="F255" s="6">
        <v>30</v>
      </c>
      <c r="G255" s="14">
        <v>2.3076923076923102</v>
      </c>
      <c r="H255" s="16">
        <v>30</v>
      </c>
      <c r="I255" s="8">
        <v>30</v>
      </c>
      <c r="J255" s="8">
        <v>30</v>
      </c>
      <c r="K255" s="8">
        <v>30</v>
      </c>
      <c r="L255" s="8">
        <v>30</v>
      </c>
      <c r="M255" s="8">
        <v>30</v>
      </c>
      <c r="N255" s="8">
        <v>30</v>
      </c>
      <c r="O255" s="8">
        <v>30</v>
      </c>
      <c r="P255" s="8">
        <v>60</v>
      </c>
      <c r="Q255" s="8">
        <v>30</v>
      </c>
      <c r="R255" s="8">
        <v>30</v>
      </c>
      <c r="S255" s="8">
        <v>30</v>
      </c>
      <c r="T255" s="8">
        <v>30</v>
      </c>
      <c r="U255" s="15">
        <v>32.307692307692299</v>
      </c>
      <c r="V255" s="6" t="s">
        <v>1350</v>
      </c>
    </row>
    <row r="256" spans="1:22" ht="30" customHeight="1">
      <c r="A256" s="6" t="s">
        <v>697</v>
      </c>
      <c r="B256" s="6" t="s">
        <v>1414</v>
      </c>
      <c r="C256" s="6" t="s">
        <v>1415</v>
      </c>
      <c r="D256" s="6" t="s">
        <v>25</v>
      </c>
      <c r="E256" s="19" t="s">
        <v>700</v>
      </c>
      <c r="F256" s="6">
        <v>30</v>
      </c>
      <c r="G256" s="14">
        <v>2.3076923076923102</v>
      </c>
      <c r="H256" s="16">
        <v>30</v>
      </c>
      <c r="I256" s="8">
        <v>30</v>
      </c>
      <c r="J256" s="8">
        <v>30</v>
      </c>
      <c r="K256" s="8">
        <v>30</v>
      </c>
      <c r="L256" s="8">
        <v>30</v>
      </c>
      <c r="M256" s="8">
        <v>30</v>
      </c>
      <c r="N256" s="8">
        <v>30</v>
      </c>
      <c r="O256" s="8">
        <v>30</v>
      </c>
      <c r="P256" s="8">
        <v>60</v>
      </c>
      <c r="Q256" s="8">
        <v>30</v>
      </c>
      <c r="R256" s="8">
        <v>30</v>
      </c>
      <c r="S256" s="8">
        <v>30</v>
      </c>
      <c r="T256" s="8">
        <v>30</v>
      </c>
      <c r="U256" s="15">
        <v>32.307692307692299</v>
      </c>
      <c r="V256" s="6" t="s">
        <v>1416</v>
      </c>
    </row>
    <row r="257" spans="1:22" ht="30" customHeight="1">
      <c r="A257" s="6" t="s">
        <v>697</v>
      </c>
      <c r="B257" s="6" t="s">
        <v>1417</v>
      </c>
      <c r="C257" s="6" t="s">
        <v>1418</v>
      </c>
      <c r="D257" s="6" t="s">
        <v>25</v>
      </c>
      <c r="E257" s="19" t="s">
        <v>700</v>
      </c>
      <c r="F257" s="6">
        <v>30</v>
      </c>
      <c r="G257" s="14">
        <v>2.3076923076923102</v>
      </c>
      <c r="H257" s="16">
        <v>30</v>
      </c>
      <c r="I257" s="8">
        <v>30</v>
      </c>
      <c r="J257" s="8">
        <v>30</v>
      </c>
      <c r="K257" s="8">
        <v>30</v>
      </c>
      <c r="L257" s="8">
        <v>30</v>
      </c>
      <c r="M257" s="8">
        <v>30</v>
      </c>
      <c r="N257" s="8">
        <v>30</v>
      </c>
      <c r="O257" s="8">
        <v>30</v>
      </c>
      <c r="P257" s="8">
        <v>30</v>
      </c>
      <c r="Q257" s="8">
        <v>60</v>
      </c>
      <c r="R257" s="8">
        <v>30</v>
      </c>
      <c r="S257" s="8">
        <v>30</v>
      </c>
      <c r="T257" s="8">
        <v>30</v>
      </c>
      <c r="U257" s="15">
        <v>32.307692307692299</v>
      </c>
      <c r="V257" s="6" t="s">
        <v>1419</v>
      </c>
    </row>
    <row r="258" spans="1:22" ht="30" customHeight="1">
      <c r="A258" s="6" t="s">
        <v>697</v>
      </c>
      <c r="B258" s="6" t="s">
        <v>1420</v>
      </c>
      <c r="C258" s="6" t="s">
        <v>1421</v>
      </c>
      <c r="D258" s="6" t="s">
        <v>25</v>
      </c>
      <c r="E258" s="19" t="s">
        <v>700</v>
      </c>
      <c r="F258" s="6">
        <v>30</v>
      </c>
      <c r="G258" s="14">
        <v>2.3076923076923102</v>
      </c>
      <c r="H258" s="16">
        <v>30</v>
      </c>
      <c r="I258" s="8">
        <v>30</v>
      </c>
      <c r="J258" s="8">
        <v>30</v>
      </c>
      <c r="K258" s="8">
        <v>30</v>
      </c>
      <c r="L258" s="8">
        <v>30</v>
      </c>
      <c r="M258" s="8">
        <v>30</v>
      </c>
      <c r="N258" s="8">
        <v>30</v>
      </c>
      <c r="O258" s="8">
        <v>30</v>
      </c>
      <c r="P258" s="8">
        <v>60</v>
      </c>
      <c r="Q258" s="8">
        <v>30</v>
      </c>
      <c r="R258" s="8">
        <v>30</v>
      </c>
      <c r="S258" s="8">
        <v>30</v>
      </c>
      <c r="T258" s="8">
        <v>30</v>
      </c>
      <c r="U258" s="15">
        <v>32.307692307692299</v>
      </c>
      <c r="V258" s="6" t="s">
        <v>1422</v>
      </c>
    </row>
    <row r="259" spans="1:22" ht="30" customHeight="1">
      <c r="A259" s="6" t="s">
        <v>697</v>
      </c>
      <c r="B259" s="6" t="s">
        <v>1423</v>
      </c>
      <c r="C259" s="6" t="s">
        <v>1424</v>
      </c>
      <c r="D259" s="6" t="s">
        <v>25</v>
      </c>
      <c r="E259" s="19" t="s">
        <v>700</v>
      </c>
      <c r="F259" s="6">
        <v>30</v>
      </c>
      <c r="G259" s="14">
        <v>2.3076923076923102</v>
      </c>
      <c r="H259" s="16">
        <v>30</v>
      </c>
      <c r="I259" s="8">
        <v>30</v>
      </c>
      <c r="J259" s="8">
        <v>30</v>
      </c>
      <c r="K259" s="8">
        <v>30</v>
      </c>
      <c r="L259" s="8">
        <v>30</v>
      </c>
      <c r="M259" s="8">
        <v>30</v>
      </c>
      <c r="N259" s="8">
        <v>30</v>
      </c>
      <c r="O259" s="8">
        <v>30</v>
      </c>
      <c r="P259" s="8">
        <v>60</v>
      </c>
      <c r="Q259" s="8">
        <v>30</v>
      </c>
      <c r="R259" s="8">
        <v>30</v>
      </c>
      <c r="S259" s="8">
        <v>30</v>
      </c>
      <c r="T259" s="8">
        <v>30</v>
      </c>
      <c r="U259" s="15">
        <v>32.307692307692299</v>
      </c>
      <c r="V259" s="6" t="s">
        <v>1425</v>
      </c>
    </row>
    <row r="260" spans="1:22" ht="30" customHeight="1">
      <c r="A260" s="6" t="s">
        <v>697</v>
      </c>
      <c r="B260" s="6" t="s">
        <v>1426</v>
      </c>
      <c r="C260" s="6" t="s">
        <v>1427</v>
      </c>
      <c r="D260" s="6" t="s">
        <v>25</v>
      </c>
      <c r="E260" s="19" t="s">
        <v>700</v>
      </c>
      <c r="F260" s="6">
        <v>30</v>
      </c>
      <c r="G260" s="14">
        <v>2.3076923076923102</v>
      </c>
      <c r="H260" s="16">
        <v>30</v>
      </c>
      <c r="I260" s="8">
        <v>30</v>
      </c>
      <c r="J260" s="8">
        <v>30</v>
      </c>
      <c r="K260" s="8">
        <v>30</v>
      </c>
      <c r="L260" s="8">
        <v>30</v>
      </c>
      <c r="M260" s="8">
        <v>30</v>
      </c>
      <c r="N260" s="8">
        <v>30</v>
      </c>
      <c r="O260" s="8">
        <v>30</v>
      </c>
      <c r="P260" s="8">
        <v>60</v>
      </c>
      <c r="Q260" s="8">
        <v>30</v>
      </c>
      <c r="R260" s="8">
        <v>30</v>
      </c>
      <c r="S260" s="8">
        <v>30</v>
      </c>
      <c r="T260" s="8">
        <v>30</v>
      </c>
      <c r="U260" s="15">
        <v>32.307692307692299</v>
      </c>
      <c r="V260" s="6" t="s">
        <v>1428</v>
      </c>
    </row>
    <row r="261" spans="1:22" ht="30" customHeight="1">
      <c r="A261" s="6" t="s">
        <v>697</v>
      </c>
      <c r="B261" s="6" t="s">
        <v>1429</v>
      </c>
      <c r="C261" s="6" t="s">
        <v>1430</v>
      </c>
      <c r="D261" s="6" t="s">
        <v>25</v>
      </c>
      <c r="E261" s="19" t="s">
        <v>700</v>
      </c>
      <c r="F261" s="6">
        <v>30</v>
      </c>
      <c r="G261" s="14">
        <v>2.3076923076923102</v>
      </c>
      <c r="H261" s="16">
        <v>30</v>
      </c>
      <c r="I261" s="8">
        <v>30</v>
      </c>
      <c r="J261" s="8">
        <v>30</v>
      </c>
      <c r="K261" s="8">
        <v>30</v>
      </c>
      <c r="L261" s="8">
        <v>30</v>
      </c>
      <c r="M261" s="8">
        <v>30</v>
      </c>
      <c r="N261" s="8">
        <v>30</v>
      </c>
      <c r="O261" s="8">
        <v>30</v>
      </c>
      <c r="P261" s="8">
        <v>60</v>
      </c>
      <c r="Q261" s="8">
        <v>30</v>
      </c>
      <c r="R261" s="8">
        <v>30</v>
      </c>
      <c r="S261" s="8">
        <v>30</v>
      </c>
      <c r="T261" s="8">
        <v>30</v>
      </c>
      <c r="U261" s="15">
        <v>32.307692307692299</v>
      </c>
      <c r="V261" s="6" t="s">
        <v>1431</v>
      </c>
    </row>
    <row r="262" spans="1:22" ht="30" customHeight="1">
      <c r="A262" s="6" t="s">
        <v>697</v>
      </c>
      <c r="B262" s="6" t="s">
        <v>1432</v>
      </c>
      <c r="C262" s="6" t="s">
        <v>1433</v>
      </c>
      <c r="D262" s="6" t="s">
        <v>25</v>
      </c>
      <c r="E262" s="19" t="s">
        <v>700</v>
      </c>
      <c r="F262" s="6">
        <v>30</v>
      </c>
      <c r="G262" s="14">
        <v>2.3076923076923102</v>
      </c>
      <c r="H262" s="16">
        <v>30</v>
      </c>
      <c r="I262" s="8">
        <v>30</v>
      </c>
      <c r="J262" s="8">
        <v>30</v>
      </c>
      <c r="K262" s="8">
        <v>30</v>
      </c>
      <c r="L262" s="8">
        <v>30</v>
      </c>
      <c r="M262" s="8">
        <v>30</v>
      </c>
      <c r="N262" s="8">
        <v>30</v>
      </c>
      <c r="O262" s="8">
        <v>30</v>
      </c>
      <c r="P262" s="8">
        <v>60</v>
      </c>
      <c r="Q262" s="8">
        <v>30</v>
      </c>
      <c r="R262" s="8">
        <v>30</v>
      </c>
      <c r="S262" s="8">
        <v>30</v>
      </c>
      <c r="T262" s="8">
        <v>30</v>
      </c>
      <c r="U262" s="15">
        <v>32.307692307692299</v>
      </c>
      <c r="V262" s="6" t="s">
        <v>1434</v>
      </c>
    </row>
    <row r="263" spans="1:22" ht="30" customHeight="1">
      <c r="A263" s="6" t="s">
        <v>697</v>
      </c>
      <c r="B263" s="6" t="s">
        <v>1435</v>
      </c>
      <c r="C263" s="6" t="s">
        <v>1436</v>
      </c>
      <c r="D263" s="6" t="s">
        <v>25</v>
      </c>
      <c r="E263" s="19" t="s">
        <v>700</v>
      </c>
      <c r="F263" s="6">
        <v>30</v>
      </c>
      <c r="G263" s="14">
        <v>2.3076923076923102</v>
      </c>
      <c r="H263" s="16">
        <v>30</v>
      </c>
      <c r="I263" s="8">
        <v>30</v>
      </c>
      <c r="J263" s="8">
        <v>30</v>
      </c>
      <c r="K263" s="8">
        <v>30</v>
      </c>
      <c r="L263" s="8">
        <v>30</v>
      </c>
      <c r="M263" s="8">
        <v>30</v>
      </c>
      <c r="N263" s="8">
        <v>30</v>
      </c>
      <c r="O263" s="8">
        <v>30</v>
      </c>
      <c r="P263" s="8">
        <v>60</v>
      </c>
      <c r="Q263" s="8">
        <v>30</v>
      </c>
      <c r="R263" s="8">
        <v>30</v>
      </c>
      <c r="S263" s="8">
        <v>30</v>
      </c>
      <c r="T263" s="8">
        <v>30</v>
      </c>
      <c r="U263" s="15">
        <v>32.307692307692299</v>
      </c>
      <c r="V263" s="6" t="s">
        <v>1437</v>
      </c>
    </row>
    <row r="264" spans="1:22" ht="30" customHeight="1">
      <c r="A264" s="6" t="s">
        <v>697</v>
      </c>
      <c r="B264" s="6" t="s">
        <v>1438</v>
      </c>
      <c r="C264" s="6" t="s">
        <v>1439</v>
      </c>
      <c r="D264" s="6" t="s">
        <v>25</v>
      </c>
      <c r="E264" s="19" t="s">
        <v>700</v>
      </c>
      <c r="F264" s="6">
        <v>30</v>
      </c>
      <c r="G264" s="14">
        <v>2.3076923076923102</v>
      </c>
      <c r="H264" s="16">
        <v>30</v>
      </c>
      <c r="I264" s="8">
        <v>30</v>
      </c>
      <c r="J264" s="8">
        <v>30</v>
      </c>
      <c r="K264" s="8">
        <v>30</v>
      </c>
      <c r="L264" s="8">
        <v>30</v>
      </c>
      <c r="M264" s="8">
        <v>30</v>
      </c>
      <c r="N264" s="8">
        <v>30</v>
      </c>
      <c r="O264" s="8">
        <v>30</v>
      </c>
      <c r="P264" s="8">
        <v>60</v>
      </c>
      <c r="Q264" s="8">
        <v>30</v>
      </c>
      <c r="R264" s="8">
        <v>30</v>
      </c>
      <c r="S264" s="8">
        <v>30</v>
      </c>
      <c r="T264" s="8">
        <v>30</v>
      </c>
      <c r="U264" s="15">
        <v>32.307692307692299</v>
      </c>
      <c r="V264" s="6" t="s">
        <v>1440</v>
      </c>
    </row>
    <row r="265" spans="1:22" ht="30" customHeight="1">
      <c r="A265" s="6" t="s">
        <v>697</v>
      </c>
      <c r="B265" s="6" t="s">
        <v>1441</v>
      </c>
      <c r="C265" s="6" t="s">
        <v>1442</v>
      </c>
      <c r="D265" s="6" t="s">
        <v>25</v>
      </c>
      <c r="E265" s="19" t="s">
        <v>700</v>
      </c>
      <c r="F265" s="6">
        <v>30</v>
      </c>
      <c r="G265" s="14">
        <v>4.6153846153846096</v>
      </c>
      <c r="H265" s="16">
        <v>30</v>
      </c>
      <c r="I265" s="8">
        <v>30</v>
      </c>
      <c r="J265" s="8">
        <v>30</v>
      </c>
      <c r="K265" s="8">
        <v>30</v>
      </c>
      <c r="L265" s="8">
        <v>30</v>
      </c>
      <c r="M265" s="8">
        <v>30</v>
      </c>
      <c r="N265" s="8">
        <v>30</v>
      </c>
      <c r="O265" s="8">
        <v>30</v>
      </c>
      <c r="P265" s="8">
        <v>60</v>
      </c>
      <c r="Q265" s="8">
        <v>30</v>
      </c>
      <c r="R265" s="8">
        <v>60</v>
      </c>
      <c r="S265" s="8">
        <v>30</v>
      </c>
      <c r="T265" s="8">
        <v>30</v>
      </c>
      <c r="U265" s="15">
        <v>34.615384615384599</v>
      </c>
      <c r="V265" s="6" t="s">
        <v>1443</v>
      </c>
    </row>
    <row r="266" spans="1:22" ht="30" customHeight="1">
      <c r="A266" s="6" t="s">
        <v>697</v>
      </c>
      <c r="B266" s="6" t="s">
        <v>1444</v>
      </c>
      <c r="C266" s="6" t="s">
        <v>1445</v>
      </c>
      <c r="D266" s="6" t="s">
        <v>25</v>
      </c>
      <c r="E266" s="19" t="s">
        <v>700</v>
      </c>
      <c r="F266" s="6">
        <v>30</v>
      </c>
      <c r="G266" s="14">
        <v>2.3076923076923102</v>
      </c>
      <c r="H266" s="16">
        <v>30</v>
      </c>
      <c r="I266" s="8">
        <v>30</v>
      </c>
      <c r="J266" s="8">
        <v>30</v>
      </c>
      <c r="K266" s="8">
        <v>30</v>
      </c>
      <c r="L266" s="8">
        <v>30</v>
      </c>
      <c r="M266" s="8">
        <v>30</v>
      </c>
      <c r="N266" s="8">
        <v>30</v>
      </c>
      <c r="O266" s="8">
        <v>30</v>
      </c>
      <c r="P266" s="8">
        <v>60</v>
      </c>
      <c r="Q266" s="8">
        <v>30</v>
      </c>
      <c r="R266" s="8">
        <v>30</v>
      </c>
      <c r="S266" s="8">
        <v>30</v>
      </c>
      <c r="T266" s="8">
        <v>30</v>
      </c>
      <c r="U266" s="15">
        <v>32.307692307692299</v>
      </c>
      <c r="V266" s="6" t="s">
        <v>1434</v>
      </c>
    </row>
    <row r="267" spans="1:22" ht="30" customHeight="1">
      <c r="A267" s="6" t="s">
        <v>697</v>
      </c>
      <c r="B267" s="6" t="s">
        <v>1446</v>
      </c>
      <c r="C267" s="6" t="s">
        <v>1447</v>
      </c>
      <c r="D267" s="6" t="s">
        <v>25</v>
      </c>
      <c r="E267" s="19" t="s">
        <v>700</v>
      </c>
      <c r="F267" s="6">
        <v>30</v>
      </c>
      <c r="G267" s="14">
        <v>2.3076923076923102</v>
      </c>
      <c r="H267" s="16">
        <v>30</v>
      </c>
      <c r="I267" s="8">
        <v>30</v>
      </c>
      <c r="J267" s="8">
        <v>30</v>
      </c>
      <c r="K267" s="8">
        <v>30</v>
      </c>
      <c r="L267" s="8">
        <v>30</v>
      </c>
      <c r="M267" s="8">
        <v>30</v>
      </c>
      <c r="N267" s="8">
        <v>30</v>
      </c>
      <c r="O267" s="8">
        <v>30</v>
      </c>
      <c r="P267" s="8">
        <v>60</v>
      </c>
      <c r="Q267" s="8">
        <v>30</v>
      </c>
      <c r="R267" s="8">
        <v>30</v>
      </c>
      <c r="S267" s="8">
        <v>30</v>
      </c>
      <c r="T267" s="8">
        <v>30</v>
      </c>
      <c r="U267" s="15">
        <v>32.307692307692299</v>
      </c>
      <c r="V267" s="6" t="s">
        <v>1448</v>
      </c>
    </row>
    <row r="268" spans="1:22" ht="30" customHeight="1">
      <c r="A268" s="6" t="s">
        <v>697</v>
      </c>
      <c r="B268" s="6" t="s">
        <v>1449</v>
      </c>
      <c r="C268" s="6" t="s">
        <v>1450</v>
      </c>
      <c r="D268" s="6" t="s">
        <v>25</v>
      </c>
      <c r="E268" s="19" t="s">
        <v>700</v>
      </c>
      <c r="F268" s="6">
        <v>30</v>
      </c>
      <c r="G268" s="14">
        <v>2.3076923076923102</v>
      </c>
      <c r="H268" s="16">
        <v>30</v>
      </c>
      <c r="I268" s="8">
        <v>30</v>
      </c>
      <c r="J268" s="8">
        <v>30</v>
      </c>
      <c r="K268" s="8">
        <v>30</v>
      </c>
      <c r="L268" s="8">
        <v>30</v>
      </c>
      <c r="M268" s="8">
        <v>30</v>
      </c>
      <c r="N268" s="8">
        <v>30</v>
      </c>
      <c r="O268" s="8">
        <v>30</v>
      </c>
      <c r="P268" s="8">
        <v>60</v>
      </c>
      <c r="Q268" s="8">
        <v>30</v>
      </c>
      <c r="R268" s="8">
        <v>30</v>
      </c>
      <c r="S268" s="8">
        <v>30</v>
      </c>
      <c r="T268" s="8">
        <v>30</v>
      </c>
      <c r="U268" s="15">
        <v>32.307692307692299</v>
      </c>
      <c r="V268" s="6" t="s">
        <v>1451</v>
      </c>
    </row>
    <row r="269" spans="1:22" ht="30" customHeight="1">
      <c r="A269" s="6" t="s">
        <v>697</v>
      </c>
      <c r="B269" s="6" t="s">
        <v>1452</v>
      </c>
      <c r="C269" s="6" t="s">
        <v>1453</v>
      </c>
      <c r="D269" s="6" t="s">
        <v>25</v>
      </c>
      <c r="E269" s="19" t="s">
        <v>700</v>
      </c>
      <c r="F269" s="6">
        <v>30</v>
      </c>
      <c r="G269" s="14">
        <v>2.3076923076923102</v>
      </c>
      <c r="H269" s="16">
        <v>30</v>
      </c>
      <c r="I269" s="8">
        <v>30</v>
      </c>
      <c r="J269" s="8">
        <v>30</v>
      </c>
      <c r="K269" s="8">
        <v>30</v>
      </c>
      <c r="L269" s="8">
        <v>30</v>
      </c>
      <c r="M269" s="8">
        <v>30</v>
      </c>
      <c r="N269" s="8">
        <v>30</v>
      </c>
      <c r="O269" s="8">
        <v>30</v>
      </c>
      <c r="P269" s="8">
        <v>60</v>
      </c>
      <c r="Q269" s="8">
        <v>30</v>
      </c>
      <c r="R269" s="8">
        <v>30</v>
      </c>
      <c r="S269" s="8">
        <v>30</v>
      </c>
      <c r="T269" s="8">
        <v>30</v>
      </c>
      <c r="U269" s="15">
        <v>32.307692307692299</v>
      </c>
      <c r="V269" s="6" t="s">
        <v>1425</v>
      </c>
    </row>
    <row r="270" spans="1:22" ht="30" customHeight="1">
      <c r="A270" s="6" t="s">
        <v>697</v>
      </c>
      <c r="B270" s="6" t="s">
        <v>1454</v>
      </c>
      <c r="C270" s="6" t="s">
        <v>1455</v>
      </c>
      <c r="D270" s="6" t="s">
        <v>25</v>
      </c>
      <c r="E270" s="19" t="s">
        <v>700</v>
      </c>
      <c r="F270" s="6">
        <v>30</v>
      </c>
      <c r="G270" s="14">
        <v>2.3076923076923102</v>
      </c>
      <c r="H270" s="16">
        <v>30</v>
      </c>
      <c r="I270" s="8">
        <v>30</v>
      </c>
      <c r="J270" s="8">
        <v>30</v>
      </c>
      <c r="K270" s="8">
        <v>30</v>
      </c>
      <c r="L270" s="8">
        <v>30</v>
      </c>
      <c r="M270" s="8">
        <v>30</v>
      </c>
      <c r="N270" s="8">
        <v>30</v>
      </c>
      <c r="O270" s="8">
        <v>30</v>
      </c>
      <c r="P270" s="8">
        <v>60</v>
      </c>
      <c r="Q270" s="8">
        <v>30</v>
      </c>
      <c r="R270" s="8">
        <v>30</v>
      </c>
      <c r="S270" s="8">
        <v>30</v>
      </c>
      <c r="T270" s="8">
        <v>30</v>
      </c>
      <c r="U270" s="15">
        <v>32.307692307692299</v>
      </c>
      <c r="V270" s="6" t="s">
        <v>1456</v>
      </c>
    </row>
    <row r="271" spans="1:22" ht="30" customHeight="1">
      <c r="A271" s="6" t="s">
        <v>697</v>
      </c>
      <c r="B271" s="6" t="s">
        <v>1457</v>
      </c>
      <c r="C271" s="6" t="s">
        <v>1458</v>
      </c>
      <c r="D271" s="6" t="s">
        <v>25</v>
      </c>
      <c r="E271" s="19" t="s">
        <v>700</v>
      </c>
      <c r="F271" s="6">
        <v>30</v>
      </c>
      <c r="G271" s="14">
        <v>2.3076923076923102</v>
      </c>
      <c r="H271" s="16">
        <v>30</v>
      </c>
      <c r="I271" s="8">
        <v>30</v>
      </c>
      <c r="J271" s="8">
        <v>30</v>
      </c>
      <c r="K271" s="8">
        <v>30</v>
      </c>
      <c r="L271" s="8">
        <v>30</v>
      </c>
      <c r="M271" s="8">
        <v>30</v>
      </c>
      <c r="N271" s="8">
        <v>30</v>
      </c>
      <c r="O271" s="8">
        <v>30</v>
      </c>
      <c r="P271" s="8">
        <v>60</v>
      </c>
      <c r="Q271" s="8">
        <v>30</v>
      </c>
      <c r="R271" s="8">
        <v>30</v>
      </c>
      <c r="S271" s="8">
        <v>30</v>
      </c>
      <c r="T271" s="8">
        <v>30</v>
      </c>
      <c r="U271" s="15">
        <v>32.307692307692299</v>
      </c>
      <c r="V271" s="6" t="s">
        <v>1459</v>
      </c>
    </row>
    <row r="272" spans="1:22" ht="30" customHeight="1">
      <c r="A272" s="6" t="s">
        <v>697</v>
      </c>
      <c r="B272" s="6" t="s">
        <v>1460</v>
      </c>
      <c r="C272" s="6" t="s">
        <v>1461</v>
      </c>
      <c r="D272" s="6" t="s">
        <v>25</v>
      </c>
      <c r="E272" s="19" t="s">
        <v>700</v>
      </c>
      <c r="F272" s="6">
        <v>30</v>
      </c>
      <c r="G272" s="14">
        <v>2.3076923076923102</v>
      </c>
      <c r="H272" s="16">
        <v>30</v>
      </c>
      <c r="I272" s="8">
        <v>30</v>
      </c>
      <c r="J272" s="8">
        <v>30</v>
      </c>
      <c r="K272" s="8">
        <v>30</v>
      </c>
      <c r="L272" s="8">
        <v>30</v>
      </c>
      <c r="M272" s="8">
        <v>30</v>
      </c>
      <c r="N272" s="8">
        <v>30</v>
      </c>
      <c r="O272" s="8">
        <v>30</v>
      </c>
      <c r="P272" s="8">
        <v>60</v>
      </c>
      <c r="Q272" s="8">
        <v>30</v>
      </c>
      <c r="R272" s="8">
        <v>30</v>
      </c>
      <c r="S272" s="8">
        <v>30</v>
      </c>
      <c r="T272" s="8">
        <v>30</v>
      </c>
      <c r="U272" s="15">
        <v>32.307692307692299</v>
      </c>
      <c r="V272" s="6" t="s">
        <v>1462</v>
      </c>
    </row>
    <row r="273" spans="1:22" ht="30" customHeight="1">
      <c r="A273" s="6" t="s">
        <v>697</v>
      </c>
      <c r="B273" s="6" t="s">
        <v>1463</v>
      </c>
      <c r="C273" s="6" t="s">
        <v>1464</v>
      </c>
      <c r="D273" s="6" t="s">
        <v>25</v>
      </c>
      <c r="E273" s="19" t="s">
        <v>700</v>
      </c>
      <c r="F273" s="6">
        <v>30</v>
      </c>
      <c r="G273" s="14">
        <v>2.3076923076923102</v>
      </c>
      <c r="H273" s="16">
        <v>30</v>
      </c>
      <c r="I273" s="8">
        <v>30</v>
      </c>
      <c r="J273" s="8">
        <v>30</v>
      </c>
      <c r="K273" s="8">
        <v>30</v>
      </c>
      <c r="L273" s="8">
        <v>30</v>
      </c>
      <c r="M273" s="8">
        <v>30</v>
      </c>
      <c r="N273" s="8">
        <v>30</v>
      </c>
      <c r="O273" s="8">
        <v>30</v>
      </c>
      <c r="P273" s="8">
        <v>60</v>
      </c>
      <c r="Q273" s="8">
        <v>30</v>
      </c>
      <c r="R273" s="8">
        <v>30</v>
      </c>
      <c r="S273" s="8">
        <v>30</v>
      </c>
      <c r="T273" s="8">
        <v>30</v>
      </c>
      <c r="U273" s="15">
        <v>32.307692307692299</v>
      </c>
      <c r="V273" s="6" t="s">
        <v>1465</v>
      </c>
    </row>
    <row r="274" spans="1:22" ht="30" customHeight="1">
      <c r="A274" s="6" t="s">
        <v>697</v>
      </c>
      <c r="B274" s="6" t="s">
        <v>1466</v>
      </c>
      <c r="C274" s="6" t="s">
        <v>1467</v>
      </c>
      <c r="D274" s="6" t="s">
        <v>25</v>
      </c>
      <c r="E274" s="19" t="s">
        <v>700</v>
      </c>
      <c r="F274" s="6">
        <v>30</v>
      </c>
      <c r="G274" s="14">
        <v>2.3076923076923102</v>
      </c>
      <c r="H274" s="16">
        <v>30</v>
      </c>
      <c r="I274" s="8">
        <v>30</v>
      </c>
      <c r="J274" s="8">
        <v>30</v>
      </c>
      <c r="K274" s="8">
        <v>30</v>
      </c>
      <c r="L274" s="8">
        <v>30</v>
      </c>
      <c r="M274" s="8">
        <v>30</v>
      </c>
      <c r="N274" s="8">
        <v>30</v>
      </c>
      <c r="O274" s="8">
        <v>30</v>
      </c>
      <c r="P274" s="8">
        <v>60</v>
      </c>
      <c r="Q274" s="8">
        <v>30</v>
      </c>
      <c r="R274" s="8">
        <v>30</v>
      </c>
      <c r="S274" s="8">
        <v>30</v>
      </c>
      <c r="T274" s="8">
        <v>30</v>
      </c>
      <c r="U274" s="15">
        <v>32.307692307692299</v>
      </c>
      <c r="V274" s="6" t="s">
        <v>1468</v>
      </c>
    </row>
    <row r="275" spans="1:22" ht="30" customHeight="1">
      <c r="A275" s="6" t="s">
        <v>697</v>
      </c>
      <c r="B275" s="6" t="s">
        <v>1469</v>
      </c>
      <c r="C275" s="6" t="s">
        <v>1470</v>
      </c>
      <c r="D275" s="6" t="s">
        <v>25</v>
      </c>
      <c r="E275" s="19" t="s">
        <v>700</v>
      </c>
      <c r="F275" s="6">
        <v>30</v>
      </c>
      <c r="G275" s="14">
        <v>2.3076923076923102</v>
      </c>
      <c r="H275" s="16">
        <v>30</v>
      </c>
      <c r="I275" s="8">
        <v>30</v>
      </c>
      <c r="J275" s="8">
        <v>30</v>
      </c>
      <c r="K275" s="8">
        <v>30</v>
      </c>
      <c r="L275" s="8">
        <v>30</v>
      </c>
      <c r="M275" s="8">
        <v>30</v>
      </c>
      <c r="N275" s="8">
        <v>30</v>
      </c>
      <c r="O275" s="8">
        <v>30</v>
      </c>
      <c r="P275" s="8">
        <v>60</v>
      </c>
      <c r="Q275" s="8">
        <v>30</v>
      </c>
      <c r="R275" s="8">
        <v>30</v>
      </c>
      <c r="S275" s="8">
        <v>30</v>
      </c>
      <c r="T275" s="8">
        <v>30</v>
      </c>
      <c r="U275" s="15">
        <v>32.307692307692299</v>
      </c>
      <c r="V275" s="6" t="s">
        <v>1471</v>
      </c>
    </row>
    <row r="276" spans="1:22" ht="30" customHeight="1">
      <c r="A276" s="6" t="s">
        <v>697</v>
      </c>
      <c r="B276" s="6" t="s">
        <v>1472</v>
      </c>
      <c r="C276" s="6" t="s">
        <v>1473</v>
      </c>
      <c r="D276" s="6" t="s">
        <v>25</v>
      </c>
      <c r="E276" s="19" t="s">
        <v>700</v>
      </c>
      <c r="F276" s="6">
        <v>30</v>
      </c>
      <c r="G276" s="14">
        <v>2.3076923076923102</v>
      </c>
      <c r="H276" s="16">
        <v>30</v>
      </c>
      <c r="I276" s="8">
        <v>30</v>
      </c>
      <c r="J276" s="8">
        <v>30</v>
      </c>
      <c r="K276" s="8">
        <v>30</v>
      </c>
      <c r="L276" s="8">
        <v>30</v>
      </c>
      <c r="M276" s="8">
        <v>30</v>
      </c>
      <c r="N276" s="8">
        <v>30</v>
      </c>
      <c r="O276" s="8">
        <v>30</v>
      </c>
      <c r="P276" s="8">
        <v>60</v>
      </c>
      <c r="Q276" s="8">
        <v>30</v>
      </c>
      <c r="R276" s="8">
        <v>30</v>
      </c>
      <c r="S276" s="8">
        <v>30</v>
      </c>
      <c r="T276" s="8">
        <v>30</v>
      </c>
      <c r="U276" s="15">
        <v>32.307692307692299</v>
      </c>
      <c r="V276" s="6" t="s">
        <v>1474</v>
      </c>
    </row>
    <row r="277" spans="1:22" ht="30" customHeight="1">
      <c r="A277" s="6" t="s">
        <v>697</v>
      </c>
      <c r="B277" s="6" t="s">
        <v>1475</v>
      </c>
      <c r="C277" s="6" t="s">
        <v>1476</v>
      </c>
      <c r="D277" s="6" t="s">
        <v>25</v>
      </c>
      <c r="E277" s="19" t="s">
        <v>700</v>
      </c>
      <c r="F277" s="6">
        <v>30</v>
      </c>
      <c r="G277" s="14">
        <v>4.6153846153846096</v>
      </c>
      <c r="H277" s="16">
        <v>30</v>
      </c>
      <c r="I277" s="8">
        <v>30</v>
      </c>
      <c r="J277" s="8">
        <v>30</v>
      </c>
      <c r="K277" s="8">
        <v>30</v>
      </c>
      <c r="L277" s="8">
        <v>30</v>
      </c>
      <c r="M277" s="8">
        <v>30</v>
      </c>
      <c r="N277" s="8">
        <v>30</v>
      </c>
      <c r="O277" s="8">
        <v>30</v>
      </c>
      <c r="P277" s="8">
        <v>60</v>
      </c>
      <c r="Q277" s="8">
        <v>30</v>
      </c>
      <c r="R277" s="8">
        <v>60</v>
      </c>
      <c r="S277" s="8">
        <v>30</v>
      </c>
      <c r="T277" s="8">
        <v>30</v>
      </c>
      <c r="U277" s="15">
        <v>34.615384615384599</v>
      </c>
      <c r="V277" s="6" t="s">
        <v>1477</v>
      </c>
    </row>
    <row r="278" spans="1:22" ht="30" customHeight="1">
      <c r="A278" s="6" t="s">
        <v>697</v>
      </c>
      <c r="B278" s="6" t="s">
        <v>1478</v>
      </c>
      <c r="C278" s="6" t="s">
        <v>1479</v>
      </c>
      <c r="D278" s="6" t="s">
        <v>25</v>
      </c>
      <c r="E278" s="19" t="s">
        <v>700</v>
      </c>
      <c r="F278" s="6">
        <v>30</v>
      </c>
      <c r="G278" s="14">
        <v>4.6153846153846096</v>
      </c>
      <c r="H278" s="16">
        <v>30</v>
      </c>
      <c r="I278" s="8">
        <v>30</v>
      </c>
      <c r="J278" s="8">
        <v>30</v>
      </c>
      <c r="K278" s="8">
        <v>30</v>
      </c>
      <c r="L278" s="8">
        <v>30</v>
      </c>
      <c r="M278" s="8">
        <v>30</v>
      </c>
      <c r="N278" s="8">
        <v>30</v>
      </c>
      <c r="O278" s="8">
        <v>30</v>
      </c>
      <c r="P278" s="8">
        <v>60</v>
      </c>
      <c r="Q278" s="8">
        <v>30</v>
      </c>
      <c r="R278" s="8">
        <v>60</v>
      </c>
      <c r="S278" s="8">
        <v>30</v>
      </c>
      <c r="T278" s="8">
        <v>30</v>
      </c>
      <c r="U278" s="15">
        <v>34.615384615384599</v>
      </c>
      <c r="V278" s="6" t="s">
        <v>1480</v>
      </c>
    </row>
    <row r="279" spans="1:22" ht="30" customHeight="1">
      <c r="A279" s="6" t="s">
        <v>697</v>
      </c>
      <c r="B279" s="6" t="s">
        <v>1481</v>
      </c>
      <c r="C279" s="6" t="s">
        <v>1482</v>
      </c>
      <c r="D279" s="6" t="s">
        <v>25</v>
      </c>
      <c r="E279" s="19" t="s">
        <v>700</v>
      </c>
      <c r="F279" s="6">
        <v>30</v>
      </c>
      <c r="G279" s="14">
        <v>2.3076923076923102</v>
      </c>
      <c r="H279" s="16">
        <v>30</v>
      </c>
      <c r="I279" s="8">
        <v>30</v>
      </c>
      <c r="J279" s="8">
        <v>30</v>
      </c>
      <c r="K279" s="8">
        <v>30</v>
      </c>
      <c r="L279" s="8">
        <v>30</v>
      </c>
      <c r="M279" s="8">
        <v>30</v>
      </c>
      <c r="N279" s="8">
        <v>30</v>
      </c>
      <c r="O279" s="8">
        <v>30</v>
      </c>
      <c r="P279" s="8">
        <v>60</v>
      </c>
      <c r="Q279" s="8">
        <v>30</v>
      </c>
      <c r="R279" s="8">
        <v>30</v>
      </c>
      <c r="S279" s="8">
        <v>30</v>
      </c>
      <c r="T279" s="8">
        <v>30</v>
      </c>
      <c r="U279" s="15">
        <v>32.307692307692299</v>
      </c>
      <c r="V279" s="6" t="s">
        <v>1483</v>
      </c>
    </row>
    <row r="280" spans="1:22" ht="30" customHeight="1">
      <c r="A280" s="6" t="s">
        <v>697</v>
      </c>
      <c r="B280" s="6" t="s">
        <v>1484</v>
      </c>
      <c r="C280" s="6" t="s">
        <v>1485</v>
      </c>
      <c r="D280" s="6" t="s">
        <v>25</v>
      </c>
      <c r="E280" s="19" t="s">
        <v>700</v>
      </c>
      <c r="F280" s="6">
        <v>30</v>
      </c>
      <c r="G280" s="14">
        <v>2.3076923076923102</v>
      </c>
      <c r="H280" s="16">
        <v>30</v>
      </c>
      <c r="I280" s="8">
        <v>30</v>
      </c>
      <c r="J280" s="8">
        <v>30</v>
      </c>
      <c r="K280" s="8">
        <v>30</v>
      </c>
      <c r="L280" s="8">
        <v>30</v>
      </c>
      <c r="M280" s="8">
        <v>30</v>
      </c>
      <c r="N280" s="8">
        <v>30</v>
      </c>
      <c r="O280" s="8">
        <v>30</v>
      </c>
      <c r="P280" s="8">
        <v>60</v>
      </c>
      <c r="Q280" s="8">
        <v>30</v>
      </c>
      <c r="R280" s="8">
        <v>30</v>
      </c>
      <c r="S280" s="8">
        <v>30</v>
      </c>
      <c r="T280" s="8">
        <v>30</v>
      </c>
      <c r="U280" s="15">
        <v>32.307692307692299</v>
      </c>
      <c r="V280" s="6" t="s">
        <v>1486</v>
      </c>
    </row>
    <row r="281" spans="1:22" ht="30" customHeight="1">
      <c r="A281" s="6" t="s">
        <v>697</v>
      </c>
      <c r="B281" s="6" t="s">
        <v>1487</v>
      </c>
      <c r="C281" s="6" t="s">
        <v>1488</v>
      </c>
      <c r="D281" s="6" t="s">
        <v>25</v>
      </c>
      <c r="E281" s="19" t="s">
        <v>700</v>
      </c>
      <c r="F281" s="6">
        <v>30</v>
      </c>
      <c r="G281" s="14">
        <v>2.3076923076923102</v>
      </c>
      <c r="H281" s="16">
        <v>30</v>
      </c>
      <c r="I281" s="8">
        <v>30</v>
      </c>
      <c r="J281" s="8">
        <v>30</v>
      </c>
      <c r="K281" s="8">
        <v>30</v>
      </c>
      <c r="L281" s="8">
        <v>30</v>
      </c>
      <c r="M281" s="8">
        <v>30</v>
      </c>
      <c r="N281" s="8">
        <v>30</v>
      </c>
      <c r="O281" s="8">
        <v>30</v>
      </c>
      <c r="P281" s="8">
        <v>60</v>
      </c>
      <c r="Q281" s="8">
        <v>30</v>
      </c>
      <c r="R281" s="8">
        <v>30</v>
      </c>
      <c r="S281" s="8">
        <v>30</v>
      </c>
      <c r="T281" s="8">
        <v>30</v>
      </c>
      <c r="U281" s="15">
        <v>32.307692307692299</v>
      </c>
      <c r="V281" s="6" t="s">
        <v>1489</v>
      </c>
    </row>
    <row r="282" spans="1:22" ht="30" customHeight="1">
      <c r="A282" s="6" t="s">
        <v>697</v>
      </c>
      <c r="B282" s="6" t="s">
        <v>1490</v>
      </c>
      <c r="C282" s="6" t="s">
        <v>1491</v>
      </c>
      <c r="D282" s="6" t="s">
        <v>25</v>
      </c>
      <c r="E282" s="19" t="s">
        <v>704</v>
      </c>
      <c r="F282" s="6">
        <v>100</v>
      </c>
      <c r="G282" s="14">
        <v>454</v>
      </c>
      <c r="H282" s="16">
        <v>217</v>
      </c>
      <c r="I282" s="8">
        <v>964</v>
      </c>
      <c r="J282" s="8">
        <v>634</v>
      </c>
      <c r="K282" s="8">
        <v>635</v>
      </c>
      <c r="L282" s="8">
        <v>499</v>
      </c>
      <c r="M282" s="8">
        <v>790</v>
      </c>
      <c r="N282" s="8">
        <v>845</v>
      </c>
      <c r="O282" s="8">
        <v>471</v>
      </c>
      <c r="P282" s="8">
        <v>386</v>
      </c>
      <c r="Q282" s="8">
        <v>715</v>
      </c>
      <c r="R282" s="8">
        <v>503</v>
      </c>
      <c r="S282" s="8">
        <v>443</v>
      </c>
      <c r="T282" s="8">
        <v>100</v>
      </c>
      <c r="U282" s="15">
        <v>554</v>
      </c>
      <c r="V282" s="6" t="s">
        <v>1492</v>
      </c>
    </row>
    <row r="283" spans="1:22" ht="30" customHeight="1">
      <c r="A283" s="6" t="s">
        <v>697</v>
      </c>
      <c r="B283" s="6" t="s">
        <v>1493</v>
      </c>
      <c r="C283" s="6" t="s">
        <v>1494</v>
      </c>
      <c r="D283" s="6" t="s">
        <v>25</v>
      </c>
      <c r="E283" s="19" t="s">
        <v>700</v>
      </c>
      <c r="F283" s="6">
        <v>30</v>
      </c>
      <c r="G283" s="14">
        <v>4.6153846153846096</v>
      </c>
      <c r="H283" s="16">
        <v>30</v>
      </c>
      <c r="I283" s="8">
        <v>30</v>
      </c>
      <c r="J283" s="8">
        <v>30</v>
      </c>
      <c r="K283" s="8">
        <v>30</v>
      </c>
      <c r="L283" s="8">
        <v>30</v>
      </c>
      <c r="M283" s="8">
        <v>30</v>
      </c>
      <c r="N283" s="8">
        <v>30</v>
      </c>
      <c r="O283" s="8">
        <v>30</v>
      </c>
      <c r="P283" s="8">
        <v>60</v>
      </c>
      <c r="Q283" s="8">
        <v>30</v>
      </c>
      <c r="R283" s="8">
        <v>60</v>
      </c>
      <c r="S283" s="8">
        <v>30</v>
      </c>
      <c r="T283" s="8">
        <v>30</v>
      </c>
      <c r="U283" s="15">
        <v>34.615384615384599</v>
      </c>
      <c r="V283" s="6" t="s">
        <v>1495</v>
      </c>
    </row>
    <row r="284" spans="1:22" ht="30" customHeight="1">
      <c r="A284" s="6" t="s">
        <v>697</v>
      </c>
      <c r="B284" s="6" t="s">
        <v>1496</v>
      </c>
      <c r="C284" s="6" t="s">
        <v>1497</v>
      </c>
      <c r="D284" s="6" t="s">
        <v>25</v>
      </c>
      <c r="E284" s="19" t="s">
        <v>700</v>
      </c>
      <c r="F284" s="6">
        <v>30</v>
      </c>
      <c r="G284" s="14">
        <v>2.3076923076923102</v>
      </c>
      <c r="H284" s="16">
        <v>30</v>
      </c>
      <c r="I284" s="8">
        <v>30</v>
      </c>
      <c r="J284" s="8">
        <v>30</v>
      </c>
      <c r="K284" s="8">
        <v>30</v>
      </c>
      <c r="L284" s="8">
        <v>30</v>
      </c>
      <c r="M284" s="8">
        <v>30</v>
      </c>
      <c r="N284" s="8">
        <v>30</v>
      </c>
      <c r="O284" s="8">
        <v>30</v>
      </c>
      <c r="P284" s="8">
        <v>60</v>
      </c>
      <c r="Q284" s="8">
        <v>30</v>
      </c>
      <c r="R284" s="8">
        <v>30</v>
      </c>
      <c r="S284" s="8">
        <v>30</v>
      </c>
      <c r="T284" s="8">
        <v>30</v>
      </c>
      <c r="U284" s="15">
        <v>32.307692307692299</v>
      </c>
      <c r="V284" s="6" t="s">
        <v>1498</v>
      </c>
    </row>
    <row r="285" spans="1:22" ht="30" customHeight="1">
      <c r="A285" s="6" t="s">
        <v>697</v>
      </c>
      <c r="B285" s="6" t="s">
        <v>1499</v>
      </c>
      <c r="C285" s="6" t="s">
        <v>1500</v>
      </c>
      <c r="D285" s="6" t="s">
        <v>25</v>
      </c>
      <c r="E285" s="19" t="s">
        <v>700</v>
      </c>
      <c r="F285" s="6">
        <v>30</v>
      </c>
      <c r="G285" s="14">
        <v>2.3076923076923102</v>
      </c>
      <c r="H285" s="16">
        <v>30</v>
      </c>
      <c r="I285" s="8">
        <v>30</v>
      </c>
      <c r="J285" s="8">
        <v>30</v>
      </c>
      <c r="K285" s="8">
        <v>30</v>
      </c>
      <c r="L285" s="8">
        <v>30</v>
      </c>
      <c r="M285" s="8">
        <v>30</v>
      </c>
      <c r="N285" s="8">
        <v>30</v>
      </c>
      <c r="O285" s="8">
        <v>30</v>
      </c>
      <c r="P285" s="8">
        <v>60</v>
      </c>
      <c r="Q285" s="8">
        <v>30</v>
      </c>
      <c r="R285" s="8">
        <v>30</v>
      </c>
      <c r="S285" s="8">
        <v>30</v>
      </c>
      <c r="T285" s="8">
        <v>30</v>
      </c>
      <c r="U285" s="15">
        <v>32.307692307692299</v>
      </c>
      <c r="V285" s="6" t="s">
        <v>1501</v>
      </c>
    </row>
    <row r="286" spans="1:22" ht="30" customHeight="1">
      <c r="A286" s="6" t="s">
        <v>697</v>
      </c>
      <c r="B286" s="6" t="s">
        <v>1502</v>
      </c>
      <c r="C286" s="6" t="s">
        <v>1503</v>
      </c>
      <c r="D286" s="6" t="s">
        <v>25</v>
      </c>
      <c r="E286" s="19" t="s">
        <v>700</v>
      </c>
      <c r="F286" s="6">
        <v>30</v>
      </c>
      <c r="G286" s="14">
        <v>2.3076923076923102</v>
      </c>
      <c r="H286" s="16">
        <v>30</v>
      </c>
      <c r="I286" s="8">
        <v>30</v>
      </c>
      <c r="J286" s="8">
        <v>30</v>
      </c>
      <c r="K286" s="8">
        <v>30</v>
      </c>
      <c r="L286" s="8">
        <v>30</v>
      </c>
      <c r="M286" s="8">
        <v>30</v>
      </c>
      <c r="N286" s="8">
        <v>30</v>
      </c>
      <c r="O286" s="8">
        <v>30</v>
      </c>
      <c r="P286" s="8">
        <v>60</v>
      </c>
      <c r="Q286" s="8">
        <v>30</v>
      </c>
      <c r="R286" s="8">
        <v>30</v>
      </c>
      <c r="S286" s="8">
        <v>30</v>
      </c>
      <c r="T286" s="8">
        <v>30</v>
      </c>
      <c r="U286" s="15">
        <v>32.307692307692299</v>
      </c>
      <c r="V286" s="6" t="s">
        <v>1504</v>
      </c>
    </row>
    <row r="287" spans="1:22" ht="30" customHeight="1">
      <c r="A287" s="6" t="s">
        <v>697</v>
      </c>
      <c r="B287" s="6" t="s">
        <v>1505</v>
      </c>
      <c r="C287" s="6" t="s">
        <v>1506</v>
      </c>
      <c r="D287" s="6" t="s">
        <v>25</v>
      </c>
      <c r="E287" s="19" t="s">
        <v>700</v>
      </c>
      <c r="F287" s="6">
        <v>30</v>
      </c>
      <c r="G287" s="14">
        <v>2.3076923076923102</v>
      </c>
      <c r="H287" s="16">
        <v>30</v>
      </c>
      <c r="I287" s="8">
        <v>30</v>
      </c>
      <c r="J287" s="8">
        <v>30</v>
      </c>
      <c r="K287" s="8">
        <v>30</v>
      </c>
      <c r="L287" s="8">
        <v>30</v>
      </c>
      <c r="M287" s="8">
        <v>30</v>
      </c>
      <c r="N287" s="8">
        <v>30</v>
      </c>
      <c r="O287" s="8">
        <v>30</v>
      </c>
      <c r="P287" s="8">
        <v>60</v>
      </c>
      <c r="Q287" s="8">
        <v>30</v>
      </c>
      <c r="R287" s="8">
        <v>30</v>
      </c>
      <c r="S287" s="8">
        <v>30</v>
      </c>
      <c r="T287" s="8">
        <v>30</v>
      </c>
      <c r="U287" s="15">
        <v>32.307692307692299</v>
      </c>
      <c r="V287" s="6" t="s">
        <v>1311</v>
      </c>
    </row>
    <row r="288" spans="1:22" ht="30" customHeight="1">
      <c r="A288" s="6" t="s">
        <v>697</v>
      </c>
      <c r="B288" s="6" t="s">
        <v>1507</v>
      </c>
      <c r="C288" s="6" t="s">
        <v>1508</v>
      </c>
      <c r="D288" s="6" t="s">
        <v>25</v>
      </c>
      <c r="E288" s="19" t="s">
        <v>700</v>
      </c>
      <c r="F288" s="6">
        <v>30</v>
      </c>
      <c r="G288" s="14">
        <v>2.3076923076923102</v>
      </c>
      <c r="H288" s="16">
        <v>30</v>
      </c>
      <c r="I288" s="8">
        <v>30</v>
      </c>
      <c r="J288" s="8">
        <v>30</v>
      </c>
      <c r="K288" s="8">
        <v>30</v>
      </c>
      <c r="L288" s="8">
        <v>30</v>
      </c>
      <c r="M288" s="8">
        <v>30</v>
      </c>
      <c r="N288" s="8">
        <v>30</v>
      </c>
      <c r="O288" s="8">
        <v>30</v>
      </c>
      <c r="P288" s="8">
        <v>60</v>
      </c>
      <c r="Q288" s="8">
        <v>30</v>
      </c>
      <c r="R288" s="8">
        <v>30</v>
      </c>
      <c r="S288" s="8">
        <v>30</v>
      </c>
      <c r="T288" s="8">
        <v>30</v>
      </c>
      <c r="U288" s="15">
        <v>32.307692307692299</v>
      </c>
      <c r="V288" s="6" t="s">
        <v>1509</v>
      </c>
    </row>
    <row r="289" spans="1:22" ht="30" customHeight="1">
      <c r="A289" s="6" t="s">
        <v>697</v>
      </c>
      <c r="B289" s="6" t="s">
        <v>1510</v>
      </c>
      <c r="C289" s="6" t="s">
        <v>1511</v>
      </c>
      <c r="D289" s="6" t="s">
        <v>25</v>
      </c>
      <c r="E289" s="19" t="s">
        <v>700</v>
      </c>
      <c r="F289" s="6">
        <v>30</v>
      </c>
      <c r="G289" s="14">
        <v>2.3076923076923102</v>
      </c>
      <c r="H289" s="16">
        <v>30</v>
      </c>
      <c r="I289" s="8">
        <v>30</v>
      </c>
      <c r="J289" s="8">
        <v>30</v>
      </c>
      <c r="K289" s="8">
        <v>30</v>
      </c>
      <c r="L289" s="8">
        <v>30</v>
      </c>
      <c r="M289" s="8">
        <v>30</v>
      </c>
      <c r="N289" s="8">
        <v>30</v>
      </c>
      <c r="O289" s="8">
        <v>30</v>
      </c>
      <c r="P289" s="8">
        <v>60</v>
      </c>
      <c r="Q289" s="8">
        <v>30</v>
      </c>
      <c r="R289" s="8">
        <v>30</v>
      </c>
      <c r="S289" s="8">
        <v>30</v>
      </c>
      <c r="T289" s="8">
        <v>30</v>
      </c>
      <c r="U289" s="15">
        <v>32.307692307692299</v>
      </c>
      <c r="V289" s="6" t="s">
        <v>1512</v>
      </c>
    </row>
    <row r="290" spans="1:22" ht="30" customHeight="1">
      <c r="A290" s="6" t="s">
        <v>697</v>
      </c>
      <c r="B290" s="6" t="s">
        <v>1513</v>
      </c>
      <c r="C290" s="6" t="s">
        <v>1514</v>
      </c>
      <c r="D290" s="6" t="s">
        <v>25</v>
      </c>
      <c r="E290" s="19" t="s">
        <v>700</v>
      </c>
      <c r="F290" s="6">
        <v>30</v>
      </c>
      <c r="G290" s="14">
        <v>2.3076923076923102</v>
      </c>
      <c r="H290" s="16">
        <v>30</v>
      </c>
      <c r="I290" s="8">
        <v>30</v>
      </c>
      <c r="J290" s="8">
        <v>30</v>
      </c>
      <c r="K290" s="8">
        <v>30</v>
      </c>
      <c r="L290" s="8">
        <v>30</v>
      </c>
      <c r="M290" s="8">
        <v>30</v>
      </c>
      <c r="N290" s="8">
        <v>30</v>
      </c>
      <c r="O290" s="8">
        <v>30</v>
      </c>
      <c r="P290" s="8">
        <v>60</v>
      </c>
      <c r="Q290" s="8">
        <v>30</v>
      </c>
      <c r="R290" s="8">
        <v>30</v>
      </c>
      <c r="S290" s="8">
        <v>30</v>
      </c>
      <c r="T290" s="8">
        <v>30</v>
      </c>
      <c r="U290" s="15">
        <v>32.307692307692299</v>
      </c>
      <c r="V290" s="6" t="s">
        <v>1515</v>
      </c>
    </row>
    <row r="291" spans="1:22" ht="30" customHeight="1">
      <c r="A291" s="6" t="s">
        <v>697</v>
      </c>
      <c r="B291" s="6" t="s">
        <v>1516</v>
      </c>
      <c r="C291" s="6" t="s">
        <v>1517</v>
      </c>
      <c r="D291" s="6" t="s">
        <v>25</v>
      </c>
      <c r="E291" s="19" t="s">
        <v>700</v>
      </c>
      <c r="F291" s="6">
        <v>30</v>
      </c>
      <c r="G291" s="14">
        <v>2.3076923076923102</v>
      </c>
      <c r="H291" s="16">
        <v>30</v>
      </c>
      <c r="I291" s="8">
        <v>30</v>
      </c>
      <c r="J291" s="8">
        <v>30</v>
      </c>
      <c r="K291" s="8">
        <v>30</v>
      </c>
      <c r="L291" s="8">
        <v>30</v>
      </c>
      <c r="M291" s="8">
        <v>30</v>
      </c>
      <c r="N291" s="8">
        <v>30</v>
      </c>
      <c r="O291" s="8">
        <v>30</v>
      </c>
      <c r="P291" s="8">
        <v>60</v>
      </c>
      <c r="Q291" s="8">
        <v>30</v>
      </c>
      <c r="R291" s="8">
        <v>30</v>
      </c>
      <c r="S291" s="8">
        <v>30</v>
      </c>
      <c r="T291" s="8">
        <v>30</v>
      </c>
      <c r="U291" s="15">
        <v>32.307692307692299</v>
      </c>
      <c r="V291" s="6" t="s">
        <v>1286</v>
      </c>
    </row>
    <row r="292" spans="1:22" ht="30" customHeight="1">
      <c r="A292" s="6" t="s">
        <v>697</v>
      </c>
      <c r="B292" s="6" t="s">
        <v>1518</v>
      </c>
      <c r="C292" s="6" t="s">
        <v>1519</v>
      </c>
      <c r="D292" s="6" t="s">
        <v>25</v>
      </c>
      <c r="E292" s="19" t="s">
        <v>700</v>
      </c>
      <c r="F292" s="6">
        <v>30</v>
      </c>
      <c r="G292" s="14">
        <v>2.3076923076923102</v>
      </c>
      <c r="H292" s="16">
        <v>30</v>
      </c>
      <c r="I292" s="8">
        <v>30</v>
      </c>
      <c r="J292" s="8">
        <v>30</v>
      </c>
      <c r="K292" s="8">
        <v>30</v>
      </c>
      <c r="L292" s="8">
        <v>30</v>
      </c>
      <c r="M292" s="8">
        <v>30</v>
      </c>
      <c r="N292" s="8">
        <v>30</v>
      </c>
      <c r="O292" s="8">
        <v>30</v>
      </c>
      <c r="P292" s="8">
        <v>60</v>
      </c>
      <c r="Q292" s="8">
        <v>30</v>
      </c>
      <c r="R292" s="8">
        <v>30</v>
      </c>
      <c r="S292" s="8">
        <v>30</v>
      </c>
      <c r="T292" s="8">
        <v>30</v>
      </c>
      <c r="U292" s="15">
        <v>32.307692307692299</v>
      </c>
      <c r="V292" s="6" t="s">
        <v>1520</v>
      </c>
    </row>
    <row r="293" spans="1:22" ht="30" customHeight="1">
      <c r="A293" s="6" t="s">
        <v>697</v>
      </c>
      <c r="B293" s="6" t="s">
        <v>1521</v>
      </c>
      <c r="C293" s="6" t="s">
        <v>1522</v>
      </c>
      <c r="D293" s="6" t="s">
        <v>25</v>
      </c>
      <c r="E293" s="19" t="s">
        <v>700</v>
      </c>
      <c r="F293" s="6">
        <v>30</v>
      </c>
      <c r="G293" s="6">
        <v>4.6153846153846096</v>
      </c>
      <c r="H293" s="16">
        <v>30</v>
      </c>
      <c r="I293" s="16">
        <v>30</v>
      </c>
      <c r="J293" s="16">
        <v>30</v>
      </c>
      <c r="K293" s="16">
        <v>30</v>
      </c>
      <c r="L293" s="16">
        <v>30</v>
      </c>
      <c r="M293" s="16">
        <v>30</v>
      </c>
      <c r="N293" s="16">
        <v>30</v>
      </c>
      <c r="O293" s="16">
        <v>30</v>
      </c>
      <c r="P293" s="16">
        <v>60</v>
      </c>
      <c r="Q293" s="16">
        <v>30</v>
      </c>
      <c r="R293" s="16">
        <v>60</v>
      </c>
      <c r="S293" s="16">
        <v>30</v>
      </c>
      <c r="T293" s="16">
        <v>30</v>
      </c>
      <c r="U293" s="15">
        <v>34.615384615384599</v>
      </c>
      <c r="V293" s="6" t="s">
        <v>1523</v>
      </c>
    </row>
    <row r="294" spans="1:22" ht="30" customHeight="1">
      <c r="A294" s="6" t="s">
        <v>697</v>
      </c>
      <c r="B294" s="6" t="s">
        <v>1524</v>
      </c>
      <c r="C294" s="6" t="s">
        <v>1525</v>
      </c>
      <c r="D294" s="6" t="s">
        <v>25</v>
      </c>
      <c r="E294" s="19" t="s">
        <v>700</v>
      </c>
      <c r="F294" s="6">
        <v>30</v>
      </c>
      <c r="G294" s="14">
        <v>4.6153846153846096</v>
      </c>
      <c r="H294" s="16">
        <v>30</v>
      </c>
      <c r="I294" s="8">
        <v>30</v>
      </c>
      <c r="J294" s="8">
        <v>30</v>
      </c>
      <c r="K294" s="8">
        <v>30</v>
      </c>
      <c r="L294" s="8">
        <v>30</v>
      </c>
      <c r="M294" s="8">
        <v>30</v>
      </c>
      <c r="N294" s="8">
        <v>30</v>
      </c>
      <c r="O294" s="8">
        <v>30</v>
      </c>
      <c r="P294" s="8">
        <v>60</v>
      </c>
      <c r="Q294" s="8">
        <v>30</v>
      </c>
      <c r="R294" s="8">
        <v>60</v>
      </c>
      <c r="S294" s="8">
        <v>30</v>
      </c>
      <c r="T294" s="8">
        <v>30</v>
      </c>
      <c r="U294" s="15">
        <v>34.615384615384599</v>
      </c>
      <c r="V294" s="6" t="s">
        <v>1526</v>
      </c>
    </row>
    <row r="295" spans="1:22" ht="30" customHeight="1">
      <c r="A295" s="6" t="s">
        <v>697</v>
      </c>
      <c r="B295" s="6" t="s">
        <v>1527</v>
      </c>
      <c r="C295" s="6" t="s">
        <v>1528</v>
      </c>
      <c r="D295" s="6" t="s">
        <v>25</v>
      </c>
      <c r="E295" s="19" t="s">
        <v>700</v>
      </c>
      <c r="F295" s="6">
        <v>30</v>
      </c>
      <c r="G295" s="14">
        <v>2.3076923076923102</v>
      </c>
      <c r="H295" s="16">
        <v>30</v>
      </c>
      <c r="I295" s="8">
        <v>30</v>
      </c>
      <c r="J295" s="8">
        <v>30</v>
      </c>
      <c r="K295" s="8">
        <v>30</v>
      </c>
      <c r="L295" s="8">
        <v>30</v>
      </c>
      <c r="M295" s="8">
        <v>30</v>
      </c>
      <c r="N295" s="8">
        <v>30</v>
      </c>
      <c r="O295" s="8">
        <v>30</v>
      </c>
      <c r="P295" s="8">
        <v>60</v>
      </c>
      <c r="Q295" s="8">
        <v>30</v>
      </c>
      <c r="R295" s="8">
        <v>30</v>
      </c>
      <c r="S295" s="8">
        <v>30</v>
      </c>
      <c r="T295" s="8">
        <v>30</v>
      </c>
      <c r="U295" s="15">
        <v>32.307692307692299</v>
      </c>
      <c r="V295" s="6" t="s">
        <v>1405</v>
      </c>
    </row>
    <row r="296" spans="1:22" ht="30" customHeight="1">
      <c r="A296" s="6" t="s">
        <v>697</v>
      </c>
      <c r="B296" s="6" t="s">
        <v>1529</v>
      </c>
      <c r="C296" s="6" t="s">
        <v>1530</v>
      </c>
      <c r="D296" s="6" t="s">
        <v>25</v>
      </c>
      <c r="E296" s="19" t="s">
        <v>700</v>
      </c>
      <c r="F296" s="6">
        <v>30</v>
      </c>
      <c r="G296" s="14">
        <v>2.3076923076923102</v>
      </c>
      <c r="H296" s="16">
        <v>30</v>
      </c>
      <c r="I296" s="8">
        <v>30</v>
      </c>
      <c r="J296" s="8">
        <v>30</v>
      </c>
      <c r="K296" s="8">
        <v>30</v>
      </c>
      <c r="L296" s="8">
        <v>30</v>
      </c>
      <c r="M296" s="8">
        <v>30</v>
      </c>
      <c r="N296" s="8">
        <v>30</v>
      </c>
      <c r="O296" s="8">
        <v>30</v>
      </c>
      <c r="P296" s="8">
        <v>60</v>
      </c>
      <c r="Q296" s="8">
        <v>30</v>
      </c>
      <c r="R296" s="8">
        <v>30</v>
      </c>
      <c r="S296" s="8">
        <v>30</v>
      </c>
      <c r="T296" s="8">
        <v>30</v>
      </c>
      <c r="U296" s="15">
        <v>32.307692307692299</v>
      </c>
      <c r="V296" s="6" t="s">
        <v>1531</v>
      </c>
    </row>
    <row r="297" spans="1:22" ht="30" customHeight="1">
      <c r="A297" s="6" t="s">
        <v>697</v>
      </c>
      <c r="B297" s="6" t="s">
        <v>1532</v>
      </c>
      <c r="C297" s="6" t="s">
        <v>1533</v>
      </c>
      <c r="D297" s="6" t="s">
        <v>25</v>
      </c>
      <c r="E297" s="19" t="s">
        <v>700</v>
      </c>
      <c r="F297" s="6">
        <v>30</v>
      </c>
      <c r="G297" s="14">
        <v>2.3076923076923102</v>
      </c>
      <c r="H297" s="16">
        <v>30</v>
      </c>
      <c r="I297" s="8">
        <v>30</v>
      </c>
      <c r="J297" s="8">
        <v>30</v>
      </c>
      <c r="K297" s="8">
        <v>30</v>
      </c>
      <c r="L297" s="8">
        <v>30</v>
      </c>
      <c r="M297" s="8">
        <v>30</v>
      </c>
      <c r="N297" s="8">
        <v>30</v>
      </c>
      <c r="O297" s="8">
        <v>30</v>
      </c>
      <c r="P297" s="8">
        <v>60</v>
      </c>
      <c r="Q297" s="8">
        <v>30</v>
      </c>
      <c r="R297" s="8">
        <v>30</v>
      </c>
      <c r="S297" s="8">
        <v>30</v>
      </c>
      <c r="T297" s="8">
        <v>30</v>
      </c>
      <c r="U297" s="15">
        <v>32.307692307692299</v>
      </c>
      <c r="V297" s="6" t="s">
        <v>1534</v>
      </c>
    </row>
    <row r="298" spans="1:22" ht="30" customHeight="1">
      <c r="A298" s="6" t="s">
        <v>697</v>
      </c>
      <c r="B298" s="6" t="s">
        <v>1535</v>
      </c>
      <c r="C298" s="6" t="s">
        <v>1536</v>
      </c>
      <c r="D298" s="6" t="s">
        <v>25</v>
      </c>
      <c r="E298" s="19" t="s">
        <v>700</v>
      </c>
      <c r="F298" s="6">
        <v>30</v>
      </c>
      <c r="G298" s="14">
        <v>2.3076923076923102</v>
      </c>
      <c r="H298" s="16">
        <v>30</v>
      </c>
      <c r="I298" s="8">
        <v>30</v>
      </c>
      <c r="J298" s="8">
        <v>30</v>
      </c>
      <c r="K298" s="8">
        <v>30</v>
      </c>
      <c r="L298" s="8">
        <v>30</v>
      </c>
      <c r="M298" s="8">
        <v>30</v>
      </c>
      <c r="N298" s="8">
        <v>30</v>
      </c>
      <c r="O298" s="8">
        <v>30</v>
      </c>
      <c r="P298" s="8">
        <v>60</v>
      </c>
      <c r="Q298" s="8">
        <v>30</v>
      </c>
      <c r="R298" s="8">
        <v>30</v>
      </c>
      <c r="S298" s="8">
        <v>30</v>
      </c>
      <c r="T298" s="8">
        <v>30</v>
      </c>
      <c r="U298" s="15">
        <v>32.307692307692299</v>
      </c>
      <c r="V298" s="6" t="s">
        <v>1537</v>
      </c>
    </row>
    <row r="299" spans="1:22" ht="30" customHeight="1">
      <c r="A299" s="6" t="s">
        <v>697</v>
      </c>
      <c r="B299" s="6" t="s">
        <v>1538</v>
      </c>
      <c r="C299" s="6" t="s">
        <v>1539</v>
      </c>
      <c r="D299" s="6" t="s">
        <v>25</v>
      </c>
      <c r="E299" s="19" t="s">
        <v>700</v>
      </c>
      <c r="F299" s="6">
        <v>30</v>
      </c>
      <c r="G299" s="14">
        <v>2.3076923076923102</v>
      </c>
      <c r="H299" s="16">
        <v>30</v>
      </c>
      <c r="I299" s="8">
        <v>30</v>
      </c>
      <c r="J299" s="8">
        <v>30</v>
      </c>
      <c r="K299" s="8">
        <v>30</v>
      </c>
      <c r="L299" s="8">
        <v>30</v>
      </c>
      <c r="M299" s="8">
        <v>30</v>
      </c>
      <c r="N299" s="8">
        <v>30</v>
      </c>
      <c r="O299" s="8">
        <v>30</v>
      </c>
      <c r="P299" s="8">
        <v>60</v>
      </c>
      <c r="Q299" s="8">
        <v>30</v>
      </c>
      <c r="R299" s="8">
        <v>30</v>
      </c>
      <c r="S299" s="8">
        <v>30</v>
      </c>
      <c r="T299" s="8">
        <v>30</v>
      </c>
      <c r="U299" s="15">
        <v>32.307692307692299</v>
      </c>
      <c r="V299" s="6" t="s">
        <v>1540</v>
      </c>
    </row>
    <row r="300" spans="1:22" ht="30" customHeight="1">
      <c r="A300" s="6" t="s">
        <v>697</v>
      </c>
      <c r="B300" s="6" t="s">
        <v>1541</v>
      </c>
      <c r="C300" s="6" t="s">
        <v>1542</v>
      </c>
      <c r="D300" s="6" t="s">
        <v>25</v>
      </c>
      <c r="E300" s="19" t="s">
        <v>700</v>
      </c>
      <c r="F300" s="6">
        <v>30</v>
      </c>
      <c r="G300" s="14">
        <v>4.6153846153846096</v>
      </c>
      <c r="H300" s="16">
        <v>30</v>
      </c>
      <c r="I300" s="8">
        <v>30</v>
      </c>
      <c r="J300" s="8">
        <v>30</v>
      </c>
      <c r="K300" s="8">
        <v>30</v>
      </c>
      <c r="L300" s="8">
        <v>30</v>
      </c>
      <c r="M300" s="8">
        <v>30</v>
      </c>
      <c r="N300" s="8">
        <v>30</v>
      </c>
      <c r="O300" s="8">
        <v>30</v>
      </c>
      <c r="P300" s="8">
        <v>60</v>
      </c>
      <c r="Q300" s="8">
        <v>30</v>
      </c>
      <c r="R300" s="8">
        <v>60</v>
      </c>
      <c r="S300" s="8">
        <v>30</v>
      </c>
      <c r="T300" s="8">
        <v>30</v>
      </c>
      <c r="U300" s="15">
        <v>34.615384615384599</v>
      </c>
      <c r="V300" s="6" t="s">
        <v>1543</v>
      </c>
    </row>
    <row r="301" spans="1:22" ht="30" customHeight="1">
      <c r="A301" s="6" t="s">
        <v>697</v>
      </c>
      <c r="B301" s="6" t="s">
        <v>1544</v>
      </c>
      <c r="C301" s="6" t="s">
        <v>1545</v>
      </c>
      <c r="D301" s="6" t="s">
        <v>25</v>
      </c>
      <c r="E301" s="19" t="s">
        <v>700</v>
      </c>
      <c r="F301" s="6">
        <v>30</v>
      </c>
      <c r="G301" s="14">
        <v>4.6153846153846096</v>
      </c>
      <c r="H301" s="16">
        <v>30</v>
      </c>
      <c r="I301" s="8">
        <v>30</v>
      </c>
      <c r="J301" s="8">
        <v>30</v>
      </c>
      <c r="K301" s="8">
        <v>30</v>
      </c>
      <c r="L301" s="8">
        <v>30</v>
      </c>
      <c r="M301" s="8">
        <v>30</v>
      </c>
      <c r="N301" s="8">
        <v>30</v>
      </c>
      <c r="O301" s="8">
        <v>30</v>
      </c>
      <c r="P301" s="8">
        <v>60</v>
      </c>
      <c r="Q301" s="8">
        <v>30</v>
      </c>
      <c r="R301" s="8">
        <v>60</v>
      </c>
      <c r="S301" s="8">
        <v>30</v>
      </c>
      <c r="T301" s="8">
        <v>30</v>
      </c>
      <c r="U301" s="15">
        <v>34.615384615384599</v>
      </c>
      <c r="V301" s="6" t="s">
        <v>1546</v>
      </c>
    </row>
    <row r="302" spans="1:22" ht="30" customHeight="1">
      <c r="A302" s="6" t="s">
        <v>697</v>
      </c>
      <c r="B302" s="6" t="s">
        <v>1547</v>
      </c>
      <c r="C302" s="6" t="s">
        <v>1548</v>
      </c>
      <c r="D302" s="6" t="s">
        <v>25</v>
      </c>
      <c r="E302" s="19" t="s">
        <v>700</v>
      </c>
      <c r="F302" s="6">
        <v>30</v>
      </c>
      <c r="G302" s="14">
        <v>2.3076923076923102</v>
      </c>
      <c r="H302" s="16">
        <v>30</v>
      </c>
      <c r="I302" s="8">
        <v>30</v>
      </c>
      <c r="J302" s="8">
        <v>30</v>
      </c>
      <c r="K302" s="8">
        <v>30</v>
      </c>
      <c r="L302" s="8">
        <v>30</v>
      </c>
      <c r="M302" s="8">
        <v>30</v>
      </c>
      <c r="N302" s="8">
        <v>30</v>
      </c>
      <c r="O302" s="8">
        <v>30</v>
      </c>
      <c r="P302" s="8">
        <v>60</v>
      </c>
      <c r="Q302" s="8">
        <v>30</v>
      </c>
      <c r="R302" s="8">
        <v>30</v>
      </c>
      <c r="S302" s="8">
        <v>30</v>
      </c>
      <c r="T302" s="8">
        <v>30</v>
      </c>
      <c r="U302" s="15">
        <v>32.307692307692299</v>
      </c>
      <c r="V302" s="6" t="s">
        <v>1549</v>
      </c>
    </row>
    <row r="303" spans="1:22" ht="30" customHeight="1">
      <c r="A303" s="6" t="s">
        <v>697</v>
      </c>
      <c r="B303" s="6" t="s">
        <v>1550</v>
      </c>
      <c r="C303" s="6" t="s">
        <v>1551</v>
      </c>
      <c r="D303" s="6" t="s">
        <v>25</v>
      </c>
      <c r="E303" s="19" t="s">
        <v>700</v>
      </c>
      <c r="F303" s="6">
        <v>30</v>
      </c>
      <c r="G303" s="14">
        <v>4.6153846153846096</v>
      </c>
      <c r="H303" s="16">
        <v>30</v>
      </c>
      <c r="I303" s="8">
        <v>30</v>
      </c>
      <c r="J303" s="8">
        <v>30</v>
      </c>
      <c r="K303" s="8">
        <v>30</v>
      </c>
      <c r="L303" s="8">
        <v>30</v>
      </c>
      <c r="M303" s="8">
        <v>30</v>
      </c>
      <c r="N303" s="8">
        <v>30</v>
      </c>
      <c r="O303" s="8">
        <v>30</v>
      </c>
      <c r="P303" s="8">
        <v>60</v>
      </c>
      <c r="Q303" s="8">
        <v>30</v>
      </c>
      <c r="R303" s="8">
        <v>60</v>
      </c>
      <c r="S303" s="8">
        <v>30</v>
      </c>
      <c r="T303" s="8">
        <v>30</v>
      </c>
      <c r="U303" s="15">
        <v>34.615384615384599</v>
      </c>
      <c r="V303" s="6" t="s">
        <v>1552</v>
      </c>
    </row>
    <row r="304" spans="1:22" ht="30" customHeight="1">
      <c r="A304" s="6" t="s">
        <v>697</v>
      </c>
      <c r="B304" s="6" t="s">
        <v>1553</v>
      </c>
      <c r="C304" s="6" t="s">
        <v>1554</v>
      </c>
      <c r="D304" s="6" t="s">
        <v>25</v>
      </c>
      <c r="E304" s="19" t="s">
        <v>700</v>
      </c>
      <c r="F304" s="6">
        <v>30</v>
      </c>
      <c r="G304" s="14">
        <v>2.3076923076923102</v>
      </c>
      <c r="H304" s="16">
        <v>30</v>
      </c>
      <c r="I304" s="8">
        <v>30</v>
      </c>
      <c r="J304" s="8">
        <v>30</v>
      </c>
      <c r="K304" s="8">
        <v>30</v>
      </c>
      <c r="L304" s="8">
        <v>30</v>
      </c>
      <c r="M304" s="8">
        <v>30</v>
      </c>
      <c r="N304" s="8">
        <v>30</v>
      </c>
      <c r="O304" s="8">
        <v>30</v>
      </c>
      <c r="P304" s="8">
        <v>60</v>
      </c>
      <c r="Q304" s="8">
        <v>30</v>
      </c>
      <c r="R304" s="8">
        <v>30</v>
      </c>
      <c r="S304" s="8">
        <v>30</v>
      </c>
      <c r="T304" s="8">
        <v>30</v>
      </c>
      <c r="U304" s="15">
        <v>32.307692307692299</v>
      </c>
      <c r="V304" s="6" t="s">
        <v>1555</v>
      </c>
    </row>
    <row r="305" spans="1:22" ht="30" customHeight="1">
      <c r="A305" s="6" t="s">
        <v>697</v>
      </c>
      <c r="B305" s="6" t="s">
        <v>1556</v>
      </c>
      <c r="C305" s="6" t="s">
        <v>1557</v>
      </c>
      <c r="D305" s="6" t="s">
        <v>25</v>
      </c>
      <c r="E305" s="19" t="s">
        <v>700</v>
      </c>
      <c r="F305" s="6">
        <v>30</v>
      </c>
      <c r="G305" s="14">
        <v>2.3076923076923102</v>
      </c>
      <c r="H305" s="16">
        <v>30</v>
      </c>
      <c r="I305" s="8">
        <v>30</v>
      </c>
      <c r="J305" s="8">
        <v>30</v>
      </c>
      <c r="K305" s="8">
        <v>30</v>
      </c>
      <c r="L305" s="8">
        <v>30</v>
      </c>
      <c r="M305" s="8">
        <v>30</v>
      </c>
      <c r="N305" s="8">
        <v>30</v>
      </c>
      <c r="O305" s="8">
        <v>30</v>
      </c>
      <c r="P305" s="8">
        <v>60</v>
      </c>
      <c r="Q305" s="8">
        <v>30</v>
      </c>
      <c r="R305" s="8">
        <v>30</v>
      </c>
      <c r="S305" s="8">
        <v>30</v>
      </c>
      <c r="T305" s="8">
        <v>30</v>
      </c>
      <c r="U305" s="15">
        <v>32.307692307692299</v>
      </c>
      <c r="V305" s="6" t="s">
        <v>1558</v>
      </c>
    </row>
    <row r="306" spans="1:22" ht="30" customHeight="1">
      <c r="A306" s="6" t="s">
        <v>697</v>
      </c>
      <c r="B306" s="6" t="s">
        <v>1559</v>
      </c>
      <c r="C306" s="6" t="s">
        <v>1560</v>
      </c>
      <c r="D306" s="6" t="s">
        <v>25</v>
      </c>
      <c r="E306" s="19" t="s">
        <v>700</v>
      </c>
      <c r="F306" s="6">
        <v>30</v>
      </c>
      <c r="G306" s="14">
        <v>4.6153846153846096</v>
      </c>
      <c r="H306" s="16">
        <v>30</v>
      </c>
      <c r="I306" s="8">
        <v>30</v>
      </c>
      <c r="J306" s="8">
        <v>30</v>
      </c>
      <c r="K306" s="8">
        <v>30</v>
      </c>
      <c r="L306" s="8">
        <v>30</v>
      </c>
      <c r="M306" s="8">
        <v>30</v>
      </c>
      <c r="N306" s="8">
        <v>30</v>
      </c>
      <c r="O306" s="8">
        <v>30</v>
      </c>
      <c r="P306" s="8">
        <v>60</v>
      </c>
      <c r="Q306" s="8">
        <v>30</v>
      </c>
      <c r="R306" s="8">
        <v>60</v>
      </c>
      <c r="S306" s="8">
        <v>30</v>
      </c>
      <c r="T306" s="8">
        <v>30</v>
      </c>
      <c r="U306" s="15">
        <v>34.615384615384599</v>
      </c>
      <c r="V306" s="6" t="s">
        <v>1396</v>
      </c>
    </row>
    <row r="307" spans="1:22" ht="30" customHeight="1">
      <c r="A307" s="6" t="s">
        <v>697</v>
      </c>
      <c r="B307" s="6" t="s">
        <v>1561</v>
      </c>
      <c r="C307" s="6" t="s">
        <v>1562</v>
      </c>
      <c r="D307" s="6" t="s">
        <v>25</v>
      </c>
      <c r="E307" s="19" t="s">
        <v>700</v>
      </c>
      <c r="F307" s="6">
        <v>30</v>
      </c>
      <c r="G307" s="14">
        <v>2.3076923076923102</v>
      </c>
      <c r="H307" s="16">
        <v>30</v>
      </c>
      <c r="I307" s="8">
        <v>30</v>
      </c>
      <c r="J307" s="8">
        <v>30</v>
      </c>
      <c r="K307" s="8">
        <v>30</v>
      </c>
      <c r="L307" s="8">
        <v>30</v>
      </c>
      <c r="M307" s="8">
        <v>30</v>
      </c>
      <c r="N307" s="8">
        <v>30</v>
      </c>
      <c r="O307" s="8">
        <v>30</v>
      </c>
      <c r="P307" s="8">
        <v>60</v>
      </c>
      <c r="Q307" s="8">
        <v>30</v>
      </c>
      <c r="R307" s="8">
        <v>30</v>
      </c>
      <c r="S307" s="8">
        <v>30</v>
      </c>
      <c r="T307" s="8">
        <v>30</v>
      </c>
      <c r="U307" s="15">
        <v>32.307692307692299</v>
      </c>
      <c r="V307" s="6" t="s">
        <v>1563</v>
      </c>
    </row>
    <row r="308" spans="1:22" ht="30" customHeight="1">
      <c r="A308" s="6" t="s">
        <v>697</v>
      </c>
      <c r="B308" s="6" t="s">
        <v>1564</v>
      </c>
      <c r="C308" s="6" t="s">
        <v>1565</v>
      </c>
      <c r="D308" s="6" t="s">
        <v>25</v>
      </c>
      <c r="E308" s="19" t="s">
        <v>700</v>
      </c>
      <c r="F308" s="6">
        <v>30</v>
      </c>
      <c r="G308" s="14">
        <v>2.3076923076923102</v>
      </c>
      <c r="H308" s="16">
        <v>30</v>
      </c>
      <c r="I308" s="8">
        <v>30</v>
      </c>
      <c r="J308" s="8">
        <v>30</v>
      </c>
      <c r="K308" s="8">
        <v>30</v>
      </c>
      <c r="L308" s="8">
        <v>30</v>
      </c>
      <c r="M308" s="8">
        <v>30</v>
      </c>
      <c r="N308" s="8">
        <v>30</v>
      </c>
      <c r="O308" s="8">
        <v>30</v>
      </c>
      <c r="P308" s="8">
        <v>60</v>
      </c>
      <c r="Q308" s="8">
        <v>30</v>
      </c>
      <c r="R308" s="8">
        <v>30</v>
      </c>
      <c r="S308" s="8">
        <v>30</v>
      </c>
      <c r="T308" s="8">
        <v>30</v>
      </c>
      <c r="U308" s="15">
        <v>32.307692307692299</v>
      </c>
      <c r="V308" s="6" t="s">
        <v>1566</v>
      </c>
    </row>
    <row r="309" spans="1:22" ht="30" customHeight="1">
      <c r="A309" s="6" t="s">
        <v>697</v>
      </c>
      <c r="B309" s="6" t="s">
        <v>1567</v>
      </c>
      <c r="C309" s="6" t="s">
        <v>1568</v>
      </c>
      <c r="D309" s="6" t="s">
        <v>25</v>
      </c>
      <c r="E309" s="19" t="s">
        <v>700</v>
      </c>
      <c r="F309" s="6">
        <v>30</v>
      </c>
      <c r="G309" s="14">
        <v>2.3076923076923102</v>
      </c>
      <c r="H309" s="16">
        <v>30</v>
      </c>
      <c r="I309" s="8">
        <v>30</v>
      </c>
      <c r="J309" s="8">
        <v>30</v>
      </c>
      <c r="K309" s="8">
        <v>30</v>
      </c>
      <c r="L309" s="8">
        <v>30</v>
      </c>
      <c r="M309" s="8">
        <v>30</v>
      </c>
      <c r="N309" s="8">
        <v>30</v>
      </c>
      <c r="O309" s="8">
        <v>30</v>
      </c>
      <c r="P309" s="8">
        <v>60</v>
      </c>
      <c r="Q309" s="8">
        <v>30</v>
      </c>
      <c r="R309" s="8">
        <v>30</v>
      </c>
      <c r="S309" s="8">
        <v>30</v>
      </c>
      <c r="T309" s="8">
        <v>30</v>
      </c>
      <c r="U309" s="15">
        <v>32.307692307692299</v>
      </c>
      <c r="V309" s="6" t="s">
        <v>1569</v>
      </c>
    </row>
    <row r="310" spans="1:22" ht="30" customHeight="1">
      <c r="A310" s="6" t="s">
        <v>697</v>
      </c>
      <c r="B310" s="6" t="s">
        <v>1570</v>
      </c>
      <c r="C310" s="6" t="s">
        <v>1571</v>
      </c>
      <c r="D310" s="6" t="s">
        <v>25</v>
      </c>
      <c r="E310" s="19" t="s">
        <v>700</v>
      </c>
      <c r="F310" s="6">
        <v>30</v>
      </c>
      <c r="G310" s="14">
        <v>2.3076923076923102</v>
      </c>
      <c r="H310" s="16">
        <v>30</v>
      </c>
      <c r="I310" s="8">
        <v>30</v>
      </c>
      <c r="J310" s="8">
        <v>30</v>
      </c>
      <c r="K310" s="8">
        <v>30</v>
      </c>
      <c r="L310" s="8">
        <v>30</v>
      </c>
      <c r="M310" s="8">
        <v>30</v>
      </c>
      <c r="N310" s="8">
        <v>30</v>
      </c>
      <c r="O310" s="8">
        <v>30</v>
      </c>
      <c r="P310" s="8">
        <v>60</v>
      </c>
      <c r="Q310" s="8">
        <v>30</v>
      </c>
      <c r="R310" s="8">
        <v>30</v>
      </c>
      <c r="S310" s="8">
        <v>30</v>
      </c>
      <c r="T310" s="8">
        <v>30</v>
      </c>
      <c r="U310" s="15">
        <v>32.307692307692299</v>
      </c>
      <c r="V310" s="6" t="s">
        <v>1572</v>
      </c>
    </row>
    <row r="311" spans="1:22" ht="30" customHeight="1">
      <c r="A311" s="6" t="s">
        <v>697</v>
      </c>
      <c r="B311" s="6" t="s">
        <v>1573</v>
      </c>
      <c r="C311" s="6" t="s">
        <v>1574</v>
      </c>
      <c r="D311" s="6" t="s">
        <v>25</v>
      </c>
      <c r="E311" s="19" t="s">
        <v>704</v>
      </c>
      <c r="F311" s="6">
        <v>100</v>
      </c>
      <c r="G311" s="14">
        <v>1533.1538461538501</v>
      </c>
      <c r="H311" s="16">
        <v>1765</v>
      </c>
      <c r="I311" s="8">
        <v>1526</v>
      </c>
      <c r="J311" s="8">
        <v>1245</v>
      </c>
      <c r="K311" s="8">
        <v>3115</v>
      </c>
      <c r="L311" s="8">
        <v>3300</v>
      </c>
      <c r="M311" s="8">
        <v>2408</v>
      </c>
      <c r="N311" s="8">
        <v>1536</v>
      </c>
      <c r="O311" s="8">
        <v>1179</v>
      </c>
      <c r="P311" s="8">
        <v>1288</v>
      </c>
      <c r="Q311" s="8">
        <v>1082</v>
      </c>
      <c r="R311" s="8">
        <v>1252</v>
      </c>
      <c r="S311" s="8">
        <v>1435</v>
      </c>
      <c r="T311" s="8">
        <v>100</v>
      </c>
      <c r="U311" s="15">
        <v>1633.1538461538501</v>
      </c>
      <c r="V311" s="6" t="s">
        <v>1575</v>
      </c>
    </row>
    <row r="312" spans="1:22" ht="30" customHeight="1">
      <c r="A312" s="6" t="s">
        <v>697</v>
      </c>
      <c r="B312" s="6" t="s">
        <v>1576</v>
      </c>
      <c r="C312" s="6" t="s">
        <v>1577</v>
      </c>
      <c r="D312" s="6" t="s">
        <v>25</v>
      </c>
      <c r="E312" s="19" t="s">
        <v>704</v>
      </c>
      <c r="F312" s="6">
        <v>100</v>
      </c>
      <c r="G312" s="14">
        <v>1481.8461538461499</v>
      </c>
      <c r="H312" s="16">
        <v>1374</v>
      </c>
      <c r="I312" s="8">
        <v>1639</v>
      </c>
      <c r="J312" s="8">
        <v>1381</v>
      </c>
      <c r="K312" s="8">
        <v>2263</v>
      </c>
      <c r="L312" s="8">
        <v>3570</v>
      </c>
      <c r="M312" s="8">
        <v>3093</v>
      </c>
      <c r="N312" s="8">
        <v>1400</v>
      </c>
      <c r="O312" s="8">
        <v>1321</v>
      </c>
      <c r="P312" s="8">
        <v>1282</v>
      </c>
      <c r="Q312" s="8">
        <v>1015</v>
      </c>
      <c r="R312" s="8">
        <v>1078</v>
      </c>
      <c r="S312" s="8">
        <v>1048</v>
      </c>
      <c r="T312" s="8">
        <v>100</v>
      </c>
      <c r="U312" s="15">
        <v>1581.8461538461499</v>
      </c>
      <c r="V312" s="6" t="s">
        <v>1578</v>
      </c>
    </row>
    <row r="313" spans="1:22" ht="30" customHeight="1">
      <c r="A313" s="6" t="s">
        <v>697</v>
      </c>
      <c r="B313" s="6" t="s">
        <v>1579</v>
      </c>
      <c r="C313" s="6" t="s">
        <v>1580</v>
      </c>
      <c r="D313" s="6" t="s">
        <v>25</v>
      </c>
      <c r="E313" s="19" t="s">
        <v>700</v>
      </c>
      <c r="F313" s="6">
        <v>30</v>
      </c>
      <c r="G313" s="14">
        <v>2.3076923076923102</v>
      </c>
      <c r="H313" s="16">
        <v>30</v>
      </c>
      <c r="I313" s="8">
        <v>30</v>
      </c>
      <c r="J313" s="8">
        <v>30</v>
      </c>
      <c r="K313" s="8">
        <v>30</v>
      </c>
      <c r="L313" s="8">
        <v>30</v>
      </c>
      <c r="M313" s="8">
        <v>30</v>
      </c>
      <c r="N313" s="8">
        <v>30</v>
      </c>
      <c r="O313" s="8">
        <v>30</v>
      </c>
      <c r="P313" s="8">
        <v>60</v>
      </c>
      <c r="Q313" s="8">
        <v>30</v>
      </c>
      <c r="R313" s="8">
        <v>30</v>
      </c>
      <c r="S313" s="8">
        <v>30</v>
      </c>
      <c r="T313" s="8">
        <v>30</v>
      </c>
      <c r="U313" s="15">
        <v>32.307692307692299</v>
      </c>
      <c r="V313" s="6" t="s">
        <v>1581</v>
      </c>
    </row>
    <row r="314" spans="1:22" ht="30" customHeight="1">
      <c r="A314" s="6" t="s">
        <v>697</v>
      </c>
      <c r="B314" s="6" t="s">
        <v>1582</v>
      </c>
      <c r="C314" s="6" t="s">
        <v>1583</v>
      </c>
      <c r="D314" s="6" t="s">
        <v>25</v>
      </c>
      <c r="E314" s="19" t="s">
        <v>700</v>
      </c>
      <c r="F314" s="6">
        <v>30</v>
      </c>
      <c r="G314" s="14">
        <v>2.3076923076923102</v>
      </c>
      <c r="H314" s="16">
        <v>30</v>
      </c>
      <c r="I314" s="8">
        <v>30</v>
      </c>
      <c r="J314" s="8">
        <v>30</v>
      </c>
      <c r="K314" s="8">
        <v>30</v>
      </c>
      <c r="L314" s="8">
        <v>30</v>
      </c>
      <c r="M314" s="8">
        <v>30</v>
      </c>
      <c r="N314" s="8">
        <v>30</v>
      </c>
      <c r="O314" s="8">
        <v>30</v>
      </c>
      <c r="P314" s="8">
        <v>60</v>
      </c>
      <c r="Q314" s="8">
        <v>30</v>
      </c>
      <c r="R314" s="8">
        <v>30</v>
      </c>
      <c r="S314" s="8">
        <v>30</v>
      </c>
      <c r="T314" s="8">
        <v>30</v>
      </c>
      <c r="U314" s="15">
        <v>32.307692307692299</v>
      </c>
      <c r="V314" s="6" t="s">
        <v>1531</v>
      </c>
    </row>
    <row r="315" spans="1:22" ht="30" customHeight="1">
      <c r="A315" s="6" t="s">
        <v>697</v>
      </c>
      <c r="B315" s="6" t="s">
        <v>1584</v>
      </c>
      <c r="C315" s="6" t="s">
        <v>1585</v>
      </c>
      <c r="D315" s="6" t="s">
        <v>25</v>
      </c>
      <c r="E315" s="19" t="s">
        <v>700</v>
      </c>
      <c r="F315" s="6">
        <v>30</v>
      </c>
      <c r="G315" s="14">
        <v>2.3076923076923102</v>
      </c>
      <c r="H315" s="16">
        <v>30</v>
      </c>
      <c r="I315" s="8">
        <v>30</v>
      </c>
      <c r="J315" s="8">
        <v>30</v>
      </c>
      <c r="K315" s="8">
        <v>30</v>
      </c>
      <c r="L315" s="8">
        <v>30</v>
      </c>
      <c r="M315" s="8">
        <v>30</v>
      </c>
      <c r="N315" s="8">
        <v>30</v>
      </c>
      <c r="O315" s="8">
        <v>30</v>
      </c>
      <c r="P315" s="8">
        <v>60</v>
      </c>
      <c r="Q315" s="8">
        <v>30</v>
      </c>
      <c r="R315" s="8">
        <v>30</v>
      </c>
      <c r="S315" s="8">
        <v>30</v>
      </c>
      <c r="T315" s="8">
        <v>30</v>
      </c>
      <c r="U315" s="15">
        <v>32.307692307692299</v>
      </c>
      <c r="V315" s="6" t="s">
        <v>1586</v>
      </c>
    </row>
    <row r="316" spans="1:22" ht="30" customHeight="1">
      <c r="A316" s="6" t="s">
        <v>697</v>
      </c>
      <c r="B316" s="6" t="s">
        <v>1587</v>
      </c>
      <c r="C316" s="6" t="s">
        <v>1588</v>
      </c>
      <c r="D316" s="6" t="s">
        <v>25</v>
      </c>
      <c r="E316" s="19" t="s">
        <v>700</v>
      </c>
      <c r="F316" s="6">
        <v>30</v>
      </c>
      <c r="G316" s="14">
        <v>2.3076923076923102</v>
      </c>
      <c r="H316" s="16">
        <v>30</v>
      </c>
      <c r="I316" s="8">
        <v>30</v>
      </c>
      <c r="J316" s="8">
        <v>30</v>
      </c>
      <c r="K316" s="8">
        <v>30</v>
      </c>
      <c r="L316" s="8">
        <v>30</v>
      </c>
      <c r="M316" s="8">
        <v>30</v>
      </c>
      <c r="N316" s="8">
        <v>30</v>
      </c>
      <c r="O316" s="8">
        <v>30</v>
      </c>
      <c r="P316" s="8">
        <v>60</v>
      </c>
      <c r="Q316" s="8">
        <v>30</v>
      </c>
      <c r="R316" s="8">
        <v>30</v>
      </c>
      <c r="S316" s="8">
        <v>30</v>
      </c>
      <c r="T316" s="8">
        <v>30</v>
      </c>
      <c r="U316" s="15">
        <v>32.307692307692299</v>
      </c>
      <c r="V316" s="6" t="s">
        <v>1537</v>
      </c>
    </row>
    <row r="317" spans="1:22" ht="30" customHeight="1">
      <c r="A317" s="6" t="s">
        <v>697</v>
      </c>
      <c r="B317" s="6" t="s">
        <v>1589</v>
      </c>
      <c r="C317" s="6" t="s">
        <v>1590</v>
      </c>
      <c r="D317" s="6" t="s">
        <v>25</v>
      </c>
      <c r="E317" s="19" t="s">
        <v>704</v>
      </c>
      <c r="F317" s="6">
        <v>100</v>
      </c>
      <c r="G317" s="14">
        <v>1007.69230769231</v>
      </c>
      <c r="H317" s="16">
        <v>828</v>
      </c>
      <c r="I317" s="8">
        <v>644</v>
      </c>
      <c r="J317" s="8">
        <v>431</v>
      </c>
      <c r="K317" s="8">
        <v>2186</v>
      </c>
      <c r="L317" s="8">
        <v>2652</v>
      </c>
      <c r="M317" s="8">
        <v>1834</v>
      </c>
      <c r="N317" s="8">
        <v>1159</v>
      </c>
      <c r="O317" s="8">
        <v>907</v>
      </c>
      <c r="P317" s="8">
        <v>993</v>
      </c>
      <c r="Q317" s="8">
        <v>745</v>
      </c>
      <c r="R317" s="8">
        <v>832</v>
      </c>
      <c r="S317" s="8">
        <v>1089</v>
      </c>
      <c r="T317" s="8">
        <v>100</v>
      </c>
      <c r="U317" s="15">
        <v>1107.6923076923099</v>
      </c>
      <c r="V317" s="6" t="s">
        <v>1591</v>
      </c>
    </row>
    <row r="318" spans="1:22" ht="30" customHeight="1">
      <c r="A318" s="6" t="s">
        <v>697</v>
      </c>
      <c r="B318" s="6" t="s">
        <v>1592</v>
      </c>
      <c r="C318" s="6" t="s">
        <v>1593</v>
      </c>
      <c r="D318" s="6" t="s">
        <v>25</v>
      </c>
      <c r="E318" s="19" t="s">
        <v>700</v>
      </c>
      <c r="F318" s="6">
        <v>30</v>
      </c>
      <c r="G318" s="14">
        <v>2.3076923076923102</v>
      </c>
      <c r="H318" s="16">
        <v>30</v>
      </c>
      <c r="I318" s="8">
        <v>30</v>
      </c>
      <c r="J318" s="8">
        <v>30</v>
      </c>
      <c r="K318" s="8">
        <v>30</v>
      </c>
      <c r="L318" s="8">
        <v>30</v>
      </c>
      <c r="M318" s="8">
        <v>30</v>
      </c>
      <c r="N318" s="8">
        <v>30</v>
      </c>
      <c r="O318" s="8">
        <v>30</v>
      </c>
      <c r="P318" s="8">
        <v>60</v>
      </c>
      <c r="Q318" s="8">
        <v>30</v>
      </c>
      <c r="R318" s="8">
        <v>30</v>
      </c>
      <c r="S318" s="8">
        <v>30</v>
      </c>
      <c r="T318" s="8">
        <v>30</v>
      </c>
      <c r="U318" s="15">
        <v>32.307692307692299</v>
      </c>
      <c r="V318" s="6" t="s">
        <v>1311</v>
      </c>
    </row>
    <row r="319" spans="1:22" ht="30" customHeight="1">
      <c r="A319" s="6" t="s">
        <v>697</v>
      </c>
      <c r="B319" s="6" t="s">
        <v>1594</v>
      </c>
      <c r="C319" s="6" t="s">
        <v>1595</v>
      </c>
      <c r="D319" s="6" t="s">
        <v>25</v>
      </c>
      <c r="E319" s="19" t="s">
        <v>700</v>
      </c>
      <c r="F319" s="6">
        <v>30</v>
      </c>
      <c r="G319" s="14">
        <v>2.3076923076923102</v>
      </c>
      <c r="H319" s="16">
        <v>30</v>
      </c>
      <c r="I319" s="8">
        <v>30</v>
      </c>
      <c r="J319" s="8">
        <v>30</v>
      </c>
      <c r="K319" s="8">
        <v>30</v>
      </c>
      <c r="L319" s="8">
        <v>30</v>
      </c>
      <c r="M319" s="8">
        <v>30</v>
      </c>
      <c r="N319" s="8">
        <v>30</v>
      </c>
      <c r="O319" s="8">
        <v>30</v>
      </c>
      <c r="P319" s="8">
        <v>60</v>
      </c>
      <c r="Q319" s="8">
        <v>30</v>
      </c>
      <c r="R319" s="8">
        <v>30</v>
      </c>
      <c r="S319" s="8">
        <v>30</v>
      </c>
      <c r="T319" s="8">
        <v>30</v>
      </c>
      <c r="U319" s="15">
        <v>32.307692307692299</v>
      </c>
      <c r="V319" s="6" t="s">
        <v>1596</v>
      </c>
    </row>
    <row r="320" spans="1:22" ht="30" customHeight="1">
      <c r="A320" s="6" t="s">
        <v>697</v>
      </c>
      <c r="B320" s="6" t="s">
        <v>1597</v>
      </c>
      <c r="C320" s="6" t="s">
        <v>1598</v>
      </c>
      <c r="D320" s="6" t="s">
        <v>25</v>
      </c>
      <c r="E320" s="19" t="s">
        <v>700</v>
      </c>
      <c r="F320" s="6">
        <v>30</v>
      </c>
      <c r="G320" s="14">
        <v>2.3076923076923102</v>
      </c>
      <c r="H320" s="16">
        <v>30</v>
      </c>
      <c r="I320" s="8">
        <v>30</v>
      </c>
      <c r="J320" s="8">
        <v>30</v>
      </c>
      <c r="K320" s="8">
        <v>30</v>
      </c>
      <c r="L320" s="8">
        <v>30</v>
      </c>
      <c r="M320" s="8">
        <v>30</v>
      </c>
      <c r="N320" s="8">
        <v>30</v>
      </c>
      <c r="O320" s="8">
        <v>30</v>
      </c>
      <c r="P320" s="8">
        <v>60</v>
      </c>
      <c r="Q320" s="8">
        <v>30</v>
      </c>
      <c r="R320" s="8">
        <v>30</v>
      </c>
      <c r="S320" s="8">
        <v>30</v>
      </c>
      <c r="T320" s="8">
        <v>30</v>
      </c>
      <c r="U320" s="15">
        <v>32.307692307692299</v>
      </c>
      <c r="V320" s="6" t="s">
        <v>1599</v>
      </c>
    </row>
    <row r="321" spans="1:22" ht="30" customHeight="1">
      <c r="A321" s="6" t="s">
        <v>697</v>
      </c>
      <c r="B321" s="6" t="s">
        <v>1600</v>
      </c>
      <c r="C321" s="6" t="s">
        <v>1601</v>
      </c>
      <c r="D321" s="6" t="s">
        <v>25</v>
      </c>
      <c r="E321" s="19" t="s">
        <v>700</v>
      </c>
      <c r="F321" s="6">
        <v>30</v>
      </c>
      <c r="G321" s="14">
        <v>2.3076923076923102</v>
      </c>
      <c r="H321" s="16">
        <v>30</v>
      </c>
      <c r="I321" s="8">
        <v>30</v>
      </c>
      <c r="J321" s="8">
        <v>30</v>
      </c>
      <c r="K321" s="8">
        <v>30</v>
      </c>
      <c r="L321" s="8">
        <v>30</v>
      </c>
      <c r="M321" s="8">
        <v>30</v>
      </c>
      <c r="N321" s="8">
        <v>30</v>
      </c>
      <c r="O321" s="8">
        <v>30</v>
      </c>
      <c r="P321" s="8">
        <v>60</v>
      </c>
      <c r="Q321" s="8">
        <v>30</v>
      </c>
      <c r="R321" s="8">
        <v>30</v>
      </c>
      <c r="S321" s="8">
        <v>30</v>
      </c>
      <c r="T321" s="8">
        <v>30</v>
      </c>
      <c r="U321" s="15">
        <v>32.307692307692299</v>
      </c>
      <c r="V321" s="6" t="s">
        <v>1602</v>
      </c>
    </row>
    <row r="322" spans="1:22" ht="30" customHeight="1">
      <c r="A322" s="6" t="s">
        <v>697</v>
      </c>
      <c r="B322" s="6" t="s">
        <v>1603</v>
      </c>
      <c r="C322" s="6" t="s">
        <v>1604</v>
      </c>
      <c r="D322" s="6" t="s">
        <v>25</v>
      </c>
      <c r="E322" s="19" t="s">
        <v>700</v>
      </c>
      <c r="F322" s="6">
        <v>30</v>
      </c>
      <c r="G322" s="14">
        <v>2.3076923076923102</v>
      </c>
      <c r="H322" s="16">
        <v>30</v>
      </c>
      <c r="I322" s="8">
        <v>30</v>
      </c>
      <c r="J322" s="8">
        <v>30</v>
      </c>
      <c r="K322" s="8">
        <v>30</v>
      </c>
      <c r="L322" s="8">
        <v>30</v>
      </c>
      <c r="M322" s="8">
        <v>30</v>
      </c>
      <c r="N322" s="8">
        <v>30</v>
      </c>
      <c r="O322" s="8">
        <v>30</v>
      </c>
      <c r="P322" s="8">
        <v>60</v>
      </c>
      <c r="Q322" s="8">
        <v>30</v>
      </c>
      <c r="R322" s="8">
        <v>30</v>
      </c>
      <c r="S322" s="8">
        <v>30</v>
      </c>
      <c r="T322" s="8">
        <v>30</v>
      </c>
      <c r="U322" s="15">
        <v>32.307692307692299</v>
      </c>
      <c r="V322" s="6" t="s">
        <v>1605</v>
      </c>
    </row>
    <row r="323" spans="1:22" ht="30" customHeight="1">
      <c r="A323" s="6" t="s">
        <v>697</v>
      </c>
      <c r="B323" s="6" t="s">
        <v>1606</v>
      </c>
      <c r="C323" s="6" t="s">
        <v>1607</v>
      </c>
      <c r="D323" s="6" t="s">
        <v>25</v>
      </c>
      <c r="E323" s="19" t="s">
        <v>700</v>
      </c>
      <c r="F323" s="6">
        <v>30</v>
      </c>
      <c r="G323" s="14">
        <v>2.3076923076923102</v>
      </c>
      <c r="H323" s="16">
        <v>30</v>
      </c>
      <c r="I323" s="8">
        <v>30</v>
      </c>
      <c r="J323" s="8">
        <v>30</v>
      </c>
      <c r="K323" s="8">
        <v>30</v>
      </c>
      <c r="L323" s="8">
        <v>30</v>
      </c>
      <c r="M323" s="8">
        <v>30</v>
      </c>
      <c r="N323" s="8">
        <v>30</v>
      </c>
      <c r="O323" s="8">
        <v>30</v>
      </c>
      <c r="P323" s="8">
        <v>60</v>
      </c>
      <c r="Q323" s="8">
        <v>30</v>
      </c>
      <c r="R323" s="8">
        <v>30</v>
      </c>
      <c r="S323" s="8">
        <v>30</v>
      </c>
      <c r="T323" s="8">
        <v>30</v>
      </c>
      <c r="U323" s="15">
        <v>32.307692307692299</v>
      </c>
      <c r="V323" s="6" t="s">
        <v>1608</v>
      </c>
    </row>
    <row r="324" spans="1:22" ht="30" customHeight="1">
      <c r="A324" s="6" t="s">
        <v>697</v>
      </c>
      <c r="B324" s="6" t="s">
        <v>1609</v>
      </c>
      <c r="C324" s="6" t="s">
        <v>1610</v>
      </c>
      <c r="D324" s="6" t="s">
        <v>25</v>
      </c>
      <c r="E324" s="19" t="s">
        <v>700</v>
      </c>
      <c r="F324" s="6">
        <v>30</v>
      </c>
      <c r="G324" s="14">
        <v>4.6153846153846096</v>
      </c>
      <c r="H324" s="16">
        <v>30</v>
      </c>
      <c r="I324" s="8">
        <v>30</v>
      </c>
      <c r="J324" s="8">
        <v>30</v>
      </c>
      <c r="K324" s="8">
        <v>30</v>
      </c>
      <c r="L324" s="8">
        <v>30</v>
      </c>
      <c r="M324" s="8">
        <v>30</v>
      </c>
      <c r="N324" s="8">
        <v>30</v>
      </c>
      <c r="O324" s="8">
        <v>30</v>
      </c>
      <c r="P324" s="8">
        <v>60</v>
      </c>
      <c r="Q324" s="8">
        <v>30</v>
      </c>
      <c r="R324" s="8">
        <v>60</v>
      </c>
      <c r="S324" s="8">
        <v>30</v>
      </c>
      <c r="T324" s="8">
        <v>30</v>
      </c>
      <c r="U324" s="15">
        <v>34.615384615384599</v>
      </c>
      <c r="V324" s="6" t="s">
        <v>1546</v>
      </c>
    </row>
    <row r="325" spans="1:22" ht="30" customHeight="1">
      <c r="A325" s="6" t="s">
        <v>697</v>
      </c>
      <c r="B325" s="6" t="s">
        <v>1611</v>
      </c>
      <c r="C325" s="6" t="s">
        <v>1612</v>
      </c>
      <c r="D325" s="6" t="s">
        <v>25</v>
      </c>
      <c r="E325" s="19" t="s">
        <v>700</v>
      </c>
      <c r="F325" s="6">
        <v>30</v>
      </c>
      <c r="G325" s="14">
        <v>2.3076923076923102</v>
      </c>
      <c r="H325" s="16">
        <v>30</v>
      </c>
      <c r="I325" s="8">
        <v>30</v>
      </c>
      <c r="J325" s="8">
        <v>30</v>
      </c>
      <c r="K325" s="8">
        <v>30</v>
      </c>
      <c r="L325" s="8">
        <v>30</v>
      </c>
      <c r="M325" s="8">
        <v>30</v>
      </c>
      <c r="N325" s="8">
        <v>30</v>
      </c>
      <c r="O325" s="8">
        <v>30</v>
      </c>
      <c r="P325" s="8">
        <v>60</v>
      </c>
      <c r="Q325" s="8">
        <v>30</v>
      </c>
      <c r="R325" s="8">
        <v>30</v>
      </c>
      <c r="S325" s="8">
        <v>30</v>
      </c>
      <c r="T325" s="8">
        <v>30</v>
      </c>
      <c r="U325" s="15">
        <v>32.307692307692299</v>
      </c>
      <c r="V325" s="6" t="s">
        <v>1326</v>
      </c>
    </row>
    <row r="326" spans="1:22" ht="30" customHeight="1">
      <c r="A326" s="6" t="s">
        <v>697</v>
      </c>
      <c r="B326" s="6" t="s">
        <v>1613</v>
      </c>
      <c r="C326" s="6" t="s">
        <v>1614</v>
      </c>
      <c r="D326" s="6" t="s">
        <v>25</v>
      </c>
      <c r="E326" s="19" t="s">
        <v>700</v>
      </c>
      <c r="F326" s="6">
        <v>30</v>
      </c>
      <c r="G326" s="14">
        <v>2.3076923076923102</v>
      </c>
      <c r="H326" s="16">
        <v>30</v>
      </c>
      <c r="I326" s="8">
        <v>30</v>
      </c>
      <c r="J326" s="8">
        <v>30</v>
      </c>
      <c r="K326" s="8">
        <v>30</v>
      </c>
      <c r="L326" s="8">
        <v>30</v>
      </c>
      <c r="M326" s="8">
        <v>30</v>
      </c>
      <c r="N326" s="8">
        <v>30</v>
      </c>
      <c r="O326" s="8">
        <v>30</v>
      </c>
      <c r="P326" s="8">
        <v>60</v>
      </c>
      <c r="Q326" s="8">
        <v>30</v>
      </c>
      <c r="R326" s="8">
        <v>30</v>
      </c>
      <c r="S326" s="8">
        <v>30</v>
      </c>
      <c r="T326" s="8">
        <v>30</v>
      </c>
      <c r="U326" s="15">
        <v>32.307692307692299</v>
      </c>
      <c r="V326" s="6" t="s">
        <v>1615</v>
      </c>
    </row>
    <row r="327" spans="1:22" ht="30" customHeight="1">
      <c r="A327" s="6" t="s">
        <v>697</v>
      </c>
      <c r="B327" s="6" t="s">
        <v>1616</v>
      </c>
      <c r="C327" s="6" t="s">
        <v>1617</v>
      </c>
      <c r="D327" s="6" t="s">
        <v>25</v>
      </c>
      <c r="E327" s="19" t="s">
        <v>700</v>
      </c>
      <c r="F327" s="6">
        <v>30</v>
      </c>
      <c r="G327" s="14">
        <v>2.3076923076923102</v>
      </c>
      <c r="H327" s="16">
        <v>30</v>
      </c>
      <c r="I327" s="8">
        <v>30</v>
      </c>
      <c r="J327" s="8">
        <v>30</v>
      </c>
      <c r="K327" s="8">
        <v>30</v>
      </c>
      <c r="L327" s="8">
        <v>30</v>
      </c>
      <c r="M327" s="8">
        <v>30</v>
      </c>
      <c r="N327" s="8">
        <v>30</v>
      </c>
      <c r="O327" s="8">
        <v>30</v>
      </c>
      <c r="P327" s="8">
        <v>60</v>
      </c>
      <c r="Q327" s="8">
        <v>30</v>
      </c>
      <c r="R327" s="8">
        <v>30</v>
      </c>
      <c r="S327" s="8">
        <v>30</v>
      </c>
      <c r="T327" s="8">
        <v>30</v>
      </c>
      <c r="U327" s="15">
        <v>32.307692307692299</v>
      </c>
      <c r="V327" s="6" t="s">
        <v>1618</v>
      </c>
    </row>
    <row r="328" spans="1:22" ht="30" customHeight="1">
      <c r="A328" s="6" t="s">
        <v>697</v>
      </c>
      <c r="B328" s="6" t="s">
        <v>1619</v>
      </c>
      <c r="C328" s="6" t="s">
        <v>1620</v>
      </c>
      <c r="D328" s="6" t="s">
        <v>25</v>
      </c>
      <c r="E328" s="19" t="s">
        <v>700</v>
      </c>
      <c r="F328" s="6">
        <v>30</v>
      </c>
      <c r="G328" s="14">
        <v>2.3076923076923102</v>
      </c>
      <c r="H328" s="16">
        <v>30</v>
      </c>
      <c r="I328" s="8">
        <v>30</v>
      </c>
      <c r="J328" s="8">
        <v>30</v>
      </c>
      <c r="K328" s="8">
        <v>30</v>
      </c>
      <c r="L328" s="8">
        <v>30</v>
      </c>
      <c r="M328" s="8">
        <v>30</v>
      </c>
      <c r="N328" s="8">
        <v>30</v>
      </c>
      <c r="O328" s="8">
        <v>30</v>
      </c>
      <c r="P328" s="8">
        <v>60</v>
      </c>
      <c r="Q328" s="8">
        <v>30</v>
      </c>
      <c r="R328" s="8">
        <v>30</v>
      </c>
      <c r="S328" s="8">
        <v>30</v>
      </c>
      <c r="T328" s="8">
        <v>30</v>
      </c>
      <c r="U328" s="15">
        <v>32.307692307692299</v>
      </c>
      <c r="V328" s="6" t="s">
        <v>1621</v>
      </c>
    </row>
    <row r="329" spans="1:22" ht="30" customHeight="1">
      <c r="A329" s="6" t="s">
        <v>697</v>
      </c>
      <c r="B329" s="6" t="s">
        <v>1622</v>
      </c>
      <c r="C329" s="6" t="s">
        <v>1623</v>
      </c>
      <c r="D329" s="6" t="s">
        <v>25</v>
      </c>
      <c r="E329" s="19" t="s">
        <v>700</v>
      </c>
      <c r="F329" s="6">
        <v>30</v>
      </c>
      <c r="G329" s="14">
        <v>2.3076923076923102</v>
      </c>
      <c r="H329" s="16">
        <v>30</v>
      </c>
      <c r="I329" s="8">
        <v>30</v>
      </c>
      <c r="J329" s="8">
        <v>30</v>
      </c>
      <c r="K329" s="8">
        <v>30</v>
      </c>
      <c r="L329" s="8">
        <v>30</v>
      </c>
      <c r="M329" s="8">
        <v>30</v>
      </c>
      <c r="N329" s="8">
        <v>30</v>
      </c>
      <c r="O329" s="8">
        <v>30</v>
      </c>
      <c r="P329" s="8">
        <v>30</v>
      </c>
      <c r="Q329" s="8">
        <v>60</v>
      </c>
      <c r="R329" s="8">
        <v>30</v>
      </c>
      <c r="S329" s="8">
        <v>30</v>
      </c>
      <c r="T329" s="8">
        <v>30</v>
      </c>
      <c r="U329" s="15">
        <v>32.307692307692299</v>
      </c>
      <c r="V329" s="6" t="s">
        <v>1624</v>
      </c>
    </row>
    <row r="330" spans="1:22" ht="30" customHeight="1">
      <c r="A330" s="6" t="s">
        <v>697</v>
      </c>
      <c r="B330" s="6" t="s">
        <v>1625</v>
      </c>
      <c r="C330" s="6" t="s">
        <v>1626</v>
      </c>
      <c r="D330" s="6" t="s">
        <v>25</v>
      </c>
      <c r="E330" s="19" t="s">
        <v>700</v>
      </c>
      <c r="F330" s="6">
        <v>30</v>
      </c>
      <c r="G330" s="14">
        <v>2.3076923076923102</v>
      </c>
      <c r="H330" s="16">
        <v>30</v>
      </c>
      <c r="I330" s="8">
        <v>30</v>
      </c>
      <c r="J330" s="8">
        <v>30</v>
      </c>
      <c r="K330" s="8">
        <v>30</v>
      </c>
      <c r="L330" s="8">
        <v>30</v>
      </c>
      <c r="M330" s="8">
        <v>30</v>
      </c>
      <c r="N330" s="8">
        <v>30</v>
      </c>
      <c r="O330" s="8">
        <v>30</v>
      </c>
      <c r="P330" s="8">
        <v>60</v>
      </c>
      <c r="Q330" s="8">
        <v>30</v>
      </c>
      <c r="R330" s="8">
        <v>30</v>
      </c>
      <c r="S330" s="8">
        <v>30</v>
      </c>
      <c r="T330" s="8">
        <v>30</v>
      </c>
      <c r="U330" s="15">
        <v>32.307692307692299</v>
      </c>
      <c r="V330" s="6" t="s">
        <v>1627</v>
      </c>
    </row>
    <row r="331" spans="1:22" ht="30" customHeight="1">
      <c r="A331" s="6" t="s">
        <v>697</v>
      </c>
      <c r="B331" s="6" t="s">
        <v>1628</v>
      </c>
      <c r="C331" s="6" t="s">
        <v>1629</v>
      </c>
      <c r="D331" s="6" t="s">
        <v>25</v>
      </c>
      <c r="E331" s="19" t="s">
        <v>700</v>
      </c>
      <c r="F331" s="6">
        <v>30</v>
      </c>
      <c r="G331" s="14">
        <v>2.3076923076923102</v>
      </c>
      <c r="H331" s="16">
        <v>30</v>
      </c>
      <c r="I331" s="8">
        <v>30</v>
      </c>
      <c r="J331" s="8">
        <v>30</v>
      </c>
      <c r="K331" s="8">
        <v>30</v>
      </c>
      <c r="L331" s="8">
        <v>30</v>
      </c>
      <c r="M331" s="8">
        <v>30</v>
      </c>
      <c r="N331" s="8">
        <v>30</v>
      </c>
      <c r="O331" s="8">
        <v>30</v>
      </c>
      <c r="P331" s="8">
        <v>60</v>
      </c>
      <c r="Q331" s="8">
        <v>30</v>
      </c>
      <c r="R331" s="8">
        <v>30</v>
      </c>
      <c r="S331" s="8">
        <v>30</v>
      </c>
      <c r="T331" s="8">
        <v>30</v>
      </c>
      <c r="U331" s="15">
        <v>32.307692307692299</v>
      </c>
      <c r="V331" s="6" t="s">
        <v>1627</v>
      </c>
    </row>
    <row r="332" spans="1:22" ht="30" customHeight="1">
      <c r="A332" s="6" t="s">
        <v>697</v>
      </c>
      <c r="B332" s="6" t="s">
        <v>1630</v>
      </c>
      <c r="C332" s="6" t="s">
        <v>1631</v>
      </c>
      <c r="D332" s="6" t="s">
        <v>25</v>
      </c>
      <c r="E332" s="19" t="s">
        <v>700</v>
      </c>
      <c r="F332" s="6">
        <v>30</v>
      </c>
      <c r="G332" s="14">
        <v>2.3076923076923102</v>
      </c>
      <c r="H332" s="16">
        <v>30</v>
      </c>
      <c r="I332" s="8">
        <v>30</v>
      </c>
      <c r="J332" s="8">
        <v>30</v>
      </c>
      <c r="K332" s="8">
        <v>30</v>
      </c>
      <c r="L332" s="8">
        <v>30</v>
      </c>
      <c r="M332" s="8">
        <v>30</v>
      </c>
      <c r="N332" s="8">
        <v>30</v>
      </c>
      <c r="O332" s="8">
        <v>30</v>
      </c>
      <c r="P332" s="8">
        <v>60</v>
      </c>
      <c r="Q332" s="8">
        <v>30</v>
      </c>
      <c r="R332" s="8">
        <v>30</v>
      </c>
      <c r="S332" s="8">
        <v>30</v>
      </c>
      <c r="T332" s="8">
        <v>30</v>
      </c>
      <c r="U332" s="15">
        <v>32.307692307692299</v>
      </c>
      <c r="V332" s="6" t="s">
        <v>1632</v>
      </c>
    </row>
    <row r="333" spans="1:22" ht="30" customHeight="1">
      <c r="A333" s="6" t="s">
        <v>697</v>
      </c>
      <c r="B333" s="6" t="s">
        <v>1633</v>
      </c>
      <c r="C333" s="6" t="s">
        <v>1634</v>
      </c>
      <c r="D333" s="6" t="s">
        <v>25</v>
      </c>
      <c r="E333" s="19" t="s">
        <v>700</v>
      </c>
      <c r="F333" s="6">
        <v>30</v>
      </c>
      <c r="G333" s="14">
        <v>2.3076923076923102</v>
      </c>
      <c r="H333" s="16">
        <v>30</v>
      </c>
      <c r="I333" s="8">
        <v>30</v>
      </c>
      <c r="J333" s="8">
        <v>30</v>
      </c>
      <c r="K333" s="8">
        <v>30</v>
      </c>
      <c r="L333" s="8">
        <v>30</v>
      </c>
      <c r="M333" s="8">
        <v>30</v>
      </c>
      <c r="N333" s="8">
        <v>30</v>
      </c>
      <c r="O333" s="8">
        <v>30</v>
      </c>
      <c r="P333" s="8">
        <v>60</v>
      </c>
      <c r="Q333" s="8">
        <v>30</v>
      </c>
      <c r="R333" s="8">
        <v>30</v>
      </c>
      <c r="S333" s="8">
        <v>30</v>
      </c>
      <c r="T333" s="8">
        <v>30</v>
      </c>
      <c r="U333" s="15">
        <v>32.307692307692299</v>
      </c>
      <c r="V333" s="6" t="s">
        <v>1635</v>
      </c>
    </row>
    <row r="334" spans="1:22" ht="30" customHeight="1">
      <c r="A334" s="6" t="s">
        <v>697</v>
      </c>
      <c r="B334" s="6" t="s">
        <v>1636</v>
      </c>
      <c r="C334" s="6" t="s">
        <v>1637</v>
      </c>
      <c r="D334" s="6" t="s">
        <v>25</v>
      </c>
      <c r="E334" s="19" t="s">
        <v>700</v>
      </c>
      <c r="F334" s="6">
        <v>30</v>
      </c>
      <c r="G334" s="14">
        <v>2.3076923076923102</v>
      </c>
      <c r="H334" s="16">
        <v>30</v>
      </c>
      <c r="I334" s="8">
        <v>30</v>
      </c>
      <c r="J334" s="8">
        <v>30</v>
      </c>
      <c r="K334" s="8">
        <v>30</v>
      </c>
      <c r="L334" s="8">
        <v>30</v>
      </c>
      <c r="M334" s="8">
        <v>30</v>
      </c>
      <c r="N334" s="8">
        <v>30</v>
      </c>
      <c r="O334" s="8">
        <v>30</v>
      </c>
      <c r="P334" s="8">
        <v>60</v>
      </c>
      <c r="Q334" s="8">
        <v>30</v>
      </c>
      <c r="R334" s="8">
        <v>30</v>
      </c>
      <c r="S334" s="8">
        <v>30</v>
      </c>
      <c r="T334" s="8">
        <v>30</v>
      </c>
      <c r="U334" s="15">
        <v>32.307692307692299</v>
      </c>
      <c r="V334" s="6" t="s">
        <v>1306</v>
      </c>
    </row>
    <row r="335" spans="1:22" ht="30" customHeight="1">
      <c r="A335" s="6" t="s">
        <v>697</v>
      </c>
      <c r="B335" s="6" t="s">
        <v>1638</v>
      </c>
      <c r="C335" s="6" t="s">
        <v>1639</v>
      </c>
      <c r="D335" s="6" t="s">
        <v>25</v>
      </c>
      <c r="E335" s="19" t="s">
        <v>700</v>
      </c>
      <c r="F335" s="6">
        <v>30</v>
      </c>
      <c r="G335" s="14">
        <v>2.3076923076923102</v>
      </c>
      <c r="H335" s="16">
        <v>30</v>
      </c>
      <c r="I335" s="8">
        <v>30</v>
      </c>
      <c r="J335" s="8">
        <v>30</v>
      </c>
      <c r="K335" s="8">
        <v>30</v>
      </c>
      <c r="L335" s="8">
        <v>30</v>
      </c>
      <c r="M335" s="8">
        <v>30</v>
      </c>
      <c r="N335" s="8">
        <v>30</v>
      </c>
      <c r="O335" s="8">
        <v>30</v>
      </c>
      <c r="P335" s="8">
        <v>60</v>
      </c>
      <c r="Q335" s="8">
        <v>30</v>
      </c>
      <c r="R335" s="8">
        <v>30</v>
      </c>
      <c r="S335" s="8">
        <v>30</v>
      </c>
      <c r="T335" s="8">
        <v>30</v>
      </c>
      <c r="U335" s="15">
        <v>32.307692307692299</v>
      </c>
      <c r="V335" s="6" t="s">
        <v>1534</v>
      </c>
    </row>
    <row r="336" spans="1:22" ht="30" customHeight="1">
      <c r="A336" s="6" t="s">
        <v>697</v>
      </c>
      <c r="B336" s="6" t="s">
        <v>1640</v>
      </c>
      <c r="C336" s="6" t="s">
        <v>1641</v>
      </c>
      <c r="D336" s="6" t="s">
        <v>25</v>
      </c>
      <c r="E336" s="19" t="s">
        <v>700</v>
      </c>
      <c r="F336" s="6">
        <v>30</v>
      </c>
      <c r="G336" s="14">
        <v>2.3076923076923102</v>
      </c>
      <c r="H336" s="16">
        <v>30</v>
      </c>
      <c r="I336" s="8">
        <v>30</v>
      </c>
      <c r="J336" s="8">
        <v>30</v>
      </c>
      <c r="K336" s="8">
        <v>30</v>
      </c>
      <c r="L336" s="8">
        <v>30</v>
      </c>
      <c r="M336" s="8">
        <v>30</v>
      </c>
      <c r="N336" s="8">
        <v>30</v>
      </c>
      <c r="O336" s="8">
        <v>30</v>
      </c>
      <c r="P336" s="8">
        <v>60</v>
      </c>
      <c r="Q336" s="8">
        <v>30</v>
      </c>
      <c r="R336" s="8">
        <v>30</v>
      </c>
      <c r="S336" s="8">
        <v>30</v>
      </c>
      <c r="T336" s="8">
        <v>30</v>
      </c>
      <c r="U336" s="15">
        <v>32.307692307692299</v>
      </c>
      <c r="V336" s="6" t="s">
        <v>1586</v>
      </c>
    </row>
    <row r="337" spans="1:22" ht="30" customHeight="1">
      <c r="A337" s="6" t="s">
        <v>697</v>
      </c>
      <c r="B337" s="6" t="s">
        <v>1642</v>
      </c>
      <c r="C337" s="6" t="s">
        <v>1643</v>
      </c>
      <c r="D337" s="6" t="s">
        <v>25</v>
      </c>
      <c r="E337" s="19" t="s">
        <v>700</v>
      </c>
      <c r="F337" s="6">
        <v>30</v>
      </c>
      <c r="G337" s="14">
        <v>2.3076923076923102</v>
      </c>
      <c r="H337" s="16">
        <v>30</v>
      </c>
      <c r="I337" s="8">
        <v>30</v>
      </c>
      <c r="J337" s="8">
        <v>30</v>
      </c>
      <c r="K337" s="8">
        <v>30</v>
      </c>
      <c r="L337" s="8">
        <v>30</v>
      </c>
      <c r="M337" s="8">
        <v>30</v>
      </c>
      <c r="N337" s="8">
        <v>30</v>
      </c>
      <c r="O337" s="8">
        <v>30</v>
      </c>
      <c r="P337" s="8">
        <v>60</v>
      </c>
      <c r="Q337" s="8">
        <v>30</v>
      </c>
      <c r="R337" s="8">
        <v>30</v>
      </c>
      <c r="S337" s="8">
        <v>30</v>
      </c>
      <c r="T337" s="8">
        <v>30</v>
      </c>
      <c r="U337" s="15">
        <v>32.307692307692299</v>
      </c>
      <c r="V337" s="6" t="s">
        <v>1644</v>
      </c>
    </row>
    <row r="338" spans="1:22" ht="30" customHeight="1">
      <c r="A338" s="6" t="s">
        <v>697</v>
      </c>
      <c r="B338" s="6" t="s">
        <v>1645</v>
      </c>
      <c r="C338" s="6" t="s">
        <v>1646</v>
      </c>
      <c r="D338" s="6" t="s">
        <v>25</v>
      </c>
      <c r="E338" s="19" t="s">
        <v>700</v>
      </c>
      <c r="F338" s="6">
        <v>30</v>
      </c>
      <c r="G338" s="14">
        <v>2.3076923076923102</v>
      </c>
      <c r="H338" s="16">
        <v>30</v>
      </c>
      <c r="I338" s="8">
        <v>30</v>
      </c>
      <c r="J338" s="8">
        <v>30</v>
      </c>
      <c r="K338" s="8">
        <v>30</v>
      </c>
      <c r="L338" s="8">
        <v>30</v>
      </c>
      <c r="M338" s="8">
        <v>30</v>
      </c>
      <c r="N338" s="8">
        <v>30</v>
      </c>
      <c r="O338" s="8">
        <v>30</v>
      </c>
      <c r="P338" s="8">
        <v>60</v>
      </c>
      <c r="Q338" s="8">
        <v>30</v>
      </c>
      <c r="R338" s="8">
        <v>30</v>
      </c>
      <c r="S338" s="8">
        <v>30</v>
      </c>
      <c r="T338" s="8">
        <v>30</v>
      </c>
      <c r="U338" s="15">
        <v>32.307692307692299</v>
      </c>
      <c r="V338" s="6" t="s">
        <v>1647</v>
      </c>
    </row>
    <row r="339" spans="1:22" ht="30" customHeight="1">
      <c r="A339" s="6" t="s">
        <v>697</v>
      </c>
      <c r="B339" s="6" t="s">
        <v>1648</v>
      </c>
      <c r="C339" s="6" t="s">
        <v>1649</v>
      </c>
      <c r="D339" s="6" t="s">
        <v>25</v>
      </c>
      <c r="E339" s="19" t="s">
        <v>700</v>
      </c>
      <c r="F339" s="6">
        <v>30</v>
      </c>
      <c r="G339" s="14">
        <v>2.3076923076923102</v>
      </c>
      <c r="H339" s="16">
        <v>30</v>
      </c>
      <c r="I339" s="8">
        <v>30</v>
      </c>
      <c r="J339" s="8">
        <v>30</v>
      </c>
      <c r="K339" s="8">
        <v>30</v>
      </c>
      <c r="L339" s="8">
        <v>30</v>
      </c>
      <c r="M339" s="8">
        <v>30</v>
      </c>
      <c r="N339" s="8">
        <v>30</v>
      </c>
      <c r="O339" s="8">
        <v>30</v>
      </c>
      <c r="P339" s="8">
        <v>60</v>
      </c>
      <c r="Q339" s="8">
        <v>30</v>
      </c>
      <c r="R339" s="8">
        <v>30</v>
      </c>
      <c r="S339" s="8">
        <v>30</v>
      </c>
      <c r="T339" s="8">
        <v>30</v>
      </c>
      <c r="U339" s="15">
        <v>32.307692307692299</v>
      </c>
      <c r="V339" s="6" t="s">
        <v>1314</v>
      </c>
    </row>
    <row r="340" spans="1:22" ht="30" customHeight="1">
      <c r="A340" s="6" t="s">
        <v>697</v>
      </c>
      <c r="B340" s="6" t="s">
        <v>1650</v>
      </c>
      <c r="C340" s="6" t="s">
        <v>1651</v>
      </c>
      <c r="D340" s="6" t="s">
        <v>25</v>
      </c>
      <c r="E340" s="19" t="s">
        <v>700</v>
      </c>
      <c r="F340" s="6">
        <v>30</v>
      </c>
      <c r="G340" s="14">
        <v>2.3076923076923102</v>
      </c>
      <c r="H340" s="16">
        <v>30</v>
      </c>
      <c r="I340" s="8">
        <v>30</v>
      </c>
      <c r="J340" s="8">
        <v>30</v>
      </c>
      <c r="K340" s="8">
        <v>30</v>
      </c>
      <c r="L340" s="8">
        <v>30</v>
      </c>
      <c r="M340" s="8">
        <v>30</v>
      </c>
      <c r="N340" s="8">
        <v>30</v>
      </c>
      <c r="O340" s="8">
        <v>30</v>
      </c>
      <c r="P340" s="8">
        <v>60</v>
      </c>
      <c r="Q340" s="8">
        <v>30</v>
      </c>
      <c r="R340" s="8">
        <v>30</v>
      </c>
      <c r="S340" s="8">
        <v>30</v>
      </c>
      <c r="T340" s="8">
        <v>30</v>
      </c>
      <c r="U340" s="15">
        <v>32.307692307692299</v>
      </c>
      <c r="V340" s="6" t="s">
        <v>1652</v>
      </c>
    </row>
    <row r="341" spans="1:22" ht="30" customHeight="1">
      <c r="A341" s="6" t="s">
        <v>697</v>
      </c>
      <c r="B341" s="6" t="s">
        <v>1653</v>
      </c>
      <c r="C341" s="6" t="s">
        <v>1654</v>
      </c>
      <c r="D341" s="6" t="s">
        <v>25</v>
      </c>
      <c r="E341" s="19" t="s">
        <v>700</v>
      </c>
      <c r="F341" s="6">
        <v>30</v>
      </c>
      <c r="G341" s="14">
        <v>4.6153846153846096</v>
      </c>
      <c r="H341" s="16">
        <v>30</v>
      </c>
      <c r="I341" s="8">
        <v>30</v>
      </c>
      <c r="J341" s="8">
        <v>30</v>
      </c>
      <c r="K341" s="8">
        <v>30</v>
      </c>
      <c r="L341" s="8">
        <v>30</v>
      </c>
      <c r="M341" s="8">
        <v>30</v>
      </c>
      <c r="N341" s="8">
        <v>30</v>
      </c>
      <c r="O341" s="8">
        <v>30</v>
      </c>
      <c r="P341" s="8">
        <v>60</v>
      </c>
      <c r="Q341" s="8">
        <v>30</v>
      </c>
      <c r="R341" s="8">
        <v>60</v>
      </c>
      <c r="S341" s="8">
        <v>30</v>
      </c>
      <c r="T341" s="8">
        <v>30</v>
      </c>
      <c r="U341" s="15">
        <v>34.615384615384599</v>
      </c>
      <c r="V341" s="6" t="s">
        <v>1655</v>
      </c>
    </row>
    <row r="342" spans="1:22" ht="30" customHeight="1">
      <c r="A342" s="6" t="s">
        <v>697</v>
      </c>
      <c r="B342" s="6" t="s">
        <v>1656</v>
      </c>
      <c r="C342" s="6" t="s">
        <v>1657</v>
      </c>
      <c r="D342" s="6" t="s">
        <v>25</v>
      </c>
      <c r="E342" s="19" t="s">
        <v>700</v>
      </c>
      <c r="F342" s="6">
        <v>30</v>
      </c>
      <c r="G342" s="14">
        <v>4.6153846153846096</v>
      </c>
      <c r="H342" s="16">
        <v>30</v>
      </c>
      <c r="I342" s="8">
        <v>30</v>
      </c>
      <c r="J342" s="8">
        <v>30</v>
      </c>
      <c r="K342" s="8">
        <v>30</v>
      </c>
      <c r="L342" s="8">
        <v>30</v>
      </c>
      <c r="M342" s="8">
        <v>30</v>
      </c>
      <c r="N342" s="8">
        <v>30</v>
      </c>
      <c r="O342" s="8">
        <v>30</v>
      </c>
      <c r="P342" s="8">
        <v>60</v>
      </c>
      <c r="Q342" s="8">
        <v>30</v>
      </c>
      <c r="R342" s="8">
        <v>60</v>
      </c>
      <c r="S342" s="8">
        <v>30</v>
      </c>
      <c r="T342" s="8">
        <v>30</v>
      </c>
      <c r="U342" s="15">
        <v>34.615384615384599</v>
      </c>
      <c r="V342" s="6" t="s">
        <v>1658</v>
      </c>
    </row>
    <row r="343" spans="1:22" ht="30" customHeight="1">
      <c r="A343" s="6" t="s">
        <v>697</v>
      </c>
      <c r="B343" s="6" t="s">
        <v>1659</v>
      </c>
      <c r="C343" s="6" t="s">
        <v>1660</v>
      </c>
      <c r="D343" s="6" t="s">
        <v>25</v>
      </c>
      <c r="E343" s="19" t="s">
        <v>700</v>
      </c>
      <c r="F343" s="6">
        <v>30</v>
      </c>
      <c r="G343" s="14">
        <v>2.3076923076923102</v>
      </c>
      <c r="H343" s="16">
        <v>30</v>
      </c>
      <c r="I343" s="8">
        <v>30</v>
      </c>
      <c r="J343" s="8">
        <v>30</v>
      </c>
      <c r="K343" s="8">
        <v>30</v>
      </c>
      <c r="L343" s="8">
        <v>30</v>
      </c>
      <c r="M343" s="8">
        <v>30</v>
      </c>
      <c r="N343" s="8">
        <v>30</v>
      </c>
      <c r="O343" s="8">
        <v>30</v>
      </c>
      <c r="P343" s="8">
        <v>60</v>
      </c>
      <c r="Q343" s="8">
        <v>30</v>
      </c>
      <c r="R343" s="8">
        <v>30</v>
      </c>
      <c r="S343" s="8">
        <v>30</v>
      </c>
      <c r="T343" s="8">
        <v>30</v>
      </c>
      <c r="U343" s="15">
        <v>32.307692307692299</v>
      </c>
      <c r="V343" s="6" t="s">
        <v>1448</v>
      </c>
    </row>
    <row r="344" spans="1:22" ht="30" customHeight="1">
      <c r="A344" s="6" t="s">
        <v>697</v>
      </c>
      <c r="B344" s="6" t="s">
        <v>1661</v>
      </c>
      <c r="C344" s="6" t="s">
        <v>1662</v>
      </c>
      <c r="D344" s="6" t="s">
        <v>25</v>
      </c>
      <c r="E344" s="19" t="s">
        <v>700</v>
      </c>
      <c r="F344" s="6">
        <v>30</v>
      </c>
      <c r="G344" s="14">
        <v>2.3076923076923102</v>
      </c>
      <c r="H344" s="16">
        <v>30</v>
      </c>
      <c r="I344" s="8">
        <v>30</v>
      </c>
      <c r="J344" s="8">
        <v>30</v>
      </c>
      <c r="K344" s="8">
        <v>30</v>
      </c>
      <c r="L344" s="8">
        <v>30</v>
      </c>
      <c r="M344" s="8">
        <v>30</v>
      </c>
      <c r="N344" s="8">
        <v>30</v>
      </c>
      <c r="O344" s="8">
        <v>30</v>
      </c>
      <c r="P344" s="8">
        <v>30</v>
      </c>
      <c r="Q344" s="8">
        <v>60</v>
      </c>
      <c r="R344" s="8">
        <v>30</v>
      </c>
      <c r="S344" s="8">
        <v>30</v>
      </c>
      <c r="T344" s="8">
        <v>30</v>
      </c>
      <c r="U344" s="15">
        <v>32.307692307692299</v>
      </c>
      <c r="V344" s="6" t="s">
        <v>1663</v>
      </c>
    </row>
    <row r="345" spans="1:22" ht="30" customHeight="1">
      <c r="A345" s="6" t="s">
        <v>697</v>
      </c>
      <c r="B345" s="6" t="s">
        <v>1664</v>
      </c>
      <c r="C345" s="6" t="s">
        <v>1665</v>
      </c>
      <c r="D345" s="6" t="s">
        <v>25</v>
      </c>
      <c r="E345" s="19" t="s">
        <v>704</v>
      </c>
      <c r="F345" s="6">
        <v>100</v>
      </c>
      <c r="G345" s="14">
        <v>492.230769230769</v>
      </c>
      <c r="H345" s="16">
        <v>689</v>
      </c>
      <c r="I345" s="8">
        <v>1219</v>
      </c>
      <c r="J345" s="8">
        <v>520</v>
      </c>
      <c r="K345" s="8">
        <v>1593</v>
      </c>
      <c r="L345" s="8">
        <v>1005</v>
      </c>
      <c r="M345" s="8">
        <v>1005</v>
      </c>
      <c r="N345" s="8">
        <v>1068</v>
      </c>
      <c r="O345" s="8">
        <v>100</v>
      </c>
      <c r="P345" s="8">
        <v>100</v>
      </c>
      <c r="Q345" s="8">
        <v>100</v>
      </c>
      <c r="R345" s="8">
        <v>100</v>
      </c>
      <c r="S345" s="8">
        <v>100</v>
      </c>
      <c r="T345" s="8">
        <v>100</v>
      </c>
      <c r="U345" s="15">
        <v>592.23076923076906</v>
      </c>
      <c r="V345" s="6" t="s">
        <v>1666</v>
      </c>
    </row>
    <row r="346" spans="1:22" ht="30" customHeight="1">
      <c r="A346" s="6" t="s">
        <v>697</v>
      </c>
      <c r="B346" s="6" t="s">
        <v>1667</v>
      </c>
      <c r="C346" s="6" t="s">
        <v>1668</v>
      </c>
      <c r="D346" s="6" t="s">
        <v>25</v>
      </c>
      <c r="E346" s="19" t="s">
        <v>700</v>
      </c>
      <c r="F346" s="6">
        <v>30</v>
      </c>
      <c r="G346" s="14">
        <v>0</v>
      </c>
      <c r="H346" s="16">
        <v>30</v>
      </c>
      <c r="I346" s="8">
        <v>30</v>
      </c>
      <c r="J346" s="8">
        <v>30</v>
      </c>
      <c r="K346" s="8">
        <v>30</v>
      </c>
      <c r="L346" s="8">
        <v>30</v>
      </c>
      <c r="M346" s="8">
        <v>30</v>
      </c>
      <c r="N346" s="8">
        <v>30</v>
      </c>
      <c r="O346" s="8">
        <v>30</v>
      </c>
      <c r="P346" s="8">
        <v>30</v>
      </c>
      <c r="Q346" s="8">
        <v>30</v>
      </c>
      <c r="R346" s="8">
        <v>30</v>
      </c>
      <c r="S346" s="8">
        <v>30</v>
      </c>
      <c r="T346" s="8">
        <v>30</v>
      </c>
      <c r="U346" s="15">
        <v>30</v>
      </c>
      <c r="V346" s="6" t="s">
        <v>1669</v>
      </c>
    </row>
    <row r="347" spans="1:22" ht="30" customHeight="1">
      <c r="A347" s="6" t="s">
        <v>697</v>
      </c>
      <c r="B347" s="6" t="s">
        <v>1670</v>
      </c>
      <c r="C347" s="6" t="s">
        <v>1671</v>
      </c>
      <c r="D347" s="6" t="s">
        <v>25</v>
      </c>
      <c r="E347" s="19" t="s">
        <v>700</v>
      </c>
      <c r="F347" s="6">
        <v>30</v>
      </c>
      <c r="G347" s="14">
        <v>2.3076923076923102</v>
      </c>
      <c r="H347" s="16">
        <v>30</v>
      </c>
      <c r="I347" s="8">
        <v>30</v>
      </c>
      <c r="J347" s="8">
        <v>30</v>
      </c>
      <c r="K347" s="8">
        <v>30</v>
      </c>
      <c r="L347" s="8">
        <v>30</v>
      </c>
      <c r="M347" s="8">
        <v>30</v>
      </c>
      <c r="N347" s="8">
        <v>30</v>
      </c>
      <c r="O347" s="8">
        <v>30</v>
      </c>
      <c r="P347" s="8">
        <v>60</v>
      </c>
      <c r="Q347" s="8">
        <v>30</v>
      </c>
      <c r="R347" s="8">
        <v>30</v>
      </c>
      <c r="S347" s="8">
        <v>30</v>
      </c>
      <c r="T347" s="8">
        <v>30</v>
      </c>
      <c r="U347" s="15">
        <v>32.307692307692299</v>
      </c>
      <c r="V347" s="6" t="s">
        <v>1672</v>
      </c>
    </row>
    <row r="348" spans="1:22" ht="45" customHeight="1">
      <c r="A348" s="6" t="s">
        <v>697</v>
      </c>
      <c r="B348" s="6" t="s">
        <v>1673</v>
      </c>
      <c r="C348" s="6" t="s">
        <v>1674</v>
      </c>
      <c r="D348" s="6" t="s">
        <v>25</v>
      </c>
      <c r="E348" s="19" t="s">
        <v>700</v>
      </c>
      <c r="F348" s="6">
        <v>30</v>
      </c>
      <c r="G348" s="14">
        <v>4.6153846153846096</v>
      </c>
      <c r="H348" s="16">
        <v>30</v>
      </c>
      <c r="I348" s="8">
        <v>30</v>
      </c>
      <c r="J348" s="8">
        <v>30</v>
      </c>
      <c r="K348" s="8">
        <v>30</v>
      </c>
      <c r="L348" s="8">
        <v>30</v>
      </c>
      <c r="M348" s="8">
        <v>30</v>
      </c>
      <c r="N348" s="8">
        <v>30</v>
      </c>
      <c r="O348" s="8">
        <v>30</v>
      </c>
      <c r="P348" s="8">
        <v>60</v>
      </c>
      <c r="Q348" s="8">
        <v>30</v>
      </c>
      <c r="R348" s="8">
        <v>60</v>
      </c>
      <c r="S348" s="8">
        <v>30</v>
      </c>
      <c r="T348" s="8">
        <v>30</v>
      </c>
      <c r="U348" s="15">
        <v>34.615384615384599</v>
      </c>
      <c r="V348" s="6" t="s">
        <v>1658</v>
      </c>
    </row>
    <row r="349" spans="1:22" ht="30" customHeight="1">
      <c r="A349" s="6" t="s">
        <v>697</v>
      </c>
      <c r="B349" s="6" t="s">
        <v>1675</v>
      </c>
      <c r="C349" s="6" t="s">
        <v>1676</v>
      </c>
      <c r="D349" s="6" t="s">
        <v>25</v>
      </c>
      <c r="E349" s="19" t="s">
        <v>700</v>
      </c>
      <c r="F349" s="6">
        <v>30</v>
      </c>
      <c r="G349" s="14">
        <v>2.3076923076923102</v>
      </c>
      <c r="H349" s="16">
        <v>30</v>
      </c>
      <c r="I349" s="8">
        <v>30</v>
      </c>
      <c r="J349" s="8">
        <v>30</v>
      </c>
      <c r="K349" s="8">
        <v>30</v>
      </c>
      <c r="L349" s="8">
        <v>30</v>
      </c>
      <c r="M349" s="8">
        <v>30</v>
      </c>
      <c r="N349" s="8">
        <v>30</v>
      </c>
      <c r="O349" s="8">
        <v>30</v>
      </c>
      <c r="P349" s="8">
        <v>60</v>
      </c>
      <c r="Q349" s="8">
        <v>30</v>
      </c>
      <c r="R349" s="8">
        <v>30</v>
      </c>
      <c r="S349" s="8">
        <v>30</v>
      </c>
      <c r="T349" s="8">
        <v>30</v>
      </c>
      <c r="U349" s="15">
        <v>32.307692307692299</v>
      </c>
      <c r="V349" s="6" t="s">
        <v>1677</v>
      </c>
    </row>
    <row r="350" spans="1:22" ht="30" customHeight="1">
      <c r="A350" s="6" t="s">
        <v>697</v>
      </c>
      <c r="B350" s="6" t="s">
        <v>1678</v>
      </c>
      <c r="C350" s="6" t="s">
        <v>1679</v>
      </c>
      <c r="D350" s="6" t="s">
        <v>25</v>
      </c>
      <c r="E350" s="19" t="s">
        <v>700</v>
      </c>
      <c r="F350" s="6">
        <v>30</v>
      </c>
      <c r="G350" s="14">
        <v>2.3076923076923102</v>
      </c>
      <c r="H350" s="16">
        <v>30</v>
      </c>
      <c r="I350" s="8">
        <v>30</v>
      </c>
      <c r="J350" s="8">
        <v>30</v>
      </c>
      <c r="K350" s="8">
        <v>30</v>
      </c>
      <c r="L350" s="8">
        <v>30</v>
      </c>
      <c r="M350" s="8">
        <v>30</v>
      </c>
      <c r="N350" s="8">
        <v>30</v>
      </c>
      <c r="O350" s="8">
        <v>30</v>
      </c>
      <c r="P350" s="8">
        <v>60</v>
      </c>
      <c r="Q350" s="8">
        <v>30</v>
      </c>
      <c r="R350" s="8">
        <v>30</v>
      </c>
      <c r="S350" s="8">
        <v>30</v>
      </c>
      <c r="T350" s="8">
        <v>30</v>
      </c>
      <c r="U350" s="15">
        <v>32.307692307692299</v>
      </c>
      <c r="V350" s="6" t="s">
        <v>1680</v>
      </c>
    </row>
    <row r="351" spans="1:22" ht="30" customHeight="1">
      <c r="A351" s="6" t="s">
        <v>697</v>
      </c>
      <c r="B351" s="6" t="s">
        <v>1681</v>
      </c>
      <c r="C351" s="6" t="s">
        <v>1682</v>
      </c>
      <c r="D351" s="6" t="s">
        <v>25</v>
      </c>
      <c r="E351" s="19" t="s">
        <v>700</v>
      </c>
      <c r="F351" s="6">
        <v>30</v>
      </c>
      <c r="G351" s="14">
        <v>2.3076923076923102</v>
      </c>
      <c r="H351" s="16">
        <v>30</v>
      </c>
      <c r="I351" s="8">
        <v>30</v>
      </c>
      <c r="J351" s="8">
        <v>30</v>
      </c>
      <c r="K351" s="8">
        <v>30</v>
      </c>
      <c r="L351" s="8">
        <v>30</v>
      </c>
      <c r="M351" s="8">
        <v>30</v>
      </c>
      <c r="N351" s="8">
        <v>30</v>
      </c>
      <c r="O351" s="8">
        <v>30</v>
      </c>
      <c r="P351" s="8">
        <v>60</v>
      </c>
      <c r="Q351" s="8">
        <v>30</v>
      </c>
      <c r="R351" s="8">
        <v>30</v>
      </c>
      <c r="S351" s="8">
        <v>30</v>
      </c>
      <c r="T351" s="8">
        <v>30</v>
      </c>
      <c r="U351" s="15">
        <v>32.307692307692299</v>
      </c>
      <c r="V351" s="6" t="s">
        <v>1537</v>
      </c>
    </row>
    <row r="352" spans="1:22" ht="30" customHeight="1">
      <c r="A352" s="6" t="s">
        <v>697</v>
      </c>
      <c r="B352" s="6" t="s">
        <v>1683</v>
      </c>
      <c r="C352" s="6" t="s">
        <v>1684</v>
      </c>
      <c r="D352" s="6" t="s">
        <v>25</v>
      </c>
      <c r="E352" s="19" t="s">
        <v>700</v>
      </c>
      <c r="F352" s="6">
        <v>30</v>
      </c>
      <c r="G352" s="14">
        <v>2.3076923076923102</v>
      </c>
      <c r="H352" s="16">
        <v>30</v>
      </c>
      <c r="I352" s="8">
        <v>30</v>
      </c>
      <c r="J352" s="8">
        <v>30</v>
      </c>
      <c r="K352" s="8">
        <v>30</v>
      </c>
      <c r="L352" s="8">
        <v>30</v>
      </c>
      <c r="M352" s="8">
        <v>30</v>
      </c>
      <c r="N352" s="8">
        <v>30</v>
      </c>
      <c r="O352" s="8">
        <v>30</v>
      </c>
      <c r="P352" s="8">
        <v>60</v>
      </c>
      <c r="Q352" s="8">
        <v>30</v>
      </c>
      <c r="R352" s="8">
        <v>30</v>
      </c>
      <c r="S352" s="8">
        <v>30</v>
      </c>
      <c r="T352" s="8">
        <v>30</v>
      </c>
      <c r="U352" s="15">
        <v>32.307692307692299</v>
      </c>
      <c r="V352" s="6" t="s">
        <v>1685</v>
      </c>
    </row>
    <row r="353" spans="1:22" ht="30" customHeight="1">
      <c r="A353" s="6" t="s">
        <v>697</v>
      </c>
      <c r="B353" s="6" t="s">
        <v>1466</v>
      </c>
      <c r="C353" s="6" t="s">
        <v>1686</v>
      </c>
      <c r="D353" s="6" t="s">
        <v>25</v>
      </c>
      <c r="E353" s="19" t="s">
        <v>700</v>
      </c>
      <c r="F353" s="6">
        <v>30</v>
      </c>
      <c r="G353" s="14">
        <v>2.3076923076923102</v>
      </c>
      <c r="H353" s="16">
        <v>30</v>
      </c>
      <c r="I353" s="8">
        <v>30</v>
      </c>
      <c r="J353" s="8">
        <v>30</v>
      </c>
      <c r="K353" s="8">
        <v>30</v>
      </c>
      <c r="L353" s="8">
        <v>30</v>
      </c>
      <c r="M353" s="8">
        <v>30</v>
      </c>
      <c r="N353" s="8">
        <v>30</v>
      </c>
      <c r="O353" s="8">
        <v>30</v>
      </c>
      <c r="P353" s="8">
        <v>60</v>
      </c>
      <c r="Q353" s="8">
        <v>30</v>
      </c>
      <c r="R353" s="8">
        <v>30</v>
      </c>
      <c r="S353" s="8">
        <v>30</v>
      </c>
      <c r="T353" s="8">
        <v>30</v>
      </c>
      <c r="U353" s="15">
        <v>32.307692307692299</v>
      </c>
      <c r="V353" s="6" t="s">
        <v>1687</v>
      </c>
    </row>
    <row r="354" spans="1:22" ht="30" customHeight="1">
      <c r="A354" s="6" t="s">
        <v>697</v>
      </c>
      <c r="B354" s="6" t="s">
        <v>1688</v>
      </c>
      <c r="C354" s="6" t="s">
        <v>1689</v>
      </c>
      <c r="D354" s="6" t="s">
        <v>25</v>
      </c>
      <c r="E354" s="19" t="s">
        <v>700</v>
      </c>
      <c r="F354" s="6">
        <v>30</v>
      </c>
      <c r="G354" s="14">
        <v>2.3076923076923102</v>
      </c>
      <c r="H354" s="16">
        <v>30</v>
      </c>
      <c r="I354" s="8">
        <v>30</v>
      </c>
      <c r="J354" s="8">
        <v>30</v>
      </c>
      <c r="K354" s="8">
        <v>30</v>
      </c>
      <c r="L354" s="8">
        <v>30</v>
      </c>
      <c r="M354" s="8">
        <v>30</v>
      </c>
      <c r="N354" s="8">
        <v>30</v>
      </c>
      <c r="O354" s="8">
        <v>30</v>
      </c>
      <c r="P354" s="8">
        <v>60</v>
      </c>
      <c r="Q354" s="8">
        <v>30</v>
      </c>
      <c r="R354" s="8">
        <v>30</v>
      </c>
      <c r="S354" s="8">
        <v>30</v>
      </c>
      <c r="T354" s="8">
        <v>30</v>
      </c>
      <c r="U354" s="15">
        <v>32.307692307692299</v>
      </c>
      <c r="V354" s="6" t="s">
        <v>1690</v>
      </c>
    </row>
    <row r="355" spans="1:22" ht="30" customHeight="1">
      <c r="A355" s="6" t="s">
        <v>697</v>
      </c>
      <c r="B355" s="6" t="s">
        <v>1435</v>
      </c>
      <c r="C355" s="6" t="s">
        <v>1691</v>
      </c>
      <c r="D355" s="6" t="s">
        <v>25</v>
      </c>
      <c r="E355" s="19" t="s">
        <v>700</v>
      </c>
      <c r="F355" s="6">
        <v>30</v>
      </c>
      <c r="G355" s="14">
        <v>2.3076923076923102</v>
      </c>
      <c r="H355" s="16">
        <v>30</v>
      </c>
      <c r="I355" s="8">
        <v>30</v>
      </c>
      <c r="J355" s="8">
        <v>30</v>
      </c>
      <c r="K355" s="8">
        <v>30</v>
      </c>
      <c r="L355" s="8">
        <v>30</v>
      </c>
      <c r="M355" s="8">
        <v>30</v>
      </c>
      <c r="N355" s="8">
        <v>30</v>
      </c>
      <c r="O355" s="8">
        <v>30</v>
      </c>
      <c r="P355" s="8">
        <v>60</v>
      </c>
      <c r="Q355" s="8">
        <v>30</v>
      </c>
      <c r="R355" s="8">
        <v>30</v>
      </c>
      <c r="S355" s="8">
        <v>30</v>
      </c>
      <c r="T355" s="8">
        <v>30</v>
      </c>
      <c r="U355" s="15">
        <v>32.307692307692299</v>
      </c>
      <c r="V355" s="6" t="s">
        <v>1440</v>
      </c>
    </row>
    <row r="356" spans="1:22" ht="30" customHeight="1">
      <c r="A356" s="6" t="s">
        <v>697</v>
      </c>
      <c r="B356" s="6" t="s">
        <v>1692</v>
      </c>
      <c r="C356" s="6" t="s">
        <v>1693</v>
      </c>
      <c r="D356" s="6" t="s">
        <v>25</v>
      </c>
      <c r="E356" s="19" t="s">
        <v>700</v>
      </c>
      <c r="F356" s="6">
        <v>30</v>
      </c>
      <c r="G356" s="14">
        <v>2.3076923076923102</v>
      </c>
      <c r="H356" s="16">
        <v>30</v>
      </c>
      <c r="I356" s="8">
        <v>30</v>
      </c>
      <c r="J356" s="8">
        <v>30</v>
      </c>
      <c r="K356" s="8">
        <v>30</v>
      </c>
      <c r="L356" s="8">
        <v>30</v>
      </c>
      <c r="M356" s="8">
        <v>30</v>
      </c>
      <c r="N356" s="8">
        <v>30</v>
      </c>
      <c r="O356" s="8">
        <v>30</v>
      </c>
      <c r="P356" s="8">
        <v>60</v>
      </c>
      <c r="Q356" s="8">
        <v>30</v>
      </c>
      <c r="R356" s="8">
        <v>30</v>
      </c>
      <c r="S356" s="8">
        <v>30</v>
      </c>
      <c r="T356" s="8">
        <v>30</v>
      </c>
      <c r="U356" s="15">
        <v>32.307692307692299</v>
      </c>
      <c r="V356" s="6" t="s">
        <v>1694</v>
      </c>
    </row>
    <row r="357" spans="1:22" ht="30" customHeight="1">
      <c r="A357" s="6" t="s">
        <v>697</v>
      </c>
      <c r="B357" s="6" t="s">
        <v>1695</v>
      </c>
      <c r="C357" s="6" t="s">
        <v>1696</v>
      </c>
      <c r="D357" s="6" t="s">
        <v>25</v>
      </c>
      <c r="E357" s="19" t="s">
        <v>700</v>
      </c>
      <c r="F357" s="6">
        <v>30</v>
      </c>
      <c r="G357" s="14">
        <v>2.3076923076923102</v>
      </c>
      <c r="H357" s="16">
        <v>30</v>
      </c>
      <c r="I357" s="8">
        <v>30</v>
      </c>
      <c r="J357" s="8">
        <v>30</v>
      </c>
      <c r="K357" s="8">
        <v>30</v>
      </c>
      <c r="L357" s="8">
        <v>30</v>
      </c>
      <c r="M357" s="8">
        <v>30</v>
      </c>
      <c r="N357" s="8">
        <v>30</v>
      </c>
      <c r="O357" s="8">
        <v>30</v>
      </c>
      <c r="P357" s="8">
        <v>60</v>
      </c>
      <c r="Q357" s="8">
        <v>30</v>
      </c>
      <c r="R357" s="8">
        <v>30</v>
      </c>
      <c r="S357" s="8">
        <v>30</v>
      </c>
      <c r="T357" s="8">
        <v>30</v>
      </c>
      <c r="U357" s="15">
        <v>32.307692307692299</v>
      </c>
      <c r="V357" s="6" t="s">
        <v>1333</v>
      </c>
    </row>
    <row r="358" spans="1:22" ht="30" customHeight="1">
      <c r="A358" s="6" t="s">
        <v>697</v>
      </c>
      <c r="B358" s="6" t="s">
        <v>1697</v>
      </c>
      <c r="C358" s="6" t="s">
        <v>1698</v>
      </c>
      <c r="D358" s="6" t="s">
        <v>25</v>
      </c>
      <c r="E358" s="19" t="s">
        <v>700</v>
      </c>
      <c r="F358" s="6">
        <v>30</v>
      </c>
      <c r="G358" s="14">
        <v>2.3076923076923102</v>
      </c>
      <c r="H358" s="16">
        <v>30</v>
      </c>
      <c r="I358" s="8">
        <v>30</v>
      </c>
      <c r="J358" s="8">
        <v>30</v>
      </c>
      <c r="K358" s="8">
        <v>30</v>
      </c>
      <c r="L358" s="8">
        <v>30</v>
      </c>
      <c r="M358" s="8">
        <v>30</v>
      </c>
      <c r="N358" s="8">
        <v>30</v>
      </c>
      <c r="O358" s="8">
        <v>30</v>
      </c>
      <c r="P358" s="8">
        <v>60</v>
      </c>
      <c r="Q358" s="8">
        <v>30</v>
      </c>
      <c r="R358" s="8">
        <v>30</v>
      </c>
      <c r="S358" s="8">
        <v>30</v>
      </c>
      <c r="T358" s="8">
        <v>30</v>
      </c>
      <c r="U358" s="15">
        <v>32.307692307692299</v>
      </c>
      <c r="V358" s="6" t="s">
        <v>1699</v>
      </c>
    </row>
    <row r="359" spans="1:22" ht="30" customHeight="1">
      <c r="A359" s="6" t="s">
        <v>697</v>
      </c>
      <c r="B359" s="6" t="s">
        <v>1700</v>
      </c>
      <c r="C359" s="6" t="s">
        <v>1701</v>
      </c>
      <c r="D359" s="6" t="s">
        <v>25</v>
      </c>
      <c r="E359" s="19" t="s">
        <v>700</v>
      </c>
      <c r="F359" s="6">
        <v>30</v>
      </c>
      <c r="G359" s="14">
        <v>2.3076923076923102</v>
      </c>
      <c r="H359" s="16">
        <v>30</v>
      </c>
      <c r="I359" s="8">
        <v>30</v>
      </c>
      <c r="J359" s="8">
        <v>30</v>
      </c>
      <c r="K359" s="8">
        <v>30</v>
      </c>
      <c r="L359" s="8">
        <v>60</v>
      </c>
      <c r="M359" s="8">
        <v>30</v>
      </c>
      <c r="N359" s="8">
        <v>30</v>
      </c>
      <c r="O359" s="8">
        <v>30</v>
      </c>
      <c r="P359" s="8">
        <v>30</v>
      </c>
      <c r="Q359" s="8">
        <v>30</v>
      </c>
      <c r="R359" s="8">
        <v>30</v>
      </c>
      <c r="S359" s="8">
        <v>30</v>
      </c>
      <c r="T359" s="8">
        <v>30</v>
      </c>
      <c r="U359" s="15">
        <v>32.307692307692299</v>
      </c>
      <c r="V359" s="6" t="s">
        <v>1702</v>
      </c>
    </row>
    <row r="360" spans="1:22" ht="30" customHeight="1">
      <c r="A360" s="6" t="s">
        <v>697</v>
      </c>
      <c r="B360" s="6" t="s">
        <v>1703</v>
      </c>
      <c r="C360" s="6" t="s">
        <v>1704</v>
      </c>
      <c r="D360" s="6" t="s">
        <v>25</v>
      </c>
      <c r="E360" s="19" t="s">
        <v>704</v>
      </c>
      <c r="F360" s="6">
        <v>100</v>
      </c>
      <c r="G360" s="14">
        <v>0</v>
      </c>
      <c r="H360" s="16">
        <v>100</v>
      </c>
      <c r="I360" s="8">
        <v>100</v>
      </c>
      <c r="J360" s="8">
        <v>100</v>
      </c>
      <c r="K360" s="8">
        <v>100</v>
      </c>
      <c r="L360" s="8">
        <v>100</v>
      </c>
      <c r="M360" s="8">
        <v>100</v>
      </c>
      <c r="N360" s="8">
        <v>100</v>
      </c>
      <c r="O360" s="8">
        <v>100</v>
      </c>
      <c r="P360" s="8">
        <v>100</v>
      </c>
      <c r="Q360" s="8">
        <v>100</v>
      </c>
      <c r="R360" s="8">
        <v>100</v>
      </c>
      <c r="S360" s="8">
        <v>100</v>
      </c>
      <c r="T360" s="8">
        <v>100</v>
      </c>
      <c r="U360" s="15">
        <v>100</v>
      </c>
      <c r="V360" s="6" t="s">
        <v>1705</v>
      </c>
    </row>
    <row r="361" spans="1:22" ht="30" customHeight="1">
      <c r="A361" s="6" t="s">
        <v>697</v>
      </c>
      <c r="B361" s="6" t="s">
        <v>1706</v>
      </c>
      <c r="C361" s="6" t="s">
        <v>1707</v>
      </c>
      <c r="D361" s="6" t="s">
        <v>25</v>
      </c>
      <c r="E361" s="19" t="s">
        <v>700</v>
      </c>
      <c r="F361" s="6">
        <v>30</v>
      </c>
      <c r="G361" s="14">
        <v>247.46153846153899</v>
      </c>
      <c r="H361" s="16">
        <v>233</v>
      </c>
      <c r="I361" s="8">
        <v>235</v>
      </c>
      <c r="J361" s="8">
        <v>256</v>
      </c>
      <c r="K361" s="8">
        <v>276</v>
      </c>
      <c r="L361" s="8">
        <v>336</v>
      </c>
      <c r="M361" s="8">
        <v>258</v>
      </c>
      <c r="N361" s="8">
        <v>264</v>
      </c>
      <c r="O361" s="8">
        <v>261</v>
      </c>
      <c r="P361" s="8">
        <v>407</v>
      </c>
      <c r="Q361" s="8">
        <v>411</v>
      </c>
      <c r="R361" s="8">
        <v>378</v>
      </c>
      <c r="S361" s="8">
        <v>262</v>
      </c>
      <c r="T361" s="8">
        <v>30</v>
      </c>
      <c r="U361" s="15">
        <v>277.46153846153902</v>
      </c>
      <c r="V361" s="6" t="s">
        <v>1056</v>
      </c>
    </row>
    <row r="362" spans="1:22" ht="30" customHeight="1">
      <c r="A362" s="6" t="s">
        <v>697</v>
      </c>
      <c r="B362" s="6" t="s">
        <v>1708</v>
      </c>
      <c r="C362" s="6" t="s">
        <v>1709</v>
      </c>
      <c r="D362" s="6" t="s">
        <v>25</v>
      </c>
      <c r="E362" s="19" t="s">
        <v>704</v>
      </c>
      <c r="F362" s="6">
        <v>100</v>
      </c>
      <c r="G362" s="14">
        <v>403.92307692307702</v>
      </c>
      <c r="H362" s="16">
        <v>100</v>
      </c>
      <c r="I362" s="8">
        <v>100</v>
      </c>
      <c r="J362" s="8">
        <v>100</v>
      </c>
      <c r="K362" s="8">
        <v>100</v>
      </c>
      <c r="L362" s="8">
        <v>100</v>
      </c>
      <c r="M362" s="8">
        <v>100</v>
      </c>
      <c r="N362" s="8">
        <v>100</v>
      </c>
      <c r="O362" s="8">
        <v>100</v>
      </c>
      <c r="P362" s="8">
        <v>100</v>
      </c>
      <c r="Q362" s="8">
        <v>100</v>
      </c>
      <c r="R362" s="8">
        <v>2608</v>
      </c>
      <c r="S362" s="8">
        <v>2843</v>
      </c>
      <c r="T362" s="8">
        <v>100</v>
      </c>
      <c r="U362" s="15">
        <v>503.92307692307702</v>
      </c>
      <c r="V362" s="6" t="s">
        <v>1710</v>
      </c>
    </row>
    <row r="363" spans="1:22" ht="30" customHeight="1">
      <c r="A363" s="6" t="s">
        <v>697</v>
      </c>
      <c r="B363" s="6" t="s">
        <v>1711</v>
      </c>
      <c r="C363" s="6" t="s">
        <v>1712</v>
      </c>
      <c r="D363" s="6" t="s">
        <v>25</v>
      </c>
      <c r="E363" s="19" t="s">
        <v>700</v>
      </c>
      <c r="F363" s="6">
        <v>30</v>
      </c>
      <c r="G363" s="14">
        <v>2.3076923076923102</v>
      </c>
      <c r="H363" s="16">
        <v>30</v>
      </c>
      <c r="I363" s="8">
        <v>30</v>
      </c>
      <c r="J363" s="8">
        <v>30</v>
      </c>
      <c r="K363" s="8">
        <v>30</v>
      </c>
      <c r="L363" s="8">
        <v>30</v>
      </c>
      <c r="M363" s="8">
        <v>30</v>
      </c>
      <c r="N363" s="8">
        <v>30</v>
      </c>
      <c r="O363" s="8">
        <v>30</v>
      </c>
      <c r="P363" s="8">
        <v>30</v>
      </c>
      <c r="Q363" s="8">
        <v>30</v>
      </c>
      <c r="R363" s="8">
        <v>60</v>
      </c>
      <c r="S363" s="8">
        <v>30</v>
      </c>
      <c r="T363" s="8">
        <v>30</v>
      </c>
      <c r="U363" s="15">
        <v>32.307692307692299</v>
      </c>
      <c r="V363" s="6" t="s">
        <v>1713</v>
      </c>
    </row>
    <row r="364" spans="1:22" ht="30" customHeight="1">
      <c r="A364" s="6" t="s">
        <v>697</v>
      </c>
      <c r="B364" s="6" t="s">
        <v>1714</v>
      </c>
      <c r="C364" s="6" t="s">
        <v>1715</v>
      </c>
      <c r="D364" s="6" t="s">
        <v>25</v>
      </c>
      <c r="E364" s="19" t="s">
        <v>700</v>
      </c>
      <c r="F364" s="6">
        <v>30</v>
      </c>
      <c r="G364" s="14">
        <v>0</v>
      </c>
      <c r="H364" s="16">
        <v>30</v>
      </c>
      <c r="I364" s="8">
        <v>30</v>
      </c>
      <c r="J364" s="8">
        <v>30</v>
      </c>
      <c r="K364" s="8">
        <v>30</v>
      </c>
      <c r="L364" s="8">
        <v>30</v>
      </c>
      <c r="M364" s="8">
        <v>30</v>
      </c>
      <c r="N364" s="8">
        <v>30</v>
      </c>
      <c r="O364" s="8">
        <v>30</v>
      </c>
      <c r="P364" s="8">
        <v>30</v>
      </c>
      <c r="Q364" s="8">
        <v>30</v>
      </c>
      <c r="R364" s="8">
        <v>30</v>
      </c>
      <c r="S364" s="8">
        <v>30</v>
      </c>
      <c r="T364" s="8">
        <v>30</v>
      </c>
      <c r="U364" s="15">
        <v>30</v>
      </c>
      <c r="V364" s="6" t="s">
        <v>1716</v>
      </c>
    </row>
    <row r="365" spans="1:22" ht="30" customHeight="1">
      <c r="A365" s="6" t="s">
        <v>697</v>
      </c>
      <c r="B365" s="6" t="s">
        <v>1717</v>
      </c>
      <c r="C365" s="6" t="s">
        <v>1718</v>
      </c>
      <c r="D365" s="6" t="s">
        <v>25</v>
      </c>
      <c r="E365" s="19" t="s">
        <v>700</v>
      </c>
      <c r="F365" s="6">
        <v>30</v>
      </c>
      <c r="G365" s="14">
        <v>0</v>
      </c>
      <c r="H365" s="16">
        <v>30</v>
      </c>
      <c r="I365" s="8">
        <v>30</v>
      </c>
      <c r="J365" s="8">
        <v>30</v>
      </c>
      <c r="K365" s="8">
        <v>30</v>
      </c>
      <c r="L365" s="8">
        <v>30</v>
      </c>
      <c r="M365" s="8">
        <v>30</v>
      </c>
      <c r="N365" s="8">
        <v>30</v>
      </c>
      <c r="O365" s="8">
        <v>30</v>
      </c>
      <c r="P365" s="8">
        <v>30</v>
      </c>
      <c r="Q365" s="8">
        <v>30</v>
      </c>
      <c r="R365" s="8">
        <v>30</v>
      </c>
      <c r="S365" s="8">
        <v>30</v>
      </c>
      <c r="T365" s="8">
        <v>30</v>
      </c>
      <c r="U365" s="15">
        <v>30</v>
      </c>
      <c r="V365" s="6" t="s">
        <v>1719</v>
      </c>
    </row>
    <row r="366" spans="1:22" ht="30" customHeight="1">
      <c r="A366" s="6" t="s">
        <v>697</v>
      </c>
      <c r="B366" s="6" t="s">
        <v>1720</v>
      </c>
      <c r="C366" s="6" t="s">
        <v>1721</v>
      </c>
      <c r="D366" s="6" t="s">
        <v>25</v>
      </c>
      <c r="E366" s="19" t="s">
        <v>700</v>
      </c>
      <c r="F366" s="6">
        <v>30</v>
      </c>
      <c r="G366" s="14">
        <v>412.30769230769198</v>
      </c>
      <c r="H366" s="16">
        <v>30</v>
      </c>
      <c r="I366" s="8">
        <v>30</v>
      </c>
      <c r="J366" s="8">
        <v>30</v>
      </c>
      <c r="K366" s="8">
        <v>30</v>
      </c>
      <c r="L366" s="8">
        <v>30</v>
      </c>
      <c r="M366" s="8">
        <v>30</v>
      </c>
      <c r="N366" s="8">
        <v>30</v>
      </c>
      <c r="O366" s="8">
        <v>30</v>
      </c>
      <c r="P366" s="8">
        <v>5360</v>
      </c>
      <c r="Q366" s="8">
        <v>30</v>
      </c>
      <c r="R366" s="8">
        <v>60</v>
      </c>
      <c r="S366" s="8">
        <v>30</v>
      </c>
      <c r="T366" s="8">
        <v>30</v>
      </c>
      <c r="U366" s="15">
        <v>442.30769230769198</v>
      </c>
      <c r="V366" s="6" t="s">
        <v>1722</v>
      </c>
    </row>
    <row r="367" spans="1:22" ht="30" customHeight="1">
      <c r="A367" s="6" t="s">
        <v>697</v>
      </c>
      <c r="B367" s="6" t="s">
        <v>1723</v>
      </c>
      <c r="C367" s="6" t="s">
        <v>1724</v>
      </c>
      <c r="D367" s="6" t="s">
        <v>25</v>
      </c>
      <c r="E367" s="19" t="s">
        <v>700</v>
      </c>
      <c r="F367" s="6">
        <v>30</v>
      </c>
      <c r="G367" s="14">
        <v>410</v>
      </c>
      <c r="H367" s="16">
        <v>30</v>
      </c>
      <c r="I367" s="8">
        <v>30</v>
      </c>
      <c r="J367" s="8">
        <v>30</v>
      </c>
      <c r="K367" s="8">
        <v>30</v>
      </c>
      <c r="L367" s="8">
        <v>30</v>
      </c>
      <c r="M367" s="8">
        <v>30</v>
      </c>
      <c r="N367" s="8">
        <v>30</v>
      </c>
      <c r="O367" s="8">
        <v>30</v>
      </c>
      <c r="P367" s="8">
        <v>5360</v>
      </c>
      <c r="Q367" s="8">
        <v>30</v>
      </c>
      <c r="R367" s="8">
        <v>30</v>
      </c>
      <c r="S367" s="8">
        <v>30</v>
      </c>
      <c r="T367" s="8">
        <v>30</v>
      </c>
      <c r="U367" s="15">
        <v>440</v>
      </c>
      <c r="V367" s="6" t="s">
        <v>1725</v>
      </c>
    </row>
    <row r="368" spans="1:22" ht="30" customHeight="1">
      <c r="A368" s="6" t="s">
        <v>697</v>
      </c>
      <c r="B368" s="6" t="s">
        <v>1726</v>
      </c>
      <c r="C368" s="6" t="s">
        <v>1727</v>
      </c>
      <c r="D368" s="6" t="s">
        <v>25</v>
      </c>
      <c r="E368" s="19" t="s">
        <v>700</v>
      </c>
      <c r="F368" s="6">
        <v>30</v>
      </c>
      <c r="G368" s="14">
        <v>410</v>
      </c>
      <c r="H368" s="16">
        <v>30</v>
      </c>
      <c r="I368" s="8">
        <v>30</v>
      </c>
      <c r="J368" s="8">
        <v>30</v>
      </c>
      <c r="K368" s="8">
        <v>30</v>
      </c>
      <c r="L368" s="8">
        <v>30</v>
      </c>
      <c r="M368" s="8">
        <v>30</v>
      </c>
      <c r="N368" s="8">
        <v>30</v>
      </c>
      <c r="O368" s="8">
        <v>30</v>
      </c>
      <c r="P368" s="8">
        <v>5360</v>
      </c>
      <c r="Q368" s="8">
        <v>30</v>
      </c>
      <c r="R368" s="8">
        <v>30</v>
      </c>
      <c r="S368" s="8">
        <v>30</v>
      </c>
      <c r="T368" s="8">
        <v>30</v>
      </c>
      <c r="U368" s="15">
        <v>440</v>
      </c>
      <c r="V368" s="6" t="s">
        <v>1728</v>
      </c>
    </row>
    <row r="369" spans="1:22" ht="30" customHeight="1">
      <c r="A369" s="6" t="s">
        <v>697</v>
      </c>
      <c r="B369" s="6" t="s">
        <v>1729</v>
      </c>
      <c r="C369" s="6" t="s">
        <v>1730</v>
      </c>
      <c r="D369" s="6" t="s">
        <v>25</v>
      </c>
      <c r="E369" s="19" t="s">
        <v>700</v>
      </c>
      <c r="F369" s="6">
        <v>30</v>
      </c>
      <c r="G369" s="14">
        <v>2.3076923076923102</v>
      </c>
      <c r="H369" s="16">
        <v>30</v>
      </c>
      <c r="I369" s="8">
        <v>30</v>
      </c>
      <c r="J369" s="8">
        <v>30</v>
      </c>
      <c r="K369" s="8">
        <v>30</v>
      </c>
      <c r="L369" s="8">
        <v>30</v>
      </c>
      <c r="M369" s="8">
        <v>30</v>
      </c>
      <c r="N369" s="8">
        <v>30</v>
      </c>
      <c r="O369" s="8">
        <v>30</v>
      </c>
      <c r="P369" s="8">
        <v>30</v>
      </c>
      <c r="Q369" s="8">
        <v>30</v>
      </c>
      <c r="R369" s="8">
        <v>60</v>
      </c>
      <c r="S369" s="8">
        <v>30</v>
      </c>
      <c r="T369" s="8">
        <v>30</v>
      </c>
      <c r="U369" s="15">
        <v>32.307692307692299</v>
      </c>
      <c r="V369" s="6" t="s">
        <v>1731</v>
      </c>
    </row>
    <row r="370" spans="1:22" ht="30" customHeight="1">
      <c r="A370" s="6" t="s">
        <v>697</v>
      </c>
      <c r="B370" s="6" t="s">
        <v>1720</v>
      </c>
      <c r="C370" s="6" t="s">
        <v>1732</v>
      </c>
      <c r="D370" s="6" t="s">
        <v>25</v>
      </c>
      <c r="E370" s="19" t="s">
        <v>700</v>
      </c>
      <c r="F370" s="6">
        <v>30</v>
      </c>
      <c r="G370" s="14">
        <v>412.30769230769198</v>
      </c>
      <c r="H370" s="16">
        <v>30</v>
      </c>
      <c r="I370" s="8">
        <v>30</v>
      </c>
      <c r="J370" s="8">
        <v>30</v>
      </c>
      <c r="K370" s="8">
        <v>30</v>
      </c>
      <c r="L370" s="8">
        <v>30</v>
      </c>
      <c r="M370" s="8">
        <v>30</v>
      </c>
      <c r="N370" s="8">
        <v>30</v>
      </c>
      <c r="O370" s="8">
        <v>30</v>
      </c>
      <c r="P370" s="8">
        <v>5360</v>
      </c>
      <c r="Q370" s="8">
        <v>30</v>
      </c>
      <c r="R370" s="8">
        <v>60</v>
      </c>
      <c r="S370" s="8">
        <v>30</v>
      </c>
      <c r="T370" s="8">
        <v>30</v>
      </c>
      <c r="U370" s="15">
        <v>442.30769230769198</v>
      </c>
      <c r="V370" s="6" t="s">
        <v>1733</v>
      </c>
    </row>
    <row r="371" spans="1:22" ht="30" customHeight="1">
      <c r="A371" s="6" t="s">
        <v>697</v>
      </c>
      <c r="B371" s="6" t="s">
        <v>1734</v>
      </c>
      <c r="C371" s="6" t="s">
        <v>1735</v>
      </c>
      <c r="D371" s="6" t="s">
        <v>25</v>
      </c>
      <c r="E371" s="19" t="s">
        <v>700</v>
      </c>
      <c r="F371" s="6">
        <v>30</v>
      </c>
      <c r="G371" s="14">
        <v>410</v>
      </c>
      <c r="H371" s="16">
        <v>30</v>
      </c>
      <c r="I371" s="8">
        <v>30</v>
      </c>
      <c r="J371" s="8">
        <v>30</v>
      </c>
      <c r="K371" s="8">
        <v>30</v>
      </c>
      <c r="L371" s="8">
        <v>30</v>
      </c>
      <c r="M371" s="8">
        <v>30</v>
      </c>
      <c r="N371" s="8">
        <v>30</v>
      </c>
      <c r="O371" s="8">
        <v>30</v>
      </c>
      <c r="P371" s="8">
        <v>5330</v>
      </c>
      <c r="Q371" s="8">
        <v>60</v>
      </c>
      <c r="R371" s="8">
        <v>30</v>
      </c>
      <c r="S371" s="8">
        <v>30</v>
      </c>
      <c r="T371" s="8">
        <v>30</v>
      </c>
      <c r="U371" s="15">
        <v>440</v>
      </c>
      <c r="V371" s="6" t="s">
        <v>1736</v>
      </c>
    </row>
    <row r="372" spans="1:22" ht="30" customHeight="1">
      <c r="A372" s="6" t="s">
        <v>697</v>
      </c>
      <c r="B372" s="6" t="s">
        <v>1737</v>
      </c>
      <c r="C372" s="6" t="s">
        <v>1738</v>
      </c>
      <c r="D372" s="6" t="s">
        <v>25</v>
      </c>
      <c r="E372" s="19" t="s">
        <v>700</v>
      </c>
      <c r="F372" s="6">
        <v>30</v>
      </c>
      <c r="G372" s="14">
        <v>410</v>
      </c>
      <c r="H372" s="16">
        <v>30</v>
      </c>
      <c r="I372" s="8">
        <v>30</v>
      </c>
      <c r="J372" s="8">
        <v>30</v>
      </c>
      <c r="K372" s="8">
        <v>30</v>
      </c>
      <c r="L372" s="8">
        <v>30</v>
      </c>
      <c r="M372" s="8">
        <v>30</v>
      </c>
      <c r="N372" s="8">
        <v>30</v>
      </c>
      <c r="O372" s="8">
        <v>30</v>
      </c>
      <c r="P372" s="8">
        <v>5360</v>
      </c>
      <c r="Q372" s="8">
        <v>30</v>
      </c>
      <c r="R372" s="8">
        <v>30</v>
      </c>
      <c r="S372" s="8">
        <v>30</v>
      </c>
      <c r="T372" s="8">
        <v>30</v>
      </c>
      <c r="U372" s="15">
        <v>440</v>
      </c>
      <c r="V372" s="6" t="s">
        <v>1739</v>
      </c>
    </row>
    <row r="373" spans="1:22" ht="30" customHeight="1">
      <c r="A373" s="6" t="s">
        <v>697</v>
      </c>
      <c r="B373" s="6" t="s">
        <v>1740</v>
      </c>
      <c r="C373" s="6" t="s">
        <v>1741</v>
      </c>
      <c r="D373" s="6" t="s">
        <v>25</v>
      </c>
      <c r="E373" s="19" t="s">
        <v>700</v>
      </c>
      <c r="F373" s="6">
        <v>30</v>
      </c>
      <c r="G373" s="14">
        <v>0</v>
      </c>
      <c r="H373" s="16">
        <v>30</v>
      </c>
      <c r="I373" s="8">
        <v>30</v>
      </c>
      <c r="J373" s="8">
        <v>30</v>
      </c>
      <c r="K373" s="8">
        <v>30</v>
      </c>
      <c r="L373" s="8">
        <v>30</v>
      </c>
      <c r="M373" s="8">
        <v>30</v>
      </c>
      <c r="N373" s="8">
        <v>30</v>
      </c>
      <c r="O373" s="8">
        <v>30</v>
      </c>
      <c r="P373" s="8">
        <v>30</v>
      </c>
      <c r="Q373" s="8">
        <v>30</v>
      </c>
      <c r="R373" s="8">
        <v>30</v>
      </c>
      <c r="S373" s="8">
        <v>30</v>
      </c>
      <c r="T373" s="8">
        <v>30</v>
      </c>
      <c r="U373" s="15">
        <v>30</v>
      </c>
      <c r="V373" s="6" t="s">
        <v>1742</v>
      </c>
    </row>
    <row r="374" spans="1:22" ht="30" customHeight="1">
      <c r="A374" s="6" t="s">
        <v>697</v>
      </c>
      <c r="B374" s="6" t="s">
        <v>1743</v>
      </c>
      <c r="C374" s="6" t="s">
        <v>1744</v>
      </c>
      <c r="D374" s="6" t="s">
        <v>25</v>
      </c>
      <c r="E374" s="19" t="s">
        <v>700</v>
      </c>
      <c r="F374" s="6">
        <v>30</v>
      </c>
      <c r="G374" s="14">
        <v>410</v>
      </c>
      <c r="H374" s="16">
        <v>30</v>
      </c>
      <c r="I374" s="8">
        <v>30</v>
      </c>
      <c r="J374" s="8">
        <v>30</v>
      </c>
      <c r="K374" s="8">
        <v>30</v>
      </c>
      <c r="L374" s="8">
        <v>30</v>
      </c>
      <c r="M374" s="8">
        <v>30</v>
      </c>
      <c r="N374" s="8">
        <v>30</v>
      </c>
      <c r="O374" s="8">
        <v>30</v>
      </c>
      <c r="P374" s="8">
        <v>5360</v>
      </c>
      <c r="Q374" s="8">
        <v>30</v>
      </c>
      <c r="R374" s="8">
        <v>30</v>
      </c>
      <c r="S374" s="8">
        <v>30</v>
      </c>
      <c r="T374" s="8">
        <v>30</v>
      </c>
      <c r="U374" s="15">
        <v>440</v>
      </c>
      <c r="V374" s="6" t="s">
        <v>1745</v>
      </c>
    </row>
    <row r="375" spans="1:22" ht="30" customHeight="1">
      <c r="A375" s="6" t="s">
        <v>697</v>
      </c>
      <c r="B375" s="6" t="s">
        <v>1746</v>
      </c>
      <c r="C375" s="6" t="s">
        <v>1747</v>
      </c>
      <c r="D375" s="6" t="s">
        <v>25</v>
      </c>
      <c r="E375" s="19" t="s">
        <v>700</v>
      </c>
      <c r="F375" s="6">
        <v>30</v>
      </c>
      <c r="G375" s="14">
        <v>0</v>
      </c>
      <c r="H375" s="16">
        <v>30</v>
      </c>
      <c r="I375" s="8">
        <v>30</v>
      </c>
      <c r="J375" s="8">
        <v>30</v>
      </c>
      <c r="K375" s="8">
        <v>30</v>
      </c>
      <c r="L375" s="8">
        <v>30</v>
      </c>
      <c r="M375" s="8">
        <v>30</v>
      </c>
      <c r="N375" s="8">
        <v>30</v>
      </c>
      <c r="O375" s="8">
        <v>30</v>
      </c>
      <c r="P375" s="8">
        <v>30</v>
      </c>
      <c r="Q375" s="8">
        <v>30</v>
      </c>
      <c r="R375" s="8">
        <v>30</v>
      </c>
      <c r="S375" s="8">
        <v>30</v>
      </c>
      <c r="T375" s="8">
        <v>30</v>
      </c>
      <c r="U375" s="15">
        <v>30</v>
      </c>
      <c r="V375" s="6" t="s">
        <v>1748</v>
      </c>
    </row>
    <row r="376" spans="1:22" ht="30" customHeight="1">
      <c r="A376" s="6" t="s">
        <v>697</v>
      </c>
      <c r="B376" s="6" t="s">
        <v>1749</v>
      </c>
      <c r="C376" s="6" t="s">
        <v>1750</v>
      </c>
      <c r="D376" s="6" t="s">
        <v>25</v>
      </c>
      <c r="E376" s="19" t="s">
        <v>700</v>
      </c>
      <c r="F376" s="6">
        <v>30</v>
      </c>
      <c r="G376" s="14">
        <v>0</v>
      </c>
      <c r="H376" s="16">
        <v>30</v>
      </c>
      <c r="I376" s="8">
        <v>30</v>
      </c>
      <c r="J376" s="8">
        <v>30</v>
      </c>
      <c r="K376" s="8">
        <v>30</v>
      </c>
      <c r="L376" s="8">
        <v>30</v>
      </c>
      <c r="M376" s="8">
        <v>30</v>
      </c>
      <c r="N376" s="8">
        <v>30</v>
      </c>
      <c r="O376" s="8">
        <v>30</v>
      </c>
      <c r="P376" s="8">
        <v>30</v>
      </c>
      <c r="Q376" s="8">
        <v>30</v>
      </c>
      <c r="R376" s="8">
        <v>30</v>
      </c>
      <c r="S376" s="8">
        <v>30</v>
      </c>
      <c r="T376" s="8">
        <v>30</v>
      </c>
      <c r="U376" s="15">
        <v>30</v>
      </c>
      <c r="V376" s="6" t="s">
        <v>1751</v>
      </c>
    </row>
    <row r="377" spans="1:22" ht="30" customHeight="1">
      <c r="A377" s="6" t="s">
        <v>697</v>
      </c>
      <c r="B377" s="6" t="s">
        <v>1752</v>
      </c>
      <c r="C377" s="6" t="s">
        <v>1753</v>
      </c>
      <c r="D377" s="6" t="s">
        <v>25</v>
      </c>
      <c r="E377" s="19" t="s">
        <v>700</v>
      </c>
      <c r="F377" s="6">
        <v>30</v>
      </c>
      <c r="G377" s="14">
        <v>0</v>
      </c>
      <c r="H377" s="16">
        <v>30</v>
      </c>
      <c r="I377" s="8">
        <v>30</v>
      </c>
      <c r="J377" s="8">
        <v>30</v>
      </c>
      <c r="K377" s="8">
        <v>30</v>
      </c>
      <c r="L377" s="8">
        <v>30</v>
      </c>
      <c r="M377" s="8">
        <v>30</v>
      </c>
      <c r="N377" s="8">
        <v>30</v>
      </c>
      <c r="O377" s="8">
        <v>30</v>
      </c>
      <c r="P377" s="8">
        <v>30</v>
      </c>
      <c r="Q377" s="8">
        <v>30</v>
      </c>
      <c r="R377" s="8">
        <v>30</v>
      </c>
      <c r="S377" s="8">
        <v>30</v>
      </c>
      <c r="T377" s="8">
        <v>30</v>
      </c>
      <c r="U377" s="15">
        <v>30</v>
      </c>
      <c r="V377" s="6" t="s">
        <v>1754</v>
      </c>
    </row>
    <row r="378" spans="1:22" ht="30" customHeight="1">
      <c r="A378" s="6" t="s">
        <v>697</v>
      </c>
      <c r="B378" s="6" t="s">
        <v>1755</v>
      </c>
      <c r="C378" s="6" t="s">
        <v>1756</v>
      </c>
      <c r="D378" s="6" t="s">
        <v>25</v>
      </c>
      <c r="E378" s="19" t="s">
        <v>700</v>
      </c>
      <c r="F378" s="6">
        <v>30</v>
      </c>
      <c r="G378" s="14">
        <v>0</v>
      </c>
      <c r="H378" s="16">
        <v>30</v>
      </c>
      <c r="I378" s="8">
        <v>30</v>
      </c>
      <c r="J378" s="8">
        <v>30</v>
      </c>
      <c r="K378" s="8">
        <v>30</v>
      </c>
      <c r="L378" s="8">
        <v>30</v>
      </c>
      <c r="M378" s="8">
        <v>30</v>
      </c>
      <c r="N378" s="8">
        <v>30</v>
      </c>
      <c r="O378" s="8">
        <v>30</v>
      </c>
      <c r="P378" s="8">
        <v>30</v>
      </c>
      <c r="Q378" s="8">
        <v>30</v>
      </c>
      <c r="R378" s="8">
        <v>30</v>
      </c>
      <c r="S378" s="8">
        <v>30</v>
      </c>
      <c r="T378" s="8">
        <v>30</v>
      </c>
      <c r="U378" s="15">
        <v>30</v>
      </c>
      <c r="V378" s="6" t="s">
        <v>1757</v>
      </c>
    </row>
    <row r="379" spans="1:22" ht="30" customHeight="1">
      <c r="A379" s="6" t="s">
        <v>697</v>
      </c>
      <c r="B379" s="6" t="s">
        <v>1758</v>
      </c>
      <c r="C379" s="6" t="s">
        <v>1759</v>
      </c>
      <c r="D379" s="6" t="s">
        <v>25</v>
      </c>
      <c r="E379" s="19" t="s">
        <v>700</v>
      </c>
      <c r="F379" s="6">
        <v>30</v>
      </c>
      <c r="G379" s="14">
        <v>410</v>
      </c>
      <c r="H379" s="16">
        <v>30</v>
      </c>
      <c r="I379" s="8">
        <v>30</v>
      </c>
      <c r="J379" s="8">
        <v>30</v>
      </c>
      <c r="K379" s="8">
        <v>30</v>
      </c>
      <c r="L379" s="8">
        <v>30</v>
      </c>
      <c r="M379" s="8">
        <v>30</v>
      </c>
      <c r="N379" s="8">
        <v>30</v>
      </c>
      <c r="O379" s="8">
        <v>30</v>
      </c>
      <c r="P379" s="8">
        <v>5360</v>
      </c>
      <c r="Q379" s="8">
        <v>30</v>
      </c>
      <c r="R379" s="8">
        <v>30</v>
      </c>
      <c r="S379" s="8">
        <v>30</v>
      </c>
      <c r="T379" s="8">
        <v>30</v>
      </c>
      <c r="U379" s="15">
        <v>440</v>
      </c>
      <c r="V379" s="6" t="s">
        <v>1760</v>
      </c>
    </row>
    <row r="380" spans="1:22" ht="30" customHeight="1">
      <c r="A380" s="6" t="s">
        <v>697</v>
      </c>
      <c r="B380" s="6" t="s">
        <v>1761</v>
      </c>
      <c r="C380" s="6" t="s">
        <v>1762</v>
      </c>
      <c r="D380" s="6" t="s">
        <v>25</v>
      </c>
      <c r="E380" s="19" t="s">
        <v>700</v>
      </c>
      <c r="F380" s="6">
        <v>30</v>
      </c>
      <c r="G380" s="14">
        <v>0</v>
      </c>
      <c r="H380" s="16">
        <v>30</v>
      </c>
      <c r="I380" s="8">
        <v>30</v>
      </c>
      <c r="J380" s="8">
        <v>30</v>
      </c>
      <c r="K380" s="8">
        <v>30</v>
      </c>
      <c r="L380" s="8">
        <v>30</v>
      </c>
      <c r="M380" s="8">
        <v>30</v>
      </c>
      <c r="N380" s="8">
        <v>30</v>
      </c>
      <c r="O380" s="8">
        <v>30</v>
      </c>
      <c r="P380" s="8">
        <v>30</v>
      </c>
      <c r="Q380" s="8">
        <v>30</v>
      </c>
      <c r="R380" s="8">
        <v>30</v>
      </c>
      <c r="S380" s="8">
        <v>30</v>
      </c>
      <c r="T380" s="8">
        <v>30</v>
      </c>
      <c r="U380" s="15">
        <v>30</v>
      </c>
      <c r="V380" s="6" t="s">
        <v>1763</v>
      </c>
    </row>
    <row r="381" spans="1:22" ht="30" customHeight="1">
      <c r="A381" s="6" t="s">
        <v>697</v>
      </c>
      <c r="B381" s="6" t="s">
        <v>1761</v>
      </c>
      <c r="C381" s="6" t="s">
        <v>1764</v>
      </c>
      <c r="D381" s="6" t="s">
        <v>25</v>
      </c>
      <c r="E381" s="19" t="s">
        <v>700</v>
      </c>
      <c r="F381" s="6">
        <v>30</v>
      </c>
      <c r="G381" s="14">
        <v>0</v>
      </c>
      <c r="H381" s="16">
        <v>30</v>
      </c>
      <c r="I381" s="8">
        <v>30</v>
      </c>
      <c r="J381" s="8">
        <v>30</v>
      </c>
      <c r="K381" s="8">
        <v>30</v>
      </c>
      <c r="L381" s="8">
        <v>30</v>
      </c>
      <c r="M381" s="8">
        <v>30</v>
      </c>
      <c r="N381" s="8">
        <v>30</v>
      </c>
      <c r="O381" s="8">
        <v>30</v>
      </c>
      <c r="P381" s="8">
        <v>30</v>
      </c>
      <c r="Q381" s="8">
        <v>30</v>
      </c>
      <c r="R381" s="8">
        <v>30</v>
      </c>
      <c r="S381" s="8">
        <v>30</v>
      </c>
      <c r="T381" s="8">
        <v>30</v>
      </c>
      <c r="U381" s="15">
        <v>30</v>
      </c>
      <c r="V381" s="6" t="s">
        <v>1765</v>
      </c>
    </row>
    <row r="382" spans="1:22" ht="30" customHeight="1">
      <c r="A382" s="6" t="s">
        <v>697</v>
      </c>
      <c r="B382" s="6" t="s">
        <v>1766</v>
      </c>
      <c r="C382" s="6" t="s">
        <v>1767</v>
      </c>
      <c r="D382" s="6" t="s">
        <v>25</v>
      </c>
      <c r="E382" s="19" t="s">
        <v>700</v>
      </c>
      <c r="F382" s="6">
        <v>30</v>
      </c>
      <c r="G382" s="14">
        <v>0</v>
      </c>
      <c r="H382" s="16">
        <v>30</v>
      </c>
      <c r="I382" s="8">
        <v>30</v>
      </c>
      <c r="J382" s="8">
        <v>30</v>
      </c>
      <c r="K382" s="8">
        <v>30</v>
      </c>
      <c r="L382" s="8">
        <v>30</v>
      </c>
      <c r="M382" s="8">
        <v>30</v>
      </c>
      <c r="N382" s="8">
        <v>30</v>
      </c>
      <c r="O382" s="8">
        <v>30</v>
      </c>
      <c r="P382" s="8">
        <v>30</v>
      </c>
      <c r="Q382" s="8">
        <v>30</v>
      </c>
      <c r="R382" s="8">
        <v>30</v>
      </c>
      <c r="S382" s="8">
        <v>30</v>
      </c>
      <c r="T382" s="8">
        <v>30</v>
      </c>
      <c r="U382" s="15">
        <v>30</v>
      </c>
      <c r="V382" s="6" t="s">
        <v>1768</v>
      </c>
    </row>
    <row r="383" spans="1:22" ht="30" customHeight="1">
      <c r="A383" s="6" t="s">
        <v>697</v>
      </c>
      <c r="B383" s="6" t="s">
        <v>1769</v>
      </c>
      <c r="C383" s="6" t="s">
        <v>1770</v>
      </c>
      <c r="D383" s="6" t="s">
        <v>25</v>
      </c>
      <c r="E383" s="19" t="s">
        <v>700</v>
      </c>
      <c r="F383" s="6">
        <v>30</v>
      </c>
      <c r="G383" s="14">
        <v>410</v>
      </c>
      <c r="H383" s="16">
        <v>30</v>
      </c>
      <c r="I383" s="8">
        <v>30</v>
      </c>
      <c r="J383" s="8">
        <v>30</v>
      </c>
      <c r="K383" s="8">
        <v>30</v>
      </c>
      <c r="L383" s="8">
        <v>30</v>
      </c>
      <c r="M383" s="8">
        <v>30</v>
      </c>
      <c r="N383" s="8">
        <v>30</v>
      </c>
      <c r="O383" s="8">
        <v>30</v>
      </c>
      <c r="P383" s="8">
        <v>5360</v>
      </c>
      <c r="Q383" s="8">
        <v>30</v>
      </c>
      <c r="R383" s="8">
        <v>30</v>
      </c>
      <c r="S383" s="8">
        <v>30</v>
      </c>
      <c r="T383" s="8">
        <v>30</v>
      </c>
      <c r="U383" s="15">
        <v>440</v>
      </c>
      <c r="V383" s="6" t="s">
        <v>1771</v>
      </c>
    </row>
    <row r="384" spans="1:22" ht="30" customHeight="1">
      <c r="A384" s="6" t="s">
        <v>697</v>
      </c>
      <c r="B384" s="6" t="s">
        <v>1769</v>
      </c>
      <c r="C384" s="6" t="s">
        <v>1772</v>
      </c>
      <c r="D384" s="6" t="s">
        <v>25</v>
      </c>
      <c r="E384" s="19" t="s">
        <v>700</v>
      </c>
      <c r="F384" s="6">
        <v>30</v>
      </c>
      <c r="G384" s="14">
        <v>410</v>
      </c>
      <c r="H384" s="16">
        <v>30</v>
      </c>
      <c r="I384" s="8">
        <v>30</v>
      </c>
      <c r="J384" s="8">
        <v>30</v>
      </c>
      <c r="K384" s="8">
        <v>30</v>
      </c>
      <c r="L384" s="8">
        <v>30</v>
      </c>
      <c r="M384" s="8">
        <v>30</v>
      </c>
      <c r="N384" s="8">
        <v>30</v>
      </c>
      <c r="O384" s="8">
        <v>30</v>
      </c>
      <c r="P384" s="8">
        <v>5360</v>
      </c>
      <c r="Q384" s="8">
        <v>30</v>
      </c>
      <c r="R384" s="8">
        <v>30</v>
      </c>
      <c r="S384" s="8">
        <v>30</v>
      </c>
      <c r="T384" s="8">
        <v>30</v>
      </c>
      <c r="U384" s="15">
        <v>440</v>
      </c>
      <c r="V384" s="6" t="s">
        <v>1773</v>
      </c>
    </row>
    <row r="385" spans="1:22" ht="30" customHeight="1">
      <c r="A385" s="6" t="s">
        <v>697</v>
      </c>
      <c r="B385" s="6" t="s">
        <v>1774</v>
      </c>
      <c r="C385" s="6" t="s">
        <v>1775</v>
      </c>
      <c r="D385" s="6" t="s">
        <v>25</v>
      </c>
      <c r="E385" s="19" t="s">
        <v>700</v>
      </c>
      <c r="F385" s="6">
        <v>30</v>
      </c>
      <c r="G385" s="14">
        <v>410</v>
      </c>
      <c r="H385" s="16">
        <v>30</v>
      </c>
      <c r="I385" s="8">
        <v>30</v>
      </c>
      <c r="J385" s="8">
        <v>30</v>
      </c>
      <c r="K385" s="8">
        <v>30</v>
      </c>
      <c r="L385" s="8">
        <v>30</v>
      </c>
      <c r="M385" s="8">
        <v>30</v>
      </c>
      <c r="N385" s="8">
        <v>30</v>
      </c>
      <c r="O385" s="8">
        <v>30</v>
      </c>
      <c r="P385" s="8">
        <v>5360</v>
      </c>
      <c r="Q385" s="8">
        <v>30</v>
      </c>
      <c r="R385" s="8">
        <v>30</v>
      </c>
      <c r="S385" s="8">
        <v>30</v>
      </c>
      <c r="T385" s="8">
        <v>30</v>
      </c>
      <c r="U385" s="15">
        <v>440</v>
      </c>
      <c r="V385" s="6" t="s">
        <v>1776</v>
      </c>
    </row>
    <row r="386" spans="1:22" ht="30" customHeight="1">
      <c r="A386" s="6" t="s">
        <v>697</v>
      </c>
      <c r="B386" s="6" t="s">
        <v>1774</v>
      </c>
      <c r="C386" s="6" t="s">
        <v>1777</v>
      </c>
      <c r="D386" s="6" t="s">
        <v>25</v>
      </c>
      <c r="E386" s="19" t="s">
        <v>700</v>
      </c>
      <c r="F386" s="6">
        <v>30</v>
      </c>
      <c r="G386" s="14">
        <v>410</v>
      </c>
      <c r="H386" s="16">
        <v>30</v>
      </c>
      <c r="I386" s="8">
        <v>30</v>
      </c>
      <c r="J386" s="8">
        <v>30</v>
      </c>
      <c r="K386" s="8">
        <v>30</v>
      </c>
      <c r="L386" s="8">
        <v>30</v>
      </c>
      <c r="M386" s="8">
        <v>30</v>
      </c>
      <c r="N386" s="8">
        <v>30</v>
      </c>
      <c r="O386" s="8">
        <v>30</v>
      </c>
      <c r="P386" s="8">
        <v>5360</v>
      </c>
      <c r="Q386" s="8">
        <v>30</v>
      </c>
      <c r="R386" s="8">
        <v>30</v>
      </c>
      <c r="S386" s="8">
        <v>30</v>
      </c>
      <c r="T386" s="8">
        <v>30</v>
      </c>
      <c r="U386" s="15">
        <v>440</v>
      </c>
      <c r="V386" s="6" t="s">
        <v>1778</v>
      </c>
    </row>
    <row r="387" spans="1:22" ht="30" customHeight="1">
      <c r="A387" s="6" t="s">
        <v>697</v>
      </c>
      <c r="B387" s="6" t="s">
        <v>1779</v>
      </c>
      <c r="C387" s="6" t="s">
        <v>1780</v>
      </c>
      <c r="D387" s="6" t="s">
        <v>25</v>
      </c>
      <c r="E387" s="19" t="s">
        <v>700</v>
      </c>
      <c r="F387" s="6">
        <v>30</v>
      </c>
      <c r="G387" s="14">
        <v>410</v>
      </c>
      <c r="H387" s="16">
        <v>30</v>
      </c>
      <c r="I387" s="8">
        <v>30</v>
      </c>
      <c r="J387" s="8">
        <v>30</v>
      </c>
      <c r="K387" s="8">
        <v>30</v>
      </c>
      <c r="L387" s="8">
        <v>30</v>
      </c>
      <c r="M387" s="8">
        <v>30</v>
      </c>
      <c r="N387" s="8">
        <v>30</v>
      </c>
      <c r="O387" s="8">
        <v>30</v>
      </c>
      <c r="P387" s="8">
        <v>5330</v>
      </c>
      <c r="Q387" s="8">
        <v>60</v>
      </c>
      <c r="R387" s="8">
        <v>30</v>
      </c>
      <c r="S387" s="8">
        <v>30</v>
      </c>
      <c r="T387" s="8">
        <v>30</v>
      </c>
      <c r="U387" s="15">
        <v>440</v>
      </c>
      <c r="V387" s="6" t="s">
        <v>1781</v>
      </c>
    </row>
    <row r="388" spans="1:22" ht="30" customHeight="1">
      <c r="A388" s="6" t="s">
        <v>697</v>
      </c>
      <c r="B388" s="6" t="s">
        <v>1782</v>
      </c>
      <c r="C388" s="6" t="s">
        <v>1783</v>
      </c>
      <c r="D388" s="6" t="s">
        <v>25</v>
      </c>
      <c r="E388" s="19" t="s">
        <v>700</v>
      </c>
      <c r="F388" s="6">
        <v>30</v>
      </c>
      <c r="G388" s="14">
        <v>410</v>
      </c>
      <c r="H388" s="16">
        <v>30</v>
      </c>
      <c r="I388" s="8">
        <v>30</v>
      </c>
      <c r="J388" s="8">
        <v>30</v>
      </c>
      <c r="K388" s="8">
        <v>30</v>
      </c>
      <c r="L388" s="8">
        <v>30</v>
      </c>
      <c r="M388" s="8">
        <v>30</v>
      </c>
      <c r="N388" s="8">
        <v>30</v>
      </c>
      <c r="O388" s="8">
        <v>30</v>
      </c>
      <c r="P388" s="8">
        <v>5330</v>
      </c>
      <c r="Q388" s="8">
        <v>60</v>
      </c>
      <c r="R388" s="8">
        <v>30</v>
      </c>
      <c r="S388" s="8">
        <v>30</v>
      </c>
      <c r="T388" s="8">
        <v>30</v>
      </c>
      <c r="U388" s="15">
        <v>440</v>
      </c>
      <c r="V388" s="6" t="s">
        <v>1784</v>
      </c>
    </row>
    <row r="389" spans="1:22" ht="30" customHeight="1">
      <c r="A389" s="6" t="s">
        <v>697</v>
      </c>
      <c r="B389" s="6" t="s">
        <v>1785</v>
      </c>
      <c r="C389" s="6" t="s">
        <v>1786</v>
      </c>
      <c r="D389" s="6" t="s">
        <v>25</v>
      </c>
      <c r="E389" s="19" t="s">
        <v>700</v>
      </c>
      <c r="F389" s="6">
        <v>30</v>
      </c>
      <c r="G389" s="14">
        <v>0</v>
      </c>
      <c r="H389" s="16">
        <v>30</v>
      </c>
      <c r="I389" s="8">
        <v>30</v>
      </c>
      <c r="J389" s="8">
        <v>30</v>
      </c>
      <c r="K389" s="8">
        <v>30</v>
      </c>
      <c r="L389" s="8">
        <v>30</v>
      </c>
      <c r="M389" s="8">
        <v>30</v>
      </c>
      <c r="N389" s="8">
        <v>30</v>
      </c>
      <c r="O389" s="8">
        <v>30</v>
      </c>
      <c r="P389" s="8">
        <v>30</v>
      </c>
      <c r="Q389" s="8">
        <v>30</v>
      </c>
      <c r="R389" s="8">
        <v>30</v>
      </c>
      <c r="S389" s="8">
        <v>30</v>
      </c>
      <c r="T389" s="8">
        <v>30</v>
      </c>
      <c r="U389" s="15">
        <v>30</v>
      </c>
      <c r="V389" s="6" t="s">
        <v>1787</v>
      </c>
    </row>
    <row r="390" spans="1:22" ht="30" customHeight="1">
      <c r="A390" s="6" t="s">
        <v>697</v>
      </c>
      <c r="B390" s="6" t="s">
        <v>1708</v>
      </c>
      <c r="C390" s="6" t="s">
        <v>1788</v>
      </c>
      <c r="D390" s="6" t="s">
        <v>25</v>
      </c>
      <c r="E390" s="19" t="s">
        <v>700</v>
      </c>
      <c r="F390" s="6">
        <v>30</v>
      </c>
      <c r="G390" s="14">
        <v>0</v>
      </c>
      <c r="H390" s="16">
        <v>30</v>
      </c>
      <c r="I390" s="8">
        <v>30</v>
      </c>
      <c r="J390" s="8">
        <v>30</v>
      </c>
      <c r="K390" s="8">
        <v>30</v>
      </c>
      <c r="L390" s="8">
        <v>30</v>
      </c>
      <c r="M390" s="8">
        <v>30</v>
      </c>
      <c r="N390" s="8">
        <v>30</v>
      </c>
      <c r="O390" s="8">
        <v>30</v>
      </c>
      <c r="P390" s="8">
        <v>30</v>
      </c>
      <c r="Q390" s="8">
        <v>30</v>
      </c>
      <c r="R390" s="8">
        <v>30</v>
      </c>
      <c r="S390" s="8">
        <v>30</v>
      </c>
      <c r="T390" s="8">
        <v>30</v>
      </c>
      <c r="U390" s="15">
        <v>30</v>
      </c>
      <c r="V390" s="6" t="s">
        <v>1789</v>
      </c>
    </row>
    <row r="391" spans="1:22" ht="30" customHeight="1">
      <c r="A391" s="6" t="s">
        <v>697</v>
      </c>
      <c r="B391" s="6" t="s">
        <v>1790</v>
      </c>
      <c r="C391" s="6" t="s">
        <v>1791</v>
      </c>
      <c r="D391" s="6" t="s">
        <v>25</v>
      </c>
      <c r="E391" s="19" t="s">
        <v>700</v>
      </c>
      <c r="F391" s="6">
        <v>30</v>
      </c>
      <c r="G391" s="14">
        <v>0</v>
      </c>
      <c r="H391" s="16">
        <v>30</v>
      </c>
      <c r="I391" s="8">
        <v>30</v>
      </c>
      <c r="J391" s="8">
        <v>30</v>
      </c>
      <c r="K391" s="8">
        <v>30</v>
      </c>
      <c r="L391" s="8">
        <v>30</v>
      </c>
      <c r="M391" s="8">
        <v>30</v>
      </c>
      <c r="N391" s="8">
        <v>30</v>
      </c>
      <c r="O391" s="8">
        <v>30</v>
      </c>
      <c r="P391" s="8">
        <v>30</v>
      </c>
      <c r="Q391" s="8">
        <v>30</v>
      </c>
      <c r="R391" s="8">
        <v>30</v>
      </c>
      <c r="S391" s="8">
        <v>30</v>
      </c>
      <c r="T391" s="8">
        <v>30</v>
      </c>
      <c r="U391" s="15">
        <v>30</v>
      </c>
      <c r="V391" s="6" t="s">
        <v>1792</v>
      </c>
    </row>
    <row r="392" spans="1:22" ht="30" customHeight="1">
      <c r="A392" s="6" t="s">
        <v>697</v>
      </c>
      <c r="B392" s="6" t="s">
        <v>1793</v>
      </c>
      <c r="C392" s="6" t="s">
        <v>1794</v>
      </c>
      <c r="D392" s="6" t="s">
        <v>25</v>
      </c>
      <c r="E392" s="19" t="s">
        <v>700</v>
      </c>
      <c r="F392" s="6">
        <v>30</v>
      </c>
      <c r="G392" s="14">
        <v>2.3076923076923102</v>
      </c>
      <c r="H392" s="16">
        <v>30</v>
      </c>
      <c r="I392" s="8">
        <v>30</v>
      </c>
      <c r="J392" s="8">
        <v>30</v>
      </c>
      <c r="K392" s="8">
        <v>30</v>
      </c>
      <c r="L392" s="8">
        <v>30</v>
      </c>
      <c r="M392" s="8">
        <v>30</v>
      </c>
      <c r="N392" s="8">
        <v>30</v>
      </c>
      <c r="O392" s="8">
        <v>30</v>
      </c>
      <c r="P392" s="8">
        <v>30</v>
      </c>
      <c r="Q392" s="8">
        <v>30</v>
      </c>
      <c r="R392" s="8">
        <v>60</v>
      </c>
      <c r="S392" s="8">
        <v>30</v>
      </c>
      <c r="T392" s="8">
        <v>30</v>
      </c>
      <c r="U392" s="15">
        <v>32.307692307692299</v>
      </c>
      <c r="V392" s="6" t="s">
        <v>1795</v>
      </c>
    </row>
    <row r="393" spans="1:22" ht="30" customHeight="1">
      <c r="A393" s="6" t="s">
        <v>697</v>
      </c>
      <c r="B393" s="6" t="s">
        <v>1796</v>
      </c>
      <c r="C393" s="6" t="s">
        <v>1797</v>
      </c>
      <c r="D393" s="6" t="s">
        <v>25</v>
      </c>
      <c r="E393" s="19" t="s">
        <v>700</v>
      </c>
      <c r="F393" s="6">
        <v>30</v>
      </c>
      <c r="G393" s="14">
        <v>0</v>
      </c>
      <c r="H393" s="16">
        <v>30</v>
      </c>
      <c r="I393" s="8">
        <v>30</v>
      </c>
      <c r="J393" s="8">
        <v>30</v>
      </c>
      <c r="K393" s="8">
        <v>30</v>
      </c>
      <c r="L393" s="8">
        <v>30</v>
      </c>
      <c r="M393" s="8">
        <v>30</v>
      </c>
      <c r="N393" s="8">
        <v>30</v>
      </c>
      <c r="O393" s="8">
        <v>30</v>
      </c>
      <c r="P393" s="8">
        <v>30</v>
      </c>
      <c r="Q393" s="8">
        <v>30</v>
      </c>
      <c r="R393" s="8">
        <v>30</v>
      </c>
      <c r="S393" s="8">
        <v>30</v>
      </c>
      <c r="T393" s="8">
        <v>30</v>
      </c>
      <c r="U393" s="15">
        <v>30</v>
      </c>
      <c r="V393" s="6" t="s">
        <v>1798</v>
      </c>
    </row>
    <row r="394" spans="1:22" ht="30" customHeight="1">
      <c r="A394" s="6" t="s">
        <v>697</v>
      </c>
      <c r="B394" s="6" t="s">
        <v>1799</v>
      </c>
      <c r="C394" s="6" t="s">
        <v>1800</v>
      </c>
      <c r="D394" s="6" t="s">
        <v>25</v>
      </c>
      <c r="E394" s="19" t="s">
        <v>700</v>
      </c>
      <c r="F394" s="6">
        <v>30</v>
      </c>
      <c r="G394" s="14">
        <v>0</v>
      </c>
      <c r="H394" s="16">
        <v>30</v>
      </c>
      <c r="I394" s="8">
        <v>30</v>
      </c>
      <c r="J394" s="8">
        <v>30</v>
      </c>
      <c r="K394" s="8">
        <v>30</v>
      </c>
      <c r="L394" s="8">
        <v>30</v>
      </c>
      <c r="M394" s="8">
        <v>30</v>
      </c>
      <c r="N394" s="8">
        <v>30</v>
      </c>
      <c r="O394" s="8">
        <v>30</v>
      </c>
      <c r="P394" s="8">
        <v>30</v>
      </c>
      <c r="Q394" s="8">
        <v>30</v>
      </c>
      <c r="R394" s="8">
        <v>30</v>
      </c>
      <c r="S394" s="8">
        <v>30</v>
      </c>
      <c r="T394" s="8">
        <v>30</v>
      </c>
      <c r="U394" s="15">
        <v>30</v>
      </c>
      <c r="V394" s="6" t="s">
        <v>1789</v>
      </c>
    </row>
    <row r="395" spans="1:22" ht="30" customHeight="1">
      <c r="A395" s="6" t="s">
        <v>697</v>
      </c>
      <c r="B395" s="6" t="s">
        <v>1799</v>
      </c>
      <c r="C395" s="6" t="s">
        <v>1801</v>
      </c>
      <c r="D395" s="6" t="s">
        <v>25</v>
      </c>
      <c r="E395" s="19" t="s">
        <v>700</v>
      </c>
      <c r="F395" s="6">
        <v>30</v>
      </c>
      <c r="G395" s="14">
        <v>2.3076923076923102</v>
      </c>
      <c r="H395" s="16">
        <v>30</v>
      </c>
      <c r="I395" s="8">
        <v>30</v>
      </c>
      <c r="J395" s="8">
        <v>30</v>
      </c>
      <c r="K395" s="8">
        <v>30</v>
      </c>
      <c r="L395" s="8">
        <v>30</v>
      </c>
      <c r="M395" s="8">
        <v>30</v>
      </c>
      <c r="N395" s="8">
        <v>30</v>
      </c>
      <c r="O395" s="8">
        <v>30</v>
      </c>
      <c r="P395" s="8">
        <v>30</v>
      </c>
      <c r="Q395" s="8">
        <v>30</v>
      </c>
      <c r="R395" s="8">
        <v>60</v>
      </c>
      <c r="S395" s="8">
        <v>30</v>
      </c>
      <c r="T395" s="8">
        <v>30</v>
      </c>
      <c r="U395" s="15">
        <v>32.307692307692299</v>
      </c>
      <c r="V395" s="6" t="s">
        <v>1713</v>
      </c>
    </row>
    <row r="396" spans="1:22" ht="30" customHeight="1">
      <c r="A396" s="6" t="s">
        <v>697</v>
      </c>
      <c r="B396" s="6" t="s">
        <v>1802</v>
      </c>
      <c r="C396" s="6" t="s">
        <v>1803</v>
      </c>
      <c r="D396" s="6" t="s">
        <v>25</v>
      </c>
      <c r="E396" s="19" t="s">
        <v>700</v>
      </c>
      <c r="F396" s="6">
        <v>30</v>
      </c>
      <c r="G396" s="14">
        <v>0</v>
      </c>
      <c r="H396" s="16">
        <v>30</v>
      </c>
      <c r="I396" s="8">
        <v>30</v>
      </c>
      <c r="J396" s="8">
        <v>30</v>
      </c>
      <c r="K396" s="8">
        <v>30</v>
      </c>
      <c r="L396" s="8">
        <v>30</v>
      </c>
      <c r="M396" s="8">
        <v>30</v>
      </c>
      <c r="N396" s="8">
        <v>30</v>
      </c>
      <c r="O396" s="8">
        <v>30</v>
      </c>
      <c r="P396" s="8">
        <v>30</v>
      </c>
      <c r="Q396" s="8">
        <v>30</v>
      </c>
      <c r="R396" s="8">
        <v>30</v>
      </c>
      <c r="S396" s="8">
        <v>30</v>
      </c>
      <c r="T396" s="8">
        <v>30</v>
      </c>
      <c r="U396" s="15">
        <v>30</v>
      </c>
      <c r="V396" s="6" t="s">
        <v>1804</v>
      </c>
    </row>
    <row r="397" spans="1:22" ht="30" customHeight="1">
      <c r="A397" s="6" t="s">
        <v>697</v>
      </c>
      <c r="B397" s="6" t="s">
        <v>1805</v>
      </c>
      <c r="C397" s="6" t="s">
        <v>1806</v>
      </c>
      <c r="D397" s="6" t="s">
        <v>25</v>
      </c>
      <c r="E397" s="19" t="s">
        <v>700</v>
      </c>
      <c r="F397" s="6">
        <v>30</v>
      </c>
      <c r="G397" s="14">
        <v>0</v>
      </c>
      <c r="H397" s="16">
        <v>30</v>
      </c>
      <c r="I397" s="8">
        <v>30</v>
      </c>
      <c r="J397" s="8">
        <v>30</v>
      </c>
      <c r="K397" s="8">
        <v>30</v>
      </c>
      <c r="L397" s="8">
        <v>30</v>
      </c>
      <c r="M397" s="8">
        <v>30</v>
      </c>
      <c r="N397" s="8">
        <v>30</v>
      </c>
      <c r="O397" s="8">
        <v>30</v>
      </c>
      <c r="P397" s="8">
        <v>30</v>
      </c>
      <c r="Q397" s="8">
        <v>30</v>
      </c>
      <c r="R397" s="8">
        <v>30</v>
      </c>
      <c r="S397" s="8">
        <v>30</v>
      </c>
      <c r="T397" s="8">
        <v>30</v>
      </c>
      <c r="U397" s="15">
        <v>30</v>
      </c>
      <c r="V397" s="6" t="s">
        <v>1807</v>
      </c>
    </row>
    <row r="398" spans="1:22" ht="30" customHeight="1">
      <c r="A398" s="6" t="s">
        <v>697</v>
      </c>
      <c r="B398" s="6" t="s">
        <v>1808</v>
      </c>
      <c r="C398" s="6" t="s">
        <v>1809</v>
      </c>
      <c r="D398" s="6" t="s">
        <v>25</v>
      </c>
      <c r="E398" s="19" t="s">
        <v>700</v>
      </c>
      <c r="F398" s="6">
        <v>30</v>
      </c>
      <c r="G398" s="14">
        <v>0</v>
      </c>
      <c r="H398" s="16">
        <v>30</v>
      </c>
      <c r="I398" s="8">
        <v>30</v>
      </c>
      <c r="J398" s="8">
        <v>30</v>
      </c>
      <c r="K398" s="8">
        <v>30</v>
      </c>
      <c r="L398" s="8">
        <v>30</v>
      </c>
      <c r="M398" s="8">
        <v>30</v>
      </c>
      <c r="N398" s="8">
        <v>30</v>
      </c>
      <c r="O398" s="8">
        <v>30</v>
      </c>
      <c r="P398" s="8">
        <v>30</v>
      </c>
      <c r="Q398" s="8">
        <v>30</v>
      </c>
      <c r="R398" s="8">
        <v>30</v>
      </c>
      <c r="S398" s="8">
        <v>30</v>
      </c>
      <c r="T398" s="8">
        <v>30</v>
      </c>
      <c r="U398" s="15">
        <v>30</v>
      </c>
      <c r="V398" s="6" t="s">
        <v>1810</v>
      </c>
    </row>
    <row r="399" spans="1:22" ht="30" customHeight="1">
      <c r="A399" s="6" t="s">
        <v>697</v>
      </c>
      <c r="B399" s="6" t="s">
        <v>1811</v>
      </c>
      <c r="C399" s="6" t="s">
        <v>1812</v>
      </c>
      <c r="D399" s="6" t="s">
        <v>25</v>
      </c>
      <c r="E399" s="19" t="s">
        <v>700</v>
      </c>
      <c r="F399" s="6">
        <v>30</v>
      </c>
      <c r="G399" s="14">
        <v>2.3076923076923102</v>
      </c>
      <c r="H399" s="16">
        <v>30</v>
      </c>
      <c r="I399" s="8">
        <v>30</v>
      </c>
      <c r="J399" s="8">
        <v>30</v>
      </c>
      <c r="K399" s="8">
        <v>30</v>
      </c>
      <c r="L399" s="8">
        <v>30</v>
      </c>
      <c r="M399" s="8">
        <v>30</v>
      </c>
      <c r="N399" s="8">
        <v>30</v>
      </c>
      <c r="O399" s="8">
        <v>30</v>
      </c>
      <c r="P399" s="8">
        <v>30</v>
      </c>
      <c r="Q399" s="8">
        <v>30</v>
      </c>
      <c r="R399" s="8">
        <v>60</v>
      </c>
      <c r="S399" s="8">
        <v>30</v>
      </c>
      <c r="T399" s="8">
        <v>30</v>
      </c>
      <c r="U399" s="15">
        <v>32.307692307692299</v>
      </c>
      <c r="V399" s="6" t="s">
        <v>1813</v>
      </c>
    </row>
    <row r="400" spans="1:22" ht="30" customHeight="1">
      <c r="A400" s="6" t="s">
        <v>697</v>
      </c>
      <c r="B400" s="6" t="s">
        <v>1814</v>
      </c>
      <c r="C400" s="6" t="s">
        <v>1815</v>
      </c>
      <c r="D400" s="6" t="s">
        <v>25</v>
      </c>
      <c r="E400" s="19" t="s">
        <v>700</v>
      </c>
      <c r="F400" s="6">
        <v>30</v>
      </c>
      <c r="G400" s="14">
        <v>2.3076923076923102</v>
      </c>
      <c r="H400" s="16">
        <v>30</v>
      </c>
      <c r="I400" s="8">
        <v>30</v>
      </c>
      <c r="J400" s="8">
        <v>30</v>
      </c>
      <c r="K400" s="8">
        <v>30</v>
      </c>
      <c r="L400" s="8">
        <v>30</v>
      </c>
      <c r="M400" s="8">
        <v>30</v>
      </c>
      <c r="N400" s="8">
        <v>30</v>
      </c>
      <c r="O400" s="8">
        <v>30</v>
      </c>
      <c r="P400" s="8">
        <v>30</v>
      </c>
      <c r="Q400" s="8">
        <v>30</v>
      </c>
      <c r="R400" s="8">
        <v>60</v>
      </c>
      <c r="S400" s="8">
        <v>30</v>
      </c>
      <c r="T400" s="8">
        <v>30</v>
      </c>
      <c r="U400" s="15">
        <v>32.307692307692299</v>
      </c>
      <c r="V400" s="6" t="s">
        <v>1816</v>
      </c>
    </row>
    <row r="401" spans="1:22" ht="30" customHeight="1">
      <c r="A401" s="6" t="s">
        <v>697</v>
      </c>
      <c r="B401" s="6" t="s">
        <v>1814</v>
      </c>
      <c r="C401" s="6" t="s">
        <v>1817</v>
      </c>
      <c r="D401" s="6" t="s">
        <v>25</v>
      </c>
      <c r="E401" s="19" t="s">
        <v>700</v>
      </c>
      <c r="F401" s="6">
        <v>30</v>
      </c>
      <c r="G401" s="14">
        <v>2.3076923076923102</v>
      </c>
      <c r="H401" s="16">
        <v>30</v>
      </c>
      <c r="I401" s="8">
        <v>30</v>
      </c>
      <c r="J401" s="8">
        <v>30</v>
      </c>
      <c r="K401" s="8">
        <v>30</v>
      </c>
      <c r="L401" s="8">
        <v>30</v>
      </c>
      <c r="M401" s="8">
        <v>30</v>
      </c>
      <c r="N401" s="8">
        <v>30</v>
      </c>
      <c r="O401" s="8">
        <v>30</v>
      </c>
      <c r="P401" s="8">
        <v>30</v>
      </c>
      <c r="Q401" s="8">
        <v>30</v>
      </c>
      <c r="R401" s="8">
        <v>60</v>
      </c>
      <c r="S401" s="8">
        <v>30</v>
      </c>
      <c r="T401" s="8">
        <v>30</v>
      </c>
      <c r="U401" s="15">
        <v>32.307692307692299</v>
      </c>
      <c r="V401" s="6" t="s">
        <v>1818</v>
      </c>
    </row>
    <row r="402" spans="1:22" ht="30" customHeight="1">
      <c r="A402" s="6" t="s">
        <v>697</v>
      </c>
      <c r="B402" s="6" t="s">
        <v>1819</v>
      </c>
      <c r="C402" s="6" t="s">
        <v>1820</v>
      </c>
      <c r="D402" s="6" t="s">
        <v>25</v>
      </c>
      <c r="E402" s="19" t="s">
        <v>700</v>
      </c>
      <c r="F402" s="6">
        <v>30</v>
      </c>
      <c r="G402" s="14">
        <v>2.3076923076923102</v>
      </c>
      <c r="H402" s="16">
        <v>30</v>
      </c>
      <c r="I402" s="8">
        <v>30</v>
      </c>
      <c r="J402" s="8">
        <v>30</v>
      </c>
      <c r="K402" s="8">
        <v>30</v>
      </c>
      <c r="L402" s="8">
        <v>30</v>
      </c>
      <c r="M402" s="8">
        <v>30</v>
      </c>
      <c r="N402" s="8">
        <v>30</v>
      </c>
      <c r="O402" s="8">
        <v>30</v>
      </c>
      <c r="P402" s="8">
        <v>30</v>
      </c>
      <c r="Q402" s="8">
        <v>30</v>
      </c>
      <c r="R402" s="8">
        <v>60</v>
      </c>
      <c r="S402" s="8">
        <v>30</v>
      </c>
      <c r="T402" s="8">
        <v>30</v>
      </c>
      <c r="U402" s="15">
        <v>32.307692307692299</v>
      </c>
      <c r="V402" s="6" t="s">
        <v>1821</v>
      </c>
    </row>
    <row r="403" spans="1:22" ht="30" customHeight="1">
      <c r="A403" s="6" t="s">
        <v>697</v>
      </c>
      <c r="B403" s="6" t="s">
        <v>1822</v>
      </c>
      <c r="C403" s="6" t="s">
        <v>1823</v>
      </c>
      <c r="D403" s="6" t="s">
        <v>25</v>
      </c>
      <c r="E403" s="19" t="s">
        <v>700</v>
      </c>
      <c r="F403" s="6">
        <v>30</v>
      </c>
      <c r="G403" s="14">
        <v>0</v>
      </c>
      <c r="H403" s="16">
        <v>30</v>
      </c>
      <c r="I403" s="8">
        <v>30</v>
      </c>
      <c r="J403" s="8">
        <v>30</v>
      </c>
      <c r="K403" s="8">
        <v>30</v>
      </c>
      <c r="L403" s="8">
        <v>30</v>
      </c>
      <c r="M403" s="8">
        <v>30</v>
      </c>
      <c r="N403" s="8">
        <v>30</v>
      </c>
      <c r="O403" s="8">
        <v>30</v>
      </c>
      <c r="P403" s="8">
        <v>30</v>
      </c>
      <c r="Q403" s="8">
        <v>30</v>
      </c>
      <c r="R403" s="8">
        <v>30</v>
      </c>
      <c r="S403" s="8">
        <v>30</v>
      </c>
      <c r="T403" s="8">
        <v>30</v>
      </c>
      <c r="U403" s="15">
        <v>30</v>
      </c>
      <c r="V403" s="6" t="s">
        <v>1824</v>
      </c>
    </row>
    <row r="404" spans="1:22" ht="30" customHeight="1">
      <c r="A404" s="6" t="s">
        <v>697</v>
      </c>
      <c r="B404" s="6" t="s">
        <v>1825</v>
      </c>
      <c r="C404" s="6" t="s">
        <v>1826</v>
      </c>
      <c r="D404" s="6" t="s">
        <v>25</v>
      </c>
      <c r="E404" s="19" t="s">
        <v>700</v>
      </c>
      <c r="F404" s="6">
        <v>30</v>
      </c>
      <c r="G404" s="14">
        <v>410</v>
      </c>
      <c r="H404" s="16">
        <v>30</v>
      </c>
      <c r="I404" s="8">
        <v>30</v>
      </c>
      <c r="J404" s="8">
        <v>30</v>
      </c>
      <c r="K404" s="8">
        <v>30</v>
      </c>
      <c r="L404" s="8">
        <v>30</v>
      </c>
      <c r="M404" s="8">
        <v>30</v>
      </c>
      <c r="N404" s="8">
        <v>30</v>
      </c>
      <c r="O404" s="8">
        <v>30</v>
      </c>
      <c r="P404" s="8">
        <v>5360</v>
      </c>
      <c r="Q404" s="8">
        <v>30</v>
      </c>
      <c r="R404" s="8">
        <v>30</v>
      </c>
      <c r="S404" s="8">
        <v>30</v>
      </c>
      <c r="T404" s="8">
        <v>30</v>
      </c>
      <c r="U404" s="15">
        <v>440</v>
      </c>
      <c r="V404" s="6" t="s">
        <v>1827</v>
      </c>
    </row>
    <row r="405" spans="1:22" ht="30" customHeight="1">
      <c r="A405" s="6" t="s">
        <v>697</v>
      </c>
      <c r="B405" s="6" t="s">
        <v>1828</v>
      </c>
      <c r="C405" s="6" t="s">
        <v>1829</v>
      </c>
      <c r="D405" s="6" t="s">
        <v>25</v>
      </c>
      <c r="E405" s="19" t="s">
        <v>700</v>
      </c>
      <c r="F405" s="6">
        <v>30</v>
      </c>
      <c r="G405" s="14">
        <v>2.3076923076923102</v>
      </c>
      <c r="H405" s="16">
        <v>30</v>
      </c>
      <c r="I405" s="8">
        <v>30</v>
      </c>
      <c r="J405" s="8">
        <v>30</v>
      </c>
      <c r="K405" s="8">
        <v>30</v>
      </c>
      <c r="L405" s="8">
        <v>30</v>
      </c>
      <c r="M405" s="8">
        <v>30</v>
      </c>
      <c r="N405" s="8">
        <v>30</v>
      </c>
      <c r="O405" s="8">
        <v>30</v>
      </c>
      <c r="P405" s="8">
        <v>30</v>
      </c>
      <c r="Q405" s="8">
        <v>30</v>
      </c>
      <c r="R405" s="8">
        <v>60</v>
      </c>
      <c r="S405" s="8">
        <v>30</v>
      </c>
      <c r="T405" s="8">
        <v>30</v>
      </c>
      <c r="U405" s="15">
        <v>32.307692307692299</v>
      </c>
      <c r="V405" s="6" t="s">
        <v>1830</v>
      </c>
    </row>
    <row r="406" spans="1:22" ht="30" customHeight="1">
      <c r="A406" s="6" t="s">
        <v>697</v>
      </c>
      <c r="B406" s="6" t="s">
        <v>1831</v>
      </c>
      <c r="C406" s="6" t="s">
        <v>1832</v>
      </c>
      <c r="D406" s="6" t="s">
        <v>25</v>
      </c>
      <c r="E406" s="19" t="s">
        <v>700</v>
      </c>
      <c r="F406" s="6">
        <v>30</v>
      </c>
      <c r="G406" s="14">
        <v>0</v>
      </c>
      <c r="H406" s="16">
        <v>30</v>
      </c>
      <c r="I406" s="8">
        <v>30</v>
      </c>
      <c r="J406" s="8">
        <v>30</v>
      </c>
      <c r="K406" s="8">
        <v>30</v>
      </c>
      <c r="L406" s="8">
        <v>30</v>
      </c>
      <c r="M406" s="8">
        <v>30</v>
      </c>
      <c r="N406" s="8">
        <v>30</v>
      </c>
      <c r="O406" s="8">
        <v>30</v>
      </c>
      <c r="P406" s="8">
        <v>30</v>
      </c>
      <c r="Q406" s="8">
        <v>30</v>
      </c>
      <c r="R406" s="8">
        <v>30</v>
      </c>
      <c r="S406" s="8">
        <v>30</v>
      </c>
      <c r="T406" s="8">
        <v>30</v>
      </c>
      <c r="U406" s="15">
        <v>30</v>
      </c>
      <c r="V406" s="6" t="s">
        <v>1833</v>
      </c>
    </row>
    <row r="407" spans="1:22" ht="30" customHeight="1">
      <c r="A407" s="6" t="s">
        <v>697</v>
      </c>
      <c r="B407" s="6" t="s">
        <v>1822</v>
      </c>
      <c r="C407" s="6" t="s">
        <v>1834</v>
      </c>
      <c r="D407" s="6" t="s">
        <v>25</v>
      </c>
      <c r="E407" s="19" t="s">
        <v>700</v>
      </c>
      <c r="F407" s="6">
        <v>30</v>
      </c>
      <c r="G407" s="14">
        <v>0</v>
      </c>
      <c r="H407" s="16">
        <v>30</v>
      </c>
      <c r="I407" s="8">
        <v>30</v>
      </c>
      <c r="J407" s="8">
        <v>30</v>
      </c>
      <c r="K407" s="8">
        <v>30</v>
      </c>
      <c r="L407" s="8">
        <v>30</v>
      </c>
      <c r="M407" s="8">
        <v>30</v>
      </c>
      <c r="N407" s="8">
        <v>30</v>
      </c>
      <c r="O407" s="8">
        <v>30</v>
      </c>
      <c r="P407" s="8">
        <v>30</v>
      </c>
      <c r="Q407" s="8">
        <v>30</v>
      </c>
      <c r="R407" s="8">
        <v>30</v>
      </c>
      <c r="S407" s="8">
        <v>30</v>
      </c>
      <c r="T407" s="8">
        <v>30</v>
      </c>
      <c r="U407" s="15">
        <v>30</v>
      </c>
      <c r="V407" s="6" t="s">
        <v>1835</v>
      </c>
    </row>
    <row r="408" spans="1:22" ht="30" customHeight="1">
      <c r="A408" s="6" t="s">
        <v>697</v>
      </c>
      <c r="B408" s="6" t="s">
        <v>1746</v>
      </c>
      <c r="C408" s="6" t="s">
        <v>1836</v>
      </c>
      <c r="D408" s="6" t="s">
        <v>25</v>
      </c>
      <c r="E408" s="19" t="s">
        <v>700</v>
      </c>
      <c r="F408" s="6">
        <v>30</v>
      </c>
      <c r="G408" s="14">
        <v>0</v>
      </c>
      <c r="H408" s="16">
        <v>30</v>
      </c>
      <c r="I408" s="8">
        <v>30</v>
      </c>
      <c r="J408" s="8">
        <v>30</v>
      </c>
      <c r="K408" s="8">
        <v>30</v>
      </c>
      <c r="L408" s="8">
        <v>30</v>
      </c>
      <c r="M408" s="8">
        <v>30</v>
      </c>
      <c r="N408" s="8">
        <v>30</v>
      </c>
      <c r="O408" s="8">
        <v>30</v>
      </c>
      <c r="P408" s="8">
        <v>30</v>
      </c>
      <c r="Q408" s="8">
        <v>30</v>
      </c>
      <c r="R408" s="8">
        <v>30</v>
      </c>
      <c r="S408" s="8">
        <v>30</v>
      </c>
      <c r="T408" s="8">
        <v>30</v>
      </c>
      <c r="U408" s="15">
        <v>30</v>
      </c>
      <c r="V408" s="6" t="s">
        <v>1837</v>
      </c>
    </row>
    <row r="409" spans="1:22" ht="30" customHeight="1">
      <c r="A409" s="6" t="s">
        <v>697</v>
      </c>
      <c r="B409" s="6" t="s">
        <v>1805</v>
      </c>
      <c r="C409" s="6" t="s">
        <v>1838</v>
      </c>
      <c r="D409" s="6" t="s">
        <v>25</v>
      </c>
      <c r="E409" s="19" t="s">
        <v>700</v>
      </c>
      <c r="F409" s="6">
        <v>30</v>
      </c>
      <c r="G409" s="14">
        <v>0</v>
      </c>
      <c r="H409" s="16">
        <v>30</v>
      </c>
      <c r="I409" s="8">
        <v>30</v>
      </c>
      <c r="J409" s="8">
        <v>30</v>
      </c>
      <c r="K409" s="8">
        <v>30</v>
      </c>
      <c r="L409" s="8">
        <v>30</v>
      </c>
      <c r="M409" s="8">
        <v>30</v>
      </c>
      <c r="N409" s="8">
        <v>30</v>
      </c>
      <c r="O409" s="8">
        <v>30</v>
      </c>
      <c r="P409" s="8">
        <v>30</v>
      </c>
      <c r="Q409" s="8">
        <v>30</v>
      </c>
      <c r="R409" s="8">
        <v>30</v>
      </c>
      <c r="S409" s="8">
        <v>30</v>
      </c>
      <c r="T409" s="8">
        <v>30</v>
      </c>
      <c r="U409" s="15">
        <v>30</v>
      </c>
      <c r="V409" s="6" t="s">
        <v>1839</v>
      </c>
    </row>
    <row r="410" spans="1:22">
      <c r="A410" s="10"/>
      <c r="B410" s="10"/>
      <c r="C410" s="10"/>
      <c r="D410" s="10"/>
      <c r="E410" s="10"/>
      <c r="F410" s="10"/>
      <c r="G410" s="20">
        <f>SUM(G5:G409)</f>
        <v>192030.76038461475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:2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:2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:2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:2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:2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:2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:2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:2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:2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:2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: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:2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:2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:2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:2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:2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:2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:2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:2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:2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:2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:2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:2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:2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:2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:2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:2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:2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:2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:2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:2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:2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:2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:2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:2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:2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:2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:2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:2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:2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:2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:2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:2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:2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:2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:2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:2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:2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:2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:2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:2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:2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:2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:2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:2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:2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:2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:2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:2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:2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:2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:2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:2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:2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:2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:2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:2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:2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:2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:2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:2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:2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:2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:2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:2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:2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:2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:2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:2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:2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:2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:2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:2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:2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:2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:2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:2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:2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: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:2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:2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:2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:2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:2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:2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:2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:2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:2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:2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:2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:2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:2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:2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:2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:2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:2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:2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:2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:2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:2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:2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:2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:2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:2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:2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:2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:2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:2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:2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:2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:2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:2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:2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:2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:2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:2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:2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:2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:2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:2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:2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:2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:22">
      <c r="E583" s="21"/>
    </row>
    <row r="584" spans="1:22">
      <c r="E584" s="21"/>
    </row>
    <row r="585" spans="1:22">
      <c r="E585" s="21"/>
    </row>
    <row r="586" spans="1:22">
      <c r="E586" s="21"/>
    </row>
    <row r="587" spans="1:22">
      <c r="E587" s="21"/>
    </row>
    <row r="588" spans="1:22">
      <c r="E588" s="21"/>
    </row>
    <row r="589" spans="1:22">
      <c r="E589" s="21"/>
    </row>
    <row r="590" spans="1:22">
      <c r="E590" s="21"/>
    </row>
    <row r="591" spans="1:22">
      <c r="E591" s="21"/>
    </row>
    <row r="592" spans="1:22">
      <c r="E592" s="21"/>
    </row>
    <row r="593" spans="5:5">
      <c r="E593" s="21"/>
    </row>
    <row r="594" spans="5:5">
      <c r="E594" s="21"/>
    </row>
    <row r="595" spans="5:5">
      <c r="E595" s="21"/>
    </row>
    <row r="596" spans="5:5">
      <c r="E596" s="21"/>
    </row>
    <row r="597" spans="5:5">
      <c r="E597" s="21"/>
    </row>
    <row r="598" spans="5:5">
      <c r="E598" s="21"/>
    </row>
    <row r="599" spans="5:5">
      <c r="E599" s="21"/>
    </row>
    <row r="600" spans="5:5">
      <c r="E600" s="21"/>
    </row>
    <row r="601" spans="5:5">
      <c r="E601" s="21"/>
    </row>
    <row r="602" spans="5:5">
      <c r="E602" s="21"/>
    </row>
    <row r="603" spans="5:5">
      <c r="E603" s="21"/>
    </row>
    <row r="604" spans="5:5">
      <c r="E604" s="21"/>
    </row>
    <row r="605" spans="5:5">
      <c r="E605" s="21"/>
    </row>
    <row r="606" spans="5:5">
      <c r="E606" s="21"/>
    </row>
    <row r="607" spans="5:5">
      <c r="E607" s="21"/>
    </row>
    <row r="608" spans="5:5">
      <c r="E608" s="21"/>
    </row>
    <row r="609" spans="5:5">
      <c r="E609" s="21"/>
    </row>
    <row r="610" spans="5:5">
      <c r="E610" s="21"/>
    </row>
    <row r="611" spans="5:5">
      <c r="E611" s="21"/>
    </row>
    <row r="612" spans="5:5">
      <c r="E612" s="21"/>
    </row>
    <row r="613" spans="5:5">
      <c r="E613" s="21"/>
    </row>
    <row r="614" spans="5:5">
      <c r="E614" s="21"/>
    </row>
    <row r="615" spans="5:5">
      <c r="E615" s="21"/>
    </row>
    <row r="616" spans="5:5">
      <c r="E616" s="21"/>
    </row>
    <row r="617" spans="5:5">
      <c r="E617" s="21"/>
    </row>
    <row r="618" spans="5:5">
      <c r="E618" s="21"/>
    </row>
    <row r="619" spans="5:5">
      <c r="E619" s="21"/>
    </row>
    <row r="620" spans="5:5">
      <c r="E620" s="21"/>
    </row>
    <row r="621" spans="5:5">
      <c r="E621" s="21"/>
    </row>
    <row r="622" spans="5:5">
      <c r="E622" s="21"/>
    </row>
    <row r="623" spans="5:5">
      <c r="E623" s="21"/>
    </row>
    <row r="624" spans="5:5">
      <c r="E624" s="21"/>
    </row>
    <row r="625" spans="5:5">
      <c r="E625" s="21"/>
    </row>
    <row r="626" spans="5:5">
      <c r="E626" s="21"/>
    </row>
    <row r="627" spans="5:5">
      <c r="E627" s="21"/>
    </row>
    <row r="628" spans="5:5">
      <c r="E628" s="21"/>
    </row>
    <row r="629" spans="5:5">
      <c r="E629" s="21"/>
    </row>
    <row r="630" spans="5:5">
      <c r="E630" s="21"/>
    </row>
    <row r="631" spans="5:5">
      <c r="E631" s="21"/>
    </row>
    <row r="632" spans="5:5">
      <c r="E632" s="21"/>
    </row>
    <row r="633" spans="5:5">
      <c r="E633" s="21"/>
    </row>
    <row r="634" spans="5:5">
      <c r="E634" s="21"/>
    </row>
    <row r="635" spans="5:5">
      <c r="E635" s="21"/>
    </row>
    <row r="636" spans="5:5">
      <c r="E636" s="21"/>
    </row>
    <row r="637" spans="5:5">
      <c r="E637" s="21"/>
    </row>
    <row r="638" spans="5:5">
      <c r="E638" s="21"/>
    </row>
    <row r="639" spans="5:5">
      <c r="E639" s="21"/>
    </row>
    <row r="640" spans="5:5">
      <c r="E640" s="21"/>
    </row>
    <row r="641" spans="5:5">
      <c r="E641" s="21"/>
    </row>
    <row r="642" spans="5:5">
      <c r="E642" s="21"/>
    </row>
    <row r="643" spans="5:5">
      <c r="E643" s="21"/>
    </row>
    <row r="644" spans="5:5">
      <c r="E644" s="21"/>
    </row>
    <row r="645" spans="5:5">
      <c r="E645" s="21"/>
    </row>
    <row r="646" spans="5:5">
      <c r="E646" s="21"/>
    </row>
    <row r="647" spans="5:5">
      <c r="E647" s="21"/>
    </row>
    <row r="648" spans="5:5">
      <c r="E648" s="21"/>
    </row>
    <row r="649" spans="5:5">
      <c r="E649" s="21"/>
    </row>
    <row r="650" spans="5:5">
      <c r="E650" s="21"/>
    </row>
    <row r="651" spans="5:5">
      <c r="E651" s="21"/>
    </row>
    <row r="652" spans="5:5">
      <c r="E652" s="21"/>
    </row>
    <row r="653" spans="5:5">
      <c r="E653" s="21"/>
    </row>
    <row r="654" spans="5:5">
      <c r="E654" s="21"/>
    </row>
    <row r="655" spans="5:5">
      <c r="E655" s="21"/>
    </row>
    <row r="656" spans="5:5">
      <c r="E656" s="21"/>
    </row>
    <row r="657" spans="5:5">
      <c r="E657" s="21"/>
    </row>
    <row r="658" spans="5:5">
      <c r="E658" s="21"/>
    </row>
    <row r="659" spans="5:5">
      <c r="E659" s="21"/>
    </row>
    <row r="660" spans="5:5">
      <c r="E660" s="21"/>
    </row>
    <row r="661" spans="5:5">
      <c r="E661" s="21"/>
    </row>
    <row r="662" spans="5:5">
      <c r="E662" s="21"/>
    </row>
    <row r="663" spans="5:5">
      <c r="E663" s="21"/>
    </row>
    <row r="664" spans="5:5">
      <c r="E664" s="21"/>
    </row>
    <row r="665" spans="5:5">
      <c r="E665" s="21"/>
    </row>
    <row r="666" spans="5:5">
      <c r="E666" s="21"/>
    </row>
    <row r="667" spans="5:5">
      <c r="E667" s="21"/>
    </row>
    <row r="668" spans="5:5">
      <c r="E668" s="21"/>
    </row>
    <row r="669" spans="5:5">
      <c r="E669" s="21"/>
    </row>
    <row r="670" spans="5:5">
      <c r="E670" s="21"/>
    </row>
    <row r="671" spans="5:5">
      <c r="E671" s="21"/>
    </row>
    <row r="672" spans="5:5">
      <c r="E672" s="21"/>
    </row>
    <row r="673" spans="5:5">
      <c r="E673" s="21"/>
    </row>
    <row r="674" spans="5:5">
      <c r="E674" s="21"/>
    </row>
    <row r="675" spans="5:5">
      <c r="E675" s="21"/>
    </row>
    <row r="676" spans="5:5">
      <c r="E676" s="21"/>
    </row>
    <row r="677" spans="5:5">
      <c r="E677" s="21"/>
    </row>
    <row r="678" spans="5:5">
      <c r="E678" s="21"/>
    </row>
    <row r="679" spans="5:5">
      <c r="E679" s="21"/>
    </row>
    <row r="680" spans="5:5">
      <c r="E680" s="21"/>
    </row>
    <row r="681" spans="5:5">
      <c r="E681" s="21"/>
    </row>
    <row r="682" spans="5:5">
      <c r="E682" s="21"/>
    </row>
    <row r="683" spans="5:5">
      <c r="E683" s="21"/>
    </row>
    <row r="684" spans="5:5">
      <c r="E684" s="21"/>
    </row>
    <row r="685" spans="5:5">
      <c r="E685" s="21"/>
    </row>
    <row r="686" spans="5:5">
      <c r="E686" s="21"/>
    </row>
    <row r="687" spans="5:5">
      <c r="E687" s="21"/>
    </row>
    <row r="688" spans="5:5">
      <c r="E688" s="21"/>
    </row>
    <row r="689" spans="5:5">
      <c r="E689" s="21"/>
    </row>
    <row r="690" spans="5:5">
      <c r="E690" s="21"/>
    </row>
    <row r="691" spans="5:5">
      <c r="E691" s="21"/>
    </row>
    <row r="692" spans="5:5">
      <c r="E692" s="21"/>
    </row>
    <row r="693" spans="5:5">
      <c r="E693" s="21"/>
    </row>
    <row r="694" spans="5:5">
      <c r="E694" s="21"/>
    </row>
    <row r="695" spans="5:5">
      <c r="E695" s="21"/>
    </row>
    <row r="696" spans="5:5">
      <c r="E696" s="21"/>
    </row>
    <row r="697" spans="5:5">
      <c r="E697" s="21"/>
    </row>
    <row r="698" spans="5:5">
      <c r="E698" s="21"/>
    </row>
    <row r="699" spans="5:5">
      <c r="E699" s="21"/>
    </row>
    <row r="700" spans="5:5">
      <c r="E700" s="21"/>
    </row>
    <row r="701" spans="5:5">
      <c r="E701" s="21"/>
    </row>
    <row r="702" spans="5:5">
      <c r="E702" s="21"/>
    </row>
    <row r="703" spans="5:5">
      <c r="E703" s="21"/>
    </row>
    <row r="704" spans="5:5">
      <c r="E704" s="21"/>
    </row>
    <row r="705" spans="5:5">
      <c r="E705" s="21"/>
    </row>
    <row r="706" spans="5:5">
      <c r="E706" s="21"/>
    </row>
    <row r="707" spans="5:5">
      <c r="E707" s="21"/>
    </row>
    <row r="708" spans="5:5">
      <c r="E708" s="21"/>
    </row>
    <row r="709" spans="5:5">
      <c r="E709" s="21"/>
    </row>
    <row r="710" spans="5:5">
      <c r="E710" s="21"/>
    </row>
    <row r="711" spans="5:5">
      <c r="E711" s="21"/>
    </row>
    <row r="712" spans="5:5">
      <c r="E712" s="21"/>
    </row>
    <row r="713" spans="5:5">
      <c r="E713" s="21"/>
    </row>
    <row r="714" spans="5:5">
      <c r="E714" s="21"/>
    </row>
    <row r="715" spans="5:5">
      <c r="E715" s="21"/>
    </row>
    <row r="716" spans="5:5">
      <c r="E716" s="21"/>
    </row>
    <row r="717" spans="5:5">
      <c r="E717" s="21"/>
    </row>
    <row r="718" spans="5:5">
      <c r="E718" s="21"/>
    </row>
    <row r="719" spans="5:5">
      <c r="E719" s="21"/>
    </row>
    <row r="720" spans="5:5">
      <c r="E720" s="21"/>
    </row>
    <row r="721" spans="5:5">
      <c r="E721" s="21"/>
    </row>
    <row r="722" spans="5:5">
      <c r="E722" s="21"/>
    </row>
    <row r="723" spans="5:5">
      <c r="E723" s="21"/>
    </row>
    <row r="724" spans="5:5">
      <c r="E724" s="21"/>
    </row>
    <row r="725" spans="5:5">
      <c r="E725" s="21"/>
    </row>
    <row r="726" spans="5:5">
      <c r="E726" s="21"/>
    </row>
    <row r="727" spans="5:5">
      <c r="E727" s="21"/>
    </row>
    <row r="728" spans="5:5">
      <c r="E728" s="21"/>
    </row>
    <row r="729" spans="5:5">
      <c r="E729" s="21"/>
    </row>
    <row r="730" spans="5:5">
      <c r="E730" s="21"/>
    </row>
    <row r="731" spans="5:5">
      <c r="E731" s="21"/>
    </row>
    <row r="732" spans="5:5">
      <c r="E732" s="21"/>
    </row>
    <row r="733" spans="5:5">
      <c r="E733" s="21"/>
    </row>
    <row r="734" spans="5:5">
      <c r="E734" s="21"/>
    </row>
    <row r="735" spans="5:5">
      <c r="E735" s="21"/>
    </row>
    <row r="736" spans="5:5">
      <c r="E736" s="21"/>
    </row>
    <row r="737" spans="5:5">
      <c r="E737" s="21"/>
    </row>
    <row r="738" spans="5:5">
      <c r="E738" s="21"/>
    </row>
    <row r="739" spans="5:5">
      <c r="E739" s="21"/>
    </row>
    <row r="740" spans="5:5">
      <c r="E740" s="21"/>
    </row>
    <row r="741" spans="5:5">
      <c r="E741" s="21"/>
    </row>
    <row r="742" spans="5:5">
      <c r="E742" s="21"/>
    </row>
    <row r="743" spans="5:5">
      <c r="E743" s="21"/>
    </row>
    <row r="744" spans="5:5">
      <c r="E744" s="21"/>
    </row>
    <row r="745" spans="5:5">
      <c r="E745" s="21"/>
    </row>
    <row r="746" spans="5:5">
      <c r="E746" s="21"/>
    </row>
    <row r="747" spans="5:5">
      <c r="E747" s="21"/>
    </row>
    <row r="748" spans="5:5">
      <c r="E748" s="21"/>
    </row>
    <row r="749" spans="5:5">
      <c r="E749" s="21"/>
    </row>
    <row r="750" spans="5:5">
      <c r="E750" s="21"/>
    </row>
    <row r="751" spans="5:5">
      <c r="E751" s="21"/>
    </row>
    <row r="752" spans="5:5">
      <c r="E752" s="21"/>
    </row>
    <row r="753" spans="5:5">
      <c r="E753" s="21"/>
    </row>
    <row r="754" spans="5:5">
      <c r="E754" s="21"/>
    </row>
    <row r="755" spans="5:5">
      <c r="E755" s="21"/>
    </row>
    <row r="756" spans="5:5">
      <c r="E756" s="21"/>
    </row>
    <row r="757" spans="5:5">
      <c r="E757" s="21"/>
    </row>
    <row r="758" spans="5:5">
      <c r="E758" s="21"/>
    </row>
    <row r="759" spans="5:5">
      <c r="E759" s="21"/>
    </row>
    <row r="760" spans="5:5">
      <c r="E760" s="21"/>
    </row>
    <row r="761" spans="5:5">
      <c r="E761" s="21"/>
    </row>
    <row r="762" spans="5:5">
      <c r="E762" s="21"/>
    </row>
    <row r="763" spans="5:5">
      <c r="E763" s="21"/>
    </row>
    <row r="764" spans="5:5">
      <c r="E764" s="21"/>
    </row>
    <row r="765" spans="5:5">
      <c r="E765" s="21"/>
    </row>
    <row r="766" spans="5:5">
      <c r="E766" s="21"/>
    </row>
    <row r="767" spans="5:5">
      <c r="E767" s="21"/>
    </row>
    <row r="768" spans="5:5">
      <c r="E768" s="21"/>
    </row>
    <row r="769" spans="5:5">
      <c r="E769" s="21"/>
    </row>
    <row r="770" spans="5:5">
      <c r="E770" s="21"/>
    </row>
    <row r="771" spans="5:5">
      <c r="E771" s="21"/>
    </row>
    <row r="772" spans="5:5">
      <c r="E772" s="21"/>
    </row>
    <row r="773" spans="5:5">
      <c r="E773" s="21"/>
    </row>
  </sheetData>
  <mergeCells count="10">
    <mergeCell ref="A1:V2"/>
    <mergeCell ref="A3:A4"/>
    <mergeCell ref="B3:B4"/>
    <mergeCell ref="C3:C4"/>
    <mergeCell ref="D3:D4"/>
    <mergeCell ref="E3:E4"/>
    <mergeCell ref="F3:F4"/>
    <mergeCell ref="G3:G4"/>
    <mergeCell ref="H3:T3"/>
    <mergeCell ref="V3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zoomScaleNormal="100" workbookViewId="0">
      <selection activeCell="E11" sqref="E11"/>
    </sheetView>
  </sheetViews>
  <sheetFormatPr defaultColWidth="8.7109375" defaultRowHeight="15"/>
  <cols>
    <col min="1" max="1" width="28" customWidth="1"/>
    <col min="2" max="2" width="35" customWidth="1"/>
    <col min="3" max="3" width="14" customWidth="1"/>
    <col min="4" max="4" width="16" customWidth="1"/>
    <col min="5" max="6" width="14" customWidth="1"/>
    <col min="7" max="7" width="12" customWidth="1"/>
    <col min="8" max="20" width="8" customWidth="1"/>
    <col min="21" max="21" width="14" customWidth="1"/>
    <col min="22" max="22" width="40" customWidth="1"/>
  </cols>
  <sheetData>
    <row r="1" spans="1:22">
      <c r="A1" s="103" t="str">
        <f>A5</f>
        <v>Curitiba - PR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</row>
    <row r="3" spans="1:22" ht="30" customHeight="1">
      <c r="A3" s="104" t="s">
        <v>0</v>
      </c>
      <c r="B3" s="104" t="s">
        <v>1</v>
      </c>
      <c r="C3" s="104" t="s">
        <v>2</v>
      </c>
      <c r="D3" s="104" t="s">
        <v>3</v>
      </c>
      <c r="E3" s="104" t="s">
        <v>691</v>
      </c>
      <c r="F3" s="104" t="s">
        <v>692</v>
      </c>
      <c r="G3" s="104" t="s">
        <v>693</v>
      </c>
      <c r="H3" s="105" t="s">
        <v>694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 t="s">
        <v>696</v>
      </c>
      <c r="V3" s="104" t="s">
        <v>695</v>
      </c>
    </row>
    <row r="4" spans="1:22" ht="19.5" customHeight="1">
      <c r="A4" s="104"/>
      <c r="B4" s="104"/>
      <c r="C4" s="104"/>
      <c r="D4" s="104"/>
      <c r="E4" s="104"/>
      <c r="F4" s="104"/>
      <c r="G4" s="104"/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05"/>
      <c r="V4" s="104"/>
    </row>
    <row r="5" spans="1:22" ht="25.5">
      <c r="A5" s="22" t="s">
        <v>1840</v>
      </c>
      <c r="B5" s="22" t="s">
        <v>1841</v>
      </c>
      <c r="C5" s="23" t="s">
        <v>1842</v>
      </c>
      <c r="D5" s="23" t="s">
        <v>1843</v>
      </c>
      <c r="E5" s="23" t="s">
        <v>704</v>
      </c>
      <c r="F5" s="24">
        <v>100</v>
      </c>
      <c r="G5" s="25">
        <f>U5-F5</f>
        <v>386.23076923076923</v>
      </c>
      <c r="H5" s="26">
        <v>387</v>
      </c>
      <c r="I5" s="26">
        <v>311</v>
      </c>
      <c r="J5" s="26">
        <v>297</v>
      </c>
      <c r="K5" s="26">
        <v>318</v>
      </c>
      <c r="L5" s="26">
        <v>466</v>
      </c>
      <c r="M5" s="26">
        <v>1146</v>
      </c>
      <c r="N5" s="26">
        <v>1063</v>
      </c>
      <c r="O5" s="26">
        <v>740</v>
      </c>
      <c r="P5" s="26">
        <v>641</v>
      </c>
      <c r="Q5" s="26">
        <v>308</v>
      </c>
      <c r="R5" s="26">
        <v>263</v>
      </c>
      <c r="S5" s="26">
        <v>218</v>
      </c>
      <c r="T5" s="26">
        <v>163</v>
      </c>
      <c r="U5" s="27">
        <f>AVERAGE(H5:T5)</f>
        <v>486.23076923076923</v>
      </c>
      <c r="V5" s="22" t="s">
        <v>1844</v>
      </c>
    </row>
  </sheetData>
  <mergeCells count="11">
    <mergeCell ref="A1:V2"/>
    <mergeCell ref="A3:A4"/>
    <mergeCell ref="B3:B4"/>
    <mergeCell ref="C3:C4"/>
    <mergeCell ref="D3:D4"/>
    <mergeCell ref="E3:E4"/>
    <mergeCell ref="F3:F4"/>
    <mergeCell ref="G3:G4"/>
    <mergeCell ref="H3:T3"/>
    <mergeCell ref="U3:U4"/>
    <mergeCell ref="V3:V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42"/>
  <sheetViews>
    <sheetView zoomScale="70" zoomScaleNormal="70" workbookViewId="0">
      <selection activeCell="G47" sqref="G47"/>
    </sheetView>
  </sheetViews>
  <sheetFormatPr defaultColWidth="14.42578125" defaultRowHeight="15"/>
  <cols>
    <col min="1" max="1" width="16.28515625" style="11" customWidth="1"/>
    <col min="2" max="2" width="50.42578125" style="11" customWidth="1"/>
    <col min="3" max="3" width="19" style="11" customWidth="1"/>
    <col min="4" max="4" width="24.42578125" style="11" customWidth="1"/>
    <col min="5" max="5" width="30.42578125" style="11" customWidth="1"/>
    <col min="6" max="6" width="31" style="11" customWidth="1"/>
    <col min="7" max="7" width="9.28515625" style="11" customWidth="1"/>
    <col min="8" max="8" width="13" style="11" customWidth="1"/>
    <col min="9" max="9" width="9.5703125" style="11" customWidth="1"/>
    <col min="10" max="19" width="8.5703125" style="11" customWidth="1"/>
    <col min="20" max="20" width="9" style="11" customWidth="1"/>
    <col min="21" max="21" width="20.28515625" style="11" customWidth="1"/>
    <col min="22" max="22" width="43.5703125" style="11" customWidth="1"/>
    <col min="23" max="16384" width="14.42578125" style="11"/>
  </cols>
  <sheetData>
    <row r="1" spans="1:22">
      <c r="A1" s="100" t="str">
        <f>A5</f>
        <v>MUNICIPIO DE PALHOCA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</row>
    <row r="2" spans="1:2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</row>
    <row r="3" spans="1:22" ht="15.75" customHeight="1">
      <c r="A3" s="101" t="s">
        <v>0</v>
      </c>
      <c r="B3" s="101" t="s">
        <v>1</v>
      </c>
      <c r="C3" s="101" t="s">
        <v>2</v>
      </c>
      <c r="D3" s="101" t="s">
        <v>3</v>
      </c>
      <c r="E3" s="101" t="s">
        <v>691</v>
      </c>
      <c r="F3" s="101" t="s">
        <v>692</v>
      </c>
      <c r="G3" s="101" t="s">
        <v>693</v>
      </c>
      <c r="H3" s="102" t="s">
        <v>694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2"/>
      <c r="V3" s="101" t="s">
        <v>695</v>
      </c>
    </row>
    <row r="4" spans="1:22" ht="47.25" customHeight="1">
      <c r="A4" s="101"/>
      <c r="B4" s="101"/>
      <c r="C4" s="101"/>
      <c r="D4" s="101"/>
      <c r="E4" s="101"/>
      <c r="F4" s="101"/>
      <c r="G4" s="101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13" t="s">
        <v>696</v>
      </c>
      <c r="V4" s="101"/>
    </row>
    <row r="5" spans="1:22" ht="30" customHeight="1">
      <c r="A5" s="28" t="s">
        <v>697</v>
      </c>
      <c r="B5" s="28" t="s">
        <v>1845</v>
      </c>
      <c r="C5" s="29" t="s">
        <v>1846</v>
      </c>
      <c r="D5" s="28" t="s">
        <v>270</v>
      </c>
      <c r="E5" s="28" t="s">
        <v>700</v>
      </c>
      <c r="F5" s="28">
        <f t="shared" ref="F5:F46" si="0">IF(E5="TRIFÁSICO",100,IF(E5="BIFÁSICO",50,IF(E5="MONOFÁSICO",30,"")))</f>
        <v>30</v>
      </c>
      <c r="G5" s="30">
        <f t="shared" ref="G5:G46" si="1">U5-F5</f>
        <v>165876.56107692307</v>
      </c>
      <c r="H5" s="31">
        <v>30</v>
      </c>
      <c r="I5" s="31">
        <v>30</v>
      </c>
      <c r="J5" s="31">
        <v>30</v>
      </c>
      <c r="K5" s="31">
        <v>30</v>
      </c>
      <c r="L5" s="31">
        <v>670805.11699999997</v>
      </c>
      <c r="M5" s="31">
        <v>742844.39599999995</v>
      </c>
      <c r="N5" s="31">
        <v>30</v>
      </c>
      <c r="O5" s="31">
        <v>30</v>
      </c>
      <c r="P5" s="31">
        <v>30</v>
      </c>
      <c r="Q5" s="31">
        <v>30</v>
      </c>
      <c r="R5" s="31">
        <v>30</v>
      </c>
      <c r="S5" s="31">
        <v>30</v>
      </c>
      <c r="T5" s="31">
        <v>742835.78099999996</v>
      </c>
      <c r="U5" s="32">
        <f t="shared" ref="U5:U46" si="2">AVERAGE(H5:T5)</f>
        <v>165906.56107692307</v>
      </c>
      <c r="V5" s="28" t="s">
        <v>1847</v>
      </c>
    </row>
    <row r="6" spans="1:22" ht="30" customHeight="1">
      <c r="A6" s="28" t="s">
        <v>697</v>
      </c>
      <c r="B6" s="28" t="s">
        <v>1848</v>
      </c>
      <c r="C6" s="29" t="s">
        <v>1849</v>
      </c>
      <c r="D6" s="28" t="s">
        <v>270</v>
      </c>
      <c r="E6" s="28" t="s">
        <v>700</v>
      </c>
      <c r="F6" s="28">
        <f t="shared" si="0"/>
        <v>30</v>
      </c>
      <c r="G6" s="30">
        <f t="shared" si="1"/>
        <v>16.53846153846154</v>
      </c>
      <c r="H6" s="31">
        <v>30</v>
      </c>
      <c r="I6" s="31">
        <v>30</v>
      </c>
      <c r="J6" s="31">
        <v>30</v>
      </c>
      <c r="K6" s="31">
        <v>30</v>
      </c>
      <c r="L6" s="31">
        <v>163</v>
      </c>
      <c r="M6" s="31">
        <v>30</v>
      </c>
      <c r="N6" s="31">
        <v>30</v>
      </c>
      <c r="O6" s="31">
        <v>30</v>
      </c>
      <c r="P6" s="31">
        <v>30</v>
      </c>
      <c r="Q6" s="31">
        <v>30</v>
      </c>
      <c r="R6" s="31">
        <v>30</v>
      </c>
      <c r="S6" s="31">
        <v>30</v>
      </c>
      <c r="T6" s="31">
        <v>112</v>
      </c>
      <c r="U6" s="32">
        <f t="shared" si="2"/>
        <v>46.53846153846154</v>
      </c>
      <c r="V6" s="28" t="s">
        <v>1850</v>
      </c>
    </row>
    <row r="7" spans="1:22" ht="30" customHeight="1">
      <c r="A7" s="28" t="s">
        <v>697</v>
      </c>
      <c r="B7" s="28" t="s">
        <v>1851</v>
      </c>
      <c r="C7" s="29" t="s">
        <v>1852</v>
      </c>
      <c r="D7" s="28" t="s">
        <v>270</v>
      </c>
      <c r="E7" s="28" t="s">
        <v>700</v>
      </c>
      <c r="F7" s="28">
        <f t="shared" si="0"/>
        <v>30</v>
      </c>
      <c r="G7" s="30">
        <f t="shared" si="1"/>
        <v>0</v>
      </c>
      <c r="H7" s="31">
        <v>30</v>
      </c>
      <c r="I7" s="31">
        <v>30</v>
      </c>
      <c r="J7" s="31">
        <v>30</v>
      </c>
      <c r="K7" s="31">
        <v>30</v>
      </c>
      <c r="L7" s="31">
        <v>30</v>
      </c>
      <c r="M7" s="31">
        <v>30</v>
      </c>
      <c r="N7" s="31">
        <v>30</v>
      </c>
      <c r="O7" s="31">
        <v>30</v>
      </c>
      <c r="P7" s="31">
        <v>30</v>
      </c>
      <c r="Q7" s="31">
        <v>30</v>
      </c>
      <c r="R7" s="31">
        <v>30</v>
      </c>
      <c r="S7" s="31">
        <v>30</v>
      </c>
      <c r="T7" s="31">
        <v>30</v>
      </c>
      <c r="U7" s="32">
        <f t="shared" si="2"/>
        <v>30</v>
      </c>
      <c r="V7" s="28" t="s">
        <v>1853</v>
      </c>
    </row>
    <row r="8" spans="1:22" ht="30" customHeight="1">
      <c r="A8" s="28" t="s">
        <v>697</v>
      </c>
      <c r="B8" s="28" t="s">
        <v>1854</v>
      </c>
      <c r="C8" s="29" t="s">
        <v>1855</v>
      </c>
      <c r="D8" s="28" t="s">
        <v>270</v>
      </c>
      <c r="E8" s="28" t="s">
        <v>700</v>
      </c>
      <c r="F8" s="28">
        <f t="shared" si="0"/>
        <v>30</v>
      </c>
      <c r="G8" s="30">
        <f t="shared" si="1"/>
        <v>227.15384615384613</v>
      </c>
      <c r="H8" s="31">
        <v>30</v>
      </c>
      <c r="I8" s="31">
        <v>30</v>
      </c>
      <c r="J8" s="31">
        <v>30</v>
      </c>
      <c r="K8" s="31">
        <v>30</v>
      </c>
      <c r="L8" s="31">
        <v>2441</v>
      </c>
      <c r="M8" s="31">
        <v>572</v>
      </c>
      <c r="N8" s="31">
        <v>30</v>
      </c>
      <c r="O8" s="31">
        <v>30</v>
      </c>
      <c r="P8" s="31">
        <v>30</v>
      </c>
      <c r="Q8" s="31">
        <v>30</v>
      </c>
      <c r="R8" s="31">
        <v>30</v>
      </c>
      <c r="S8" s="31">
        <v>30</v>
      </c>
      <c r="T8" s="31">
        <v>30</v>
      </c>
      <c r="U8" s="32">
        <f t="shared" si="2"/>
        <v>257.15384615384613</v>
      </c>
      <c r="V8" s="28" t="s">
        <v>1856</v>
      </c>
    </row>
    <row r="9" spans="1:22" ht="30" customHeight="1">
      <c r="A9" s="28" t="s">
        <v>697</v>
      </c>
      <c r="B9" s="28" t="s">
        <v>1857</v>
      </c>
      <c r="C9" s="29" t="s">
        <v>1858</v>
      </c>
      <c r="D9" s="28" t="s">
        <v>270</v>
      </c>
      <c r="E9" s="28" t="s">
        <v>700</v>
      </c>
      <c r="F9" s="28">
        <f t="shared" si="0"/>
        <v>30</v>
      </c>
      <c r="G9" s="30">
        <f t="shared" si="1"/>
        <v>251.38461538461536</v>
      </c>
      <c r="H9" s="31">
        <v>30</v>
      </c>
      <c r="I9" s="31">
        <v>30</v>
      </c>
      <c r="J9" s="31">
        <v>30</v>
      </c>
      <c r="K9" s="31">
        <v>30</v>
      </c>
      <c r="L9" s="31">
        <v>494</v>
      </c>
      <c r="M9" s="31">
        <v>464</v>
      </c>
      <c r="N9" s="31">
        <v>30</v>
      </c>
      <c r="O9" s="31">
        <v>30</v>
      </c>
      <c r="P9" s="31">
        <v>30</v>
      </c>
      <c r="Q9" s="31">
        <v>30</v>
      </c>
      <c r="R9" s="31">
        <v>30</v>
      </c>
      <c r="S9" s="31">
        <v>30</v>
      </c>
      <c r="T9" s="31">
        <v>2400</v>
      </c>
      <c r="U9" s="32">
        <f t="shared" si="2"/>
        <v>281.38461538461536</v>
      </c>
      <c r="V9" s="28" t="s">
        <v>1859</v>
      </c>
    </row>
    <row r="10" spans="1:22" ht="30" customHeight="1">
      <c r="A10" s="28" t="s">
        <v>697</v>
      </c>
      <c r="B10" s="28" t="s">
        <v>1860</v>
      </c>
      <c r="C10" s="29" t="s">
        <v>1861</v>
      </c>
      <c r="D10" s="28" t="s">
        <v>270</v>
      </c>
      <c r="E10" s="28" t="s">
        <v>700</v>
      </c>
      <c r="F10" s="28">
        <f t="shared" si="0"/>
        <v>30</v>
      </c>
      <c r="G10" s="30">
        <f t="shared" si="1"/>
        <v>235.38461538461536</v>
      </c>
      <c r="H10" s="31">
        <v>30</v>
      </c>
      <c r="I10" s="31">
        <v>30</v>
      </c>
      <c r="J10" s="31">
        <v>30</v>
      </c>
      <c r="K10" s="31">
        <v>30</v>
      </c>
      <c r="L10" s="31">
        <v>1044</v>
      </c>
      <c r="M10" s="31">
        <v>1097</v>
      </c>
      <c r="N10" s="31">
        <v>30</v>
      </c>
      <c r="O10" s="31">
        <v>30</v>
      </c>
      <c r="P10" s="31">
        <v>30</v>
      </c>
      <c r="Q10" s="31">
        <v>30</v>
      </c>
      <c r="R10" s="31">
        <v>30</v>
      </c>
      <c r="S10" s="31">
        <v>30</v>
      </c>
      <c r="T10" s="31">
        <v>1009</v>
      </c>
      <c r="U10" s="32">
        <f t="shared" si="2"/>
        <v>265.38461538461536</v>
      </c>
      <c r="V10" s="28" t="s">
        <v>1862</v>
      </c>
    </row>
    <row r="11" spans="1:22" ht="30" customHeight="1">
      <c r="A11" s="28" t="s">
        <v>697</v>
      </c>
      <c r="B11" s="28" t="s">
        <v>1863</v>
      </c>
      <c r="C11" s="29" t="s">
        <v>1864</v>
      </c>
      <c r="D11" s="28" t="s">
        <v>270</v>
      </c>
      <c r="E11" s="28" t="s">
        <v>700</v>
      </c>
      <c r="F11" s="28">
        <f t="shared" si="0"/>
        <v>30</v>
      </c>
      <c r="G11" s="30">
        <f t="shared" si="1"/>
        <v>0</v>
      </c>
      <c r="H11" s="31">
        <v>30</v>
      </c>
      <c r="I11" s="31">
        <v>30</v>
      </c>
      <c r="J11" s="31">
        <v>30</v>
      </c>
      <c r="K11" s="31">
        <v>30</v>
      </c>
      <c r="L11" s="31">
        <v>30</v>
      </c>
      <c r="M11" s="31">
        <v>30</v>
      </c>
      <c r="N11" s="31">
        <v>30</v>
      </c>
      <c r="O11" s="31">
        <v>30</v>
      </c>
      <c r="P11" s="31">
        <v>30</v>
      </c>
      <c r="Q11" s="31">
        <v>30</v>
      </c>
      <c r="R11" s="31">
        <v>30</v>
      </c>
      <c r="S11" s="31">
        <v>30</v>
      </c>
      <c r="T11" s="31">
        <v>30</v>
      </c>
      <c r="U11" s="32">
        <f t="shared" si="2"/>
        <v>30</v>
      </c>
      <c r="V11" s="28" t="s">
        <v>1865</v>
      </c>
    </row>
    <row r="12" spans="1:22" ht="30" customHeight="1">
      <c r="A12" s="28" t="s">
        <v>697</v>
      </c>
      <c r="B12" s="28" t="s">
        <v>1866</v>
      </c>
      <c r="C12" s="29" t="s">
        <v>1867</v>
      </c>
      <c r="D12" s="28" t="s">
        <v>270</v>
      </c>
      <c r="E12" s="28" t="s">
        <v>700</v>
      </c>
      <c r="F12" s="28">
        <f t="shared" si="0"/>
        <v>30</v>
      </c>
      <c r="G12" s="30">
        <f t="shared" si="1"/>
        <v>0</v>
      </c>
      <c r="H12" s="31">
        <v>30</v>
      </c>
      <c r="I12" s="31">
        <v>30</v>
      </c>
      <c r="J12" s="31">
        <v>30</v>
      </c>
      <c r="K12" s="31">
        <v>30</v>
      </c>
      <c r="L12" s="31">
        <v>30</v>
      </c>
      <c r="M12" s="31">
        <v>30</v>
      </c>
      <c r="N12" s="31">
        <v>30</v>
      </c>
      <c r="O12" s="31">
        <v>30</v>
      </c>
      <c r="P12" s="31">
        <v>30</v>
      </c>
      <c r="Q12" s="31">
        <v>30</v>
      </c>
      <c r="R12" s="31">
        <v>30</v>
      </c>
      <c r="S12" s="31">
        <v>30</v>
      </c>
      <c r="T12" s="31">
        <v>30</v>
      </c>
      <c r="U12" s="32">
        <f t="shared" si="2"/>
        <v>30</v>
      </c>
      <c r="V12" s="28" t="s">
        <v>1868</v>
      </c>
    </row>
    <row r="13" spans="1:22" ht="30" customHeight="1">
      <c r="A13" s="28" t="s">
        <v>697</v>
      </c>
      <c r="B13" s="28" t="s">
        <v>1869</v>
      </c>
      <c r="C13" s="29" t="s">
        <v>1870</v>
      </c>
      <c r="D13" s="28" t="s">
        <v>270</v>
      </c>
      <c r="E13" s="28" t="s">
        <v>700</v>
      </c>
      <c r="F13" s="28">
        <f t="shared" si="0"/>
        <v>30</v>
      </c>
      <c r="G13" s="30">
        <f t="shared" si="1"/>
        <v>0</v>
      </c>
      <c r="H13" s="31">
        <v>30</v>
      </c>
      <c r="I13" s="31">
        <v>30</v>
      </c>
      <c r="J13" s="31">
        <v>30</v>
      </c>
      <c r="K13" s="31">
        <v>30</v>
      </c>
      <c r="L13" s="31">
        <v>30</v>
      </c>
      <c r="M13" s="31">
        <v>30</v>
      </c>
      <c r="N13" s="31">
        <v>30</v>
      </c>
      <c r="O13" s="31">
        <v>30</v>
      </c>
      <c r="P13" s="31">
        <v>30</v>
      </c>
      <c r="Q13" s="31">
        <v>30</v>
      </c>
      <c r="R13" s="31">
        <v>30</v>
      </c>
      <c r="S13" s="31">
        <v>30</v>
      </c>
      <c r="T13" s="31">
        <v>30</v>
      </c>
      <c r="U13" s="32">
        <f t="shared" si="2"/>
        <v>30</v>
      </c>
      <c r="V13" s="28" t="s">
        <v>1871</v>
      </c>
    </row>
    <row r="14" spans="1:22" ht="30" customHeight="1">
      <c r="A14" s="28" t="s">
        <v>697</v>
      </c>
      <c r="B14" s="28" t="s">
        <v>1872</v>
      </c>
      <c r="C14" s="29" t="s">
        <v>1873</v>
      </c>
      <c r="D14" s="28" t="s">
        <v>270</v>
      </c>
      <c r="E14" s="28" t="s">
        <v>700</v>
      </c>
      <c r="F14" s="28">
        <f t="shared" si="0"/>
        <v>30</v>
      </c>
      <c r="G14" s="30">
        <f t="shared" si="1"/>
        <v>0</v>
      </c>
      <c r="H14" s="31">
        <v>30</v>
      </c>
      <c r="I14" s="31">
        <v>30</v>
      </c>
      <c r="J14" s="31">
        <v>30</v>
      </c>
      <c r="K14" s="31">
        <v>30</v>
      </c>
      <c r="L14" s="31">
        <v>30</v>
      </c>
      <c r="M14" s="31">
        <v>30</v>
      </c>
      <c r="N14" s="31">
        <v>30</v>
      </c>
      <c r="O14" s="31">
        <v>30</v>
      </c>
      <c r="P14" s="31">
        <v>30</v>
      </c>
      <c r="Q14" s="31">
        <v>30</v>
      </c>
      <c r="R14" s="31">
        <v>30</v>
      </c>
      <c r="S14" s="31">
        <v>30</v>
      </c>
      <c r="T14" s="31">
        <v>30</v>
      </c>
      <c r="U14" s="32">
        <f t="shared" si="2"/>
        <v>30</v>
      </c>
      <c r="V14" s="28" t="s">
        <v>1874</v>
      </c>
    </row>
    <row r="15" spans="1:22" ht="30" customHeight="1">
      <c r="A15" s="28" t="s">
        <v>697</v>
      </c>
      <c r="B15" s="28" t="s">
        <v>1875</v>
      </c>
      <c r="C15" s="29" t="s">
        <v>1876</v>
      </c>
      <c r="D15" s="28" t="s">
        <v>270</v>
      </c>
      <c r="E15" s="28" t="s">
        <v>700</v>
      </c>
      <c r="F15" s="28">
        <f t="shared" si="0"/>
        <v>30</v>
      </c>
      <c r="G15" s="30">
        <f t="shared" si="1"/>
        <v>22.46153846153846</v>
      </c>
      <c r="H15" s="31">
        <v>30</v>
      </c>
      <c r="I15" s="31">
        <v>30</v>
      </c>
      <c r="J15" s="31">
        <v>30</v>
      </c>
      <c r="K15" s="31">
        <v>30</v>
      </c>
      <c r="L15" s="31">
        <v>122</v>
      </c>
      <c r="M15" s="31">
        <v>127</v>
      </c>
      <c r="N15" s="31">
        <v>30</v>
      </c>
      <c r="O15" s="31">
        <v>30</v>
      </c>
      <c r="P15" s="31">
        <v>30</v>
      </c>
      <c r="Q15" s="31">
        <v>30</v>
      </c>
      <c r="R15" s="31">
        <v>30</v>
      </c>
      <c r="S15" s="31">
        <v>30</v>
      </c>
      <c r="T15" s="31">
        <v>133</v>
      </c>
      <c r="U15" s="32">
        <f t="shared" si="2"/>
        <v>52.46153846153846</v>
      </c>
      <c r="V15" s="28" t="s">
        <v>1877</v>
      </c>
    </row>
    <row r="16" spans="1:22" ht="30" customHeight="1">
      <c r="A16" s="28" t="s">
        <v>697</v>
      </c>
      <c r="B16" s="28" t="s">
        <v>1878</v>
      </c>
      <c r="C16" s="29" t="s">
        <v>1879</v>
      </c>
      <c r="D16" s="28" t="s">
        <v>270</v>
      </c>
      <c r="E16" s="28" t="s">
        <v>700</v>
      </c>
      <c r="F16" s="28">
        <f t="shared" si="0"/>
        <v>30</v>
      </c>
      <c r="G16" s="30">
        <f t="shared" si="1"/>
        <v>0</v>
      </c>
      <c r="H16" s="31">
        <v>30</v>
      </c>
      <c r="I16" s="31">
        <v>30</v>
      </c>
      <c r="J16" s="31">
        <v>30</v>
      </c>
      <c r="K16" s="31">
        <v>30</v>
      </c>
      <c r="L16" s="31">
        <v>30</v>
      </c>
      <c r="M16" s="31">
        <v>30</v>
      </c>
      <c r="N16" s="31">
        <v>30</v>
      </c>
      <c r="O16" s="31">
        <v>30</v>
      </c>
      <c r="P16" s="31">
        <v>30</v>
      </c>
      <c r="Q16" s="31">
        <v>30</v>
      </c>
      <c r="R16" s="31">
        <v>30</v>
      </c>
      <c r="S16" s="31">
        <v>30</v>
      </c>
      <c r="T16" s="31">
        <v>30</v>
      </c>
      <c r="U16" s="32">
        <f t="shared" si="2"/>
        <v>30</v>
      </c>
      <c r="V16" s="28" t="s">
        <v>1880</v>
      </c>
    </row>
    <row r="17" spans="1:22" ht="30" customHeight="1">
      <c r="A17" s="28" t="s">
        <v>697</v>
      </c>
      <c r="B17" s="28" t="s">
        <v>1881</v>
      </c>
      <c r="C17" s="29" t="s">
        <v>1882</v>
      </c>
      <c r="D17" s="28" t="s">
        <v>270</v>
      </c>
      <c r="E17" s="28" t="s">
        <v>700</v>
      </c>
      <c r="F17" s="28">
        <f t="shared" si="0"/>
        <v>30</v>
      </c>
      <c r="G17" s="30">
        <f t="shared" si="1"/>
        <v>108.61538461538461</v>
      </c>
      <c r="H17" s="31">
        <v>30</v>
      </c>
      <c r="I17" s="31">
        <v>30</v>
      </c>
      <c r="J17" s="31">
        <v>30</v>
      </c>
      <c r="K17" s="31">
        <v>30</v>
      </c>
      <c r="L17" s="31">
        <v>553</v>
      </c>
      <c r="M17" s="31">
        <v>568</v>
      </c>
      <c r="N17" s="31">
        <v>30</v>
      </c>
      <c r="O17" s="31">
        <v>30</v>
      </c>
      <c r="P17" s="31">
        <v>30</v>
      </c>
      <c r="Q17" s="31">
        <v>30</v>
      </c>
      <c r="R17" s="31">
        <v>30</v>
      </c>
      <c r="S17" s="31">
        <v>30</v>
      </c>
      <c r="T17" s="31">
        <v>381</v>
      </c>
      <c r="U17" s="32">
        <f t="shared" si="2"/>
        <v>138.61538461538461</v>
      </c>
      <c r="V17" s="28" t="s">
        <v>1883</v>
      </c>
    </row>
    <row r="18" spans="1:22" ht="30" customHeight="1">
      <c r="A18" s="28" t="s">
        <v>697</v>
      </c>
      <c r="B18" s="28" t="s">
        <v>1884</v>
      </c>
      <c r="C18" s="29" t="s">
        <v>1885</v>
      </c>
      <c r="D18" s="28" t="s">
        <v>270</v>
      </c>
      <c r="E18" s="28" t="s">
        <v>700</v>
      </c>
      <c r="F18" s="28">
        <f t="shared" si="0"/>
        <v>30</v>
      </c>
      <c r="G18" s="30">
        <f t="shared" si="1"/>
        <v>0</v>
      </c>
      <c r="H18" s="31">
        <v>30</v>
      </c>
      <c r="I18" s="31">
        <v>30</v>
      </c>
      <c r="J18" s="31">
        <v>30</v>
      </c>
      <c r="K18" s="31">
        <v>30</v>
      </c>
      <c r="L18" s="31">
        <v>30</v>
      </c>
      <c r="M18" s="31">
        <v>30</v>
      </c>
      <c r="N18" s="31">
        <v>30</v>
      </c>
      <c r="O18" s="31">
        <v>30</v>
      </c>
      <c r="P18" s="31">
        <v>30</v>
      </c>
      <c r="Q18" s="31">
        <v>30</v>
      </c>
      <c r="R18" s="31">
        <v>30</v>
      </c>
      <c r="S18" s="31">
        <v>30</v>
      </c>
      <c r="T18" s="31">
        <v>30</v>
      </c>
      <c r="U18" s="32">
        <f t="shared" si="2"/>
        <v>30</v>
      </c>
      <c r="V18" s="28" t="s">
        <v>1886</v>
      </c>
    </row>
    <row r="19" spans="1:22" ht="30" customHeight="1">
      <c r="A19" s="28" t="s">
        <v>697</v>
      </c>
      <c r="B19" s="28" t="s">
        <v>1887</v>
      </c>
      <c r="C19" s="29" t="s">
        <v>1888</v>
      </c>
      <c r="D19" s="28" t="s">
        <v>270</v>
      </c>
      <c r="E19" s="28" t="s">
        <v>700</v>
      </c>
      <c r="F19" s="28">
        <f t="shared" si="0"/>
        <v>30</v>
      </c>
      <c r="G19" s="30">
        <f t="shared" si="1"/>
        <v>48.230769230769226</v>
      </c>
      <c r="H19" s="31">
        <v>30</v>
      </c>
      <c r="I19" s="31">
        <v>30</v>
      </c>
      <c r="J19" s="31">
        <v>30</v>
      </c>
      <c r="K19" s="31">
        <v>30</v>
      </c>
      <c r="L19" s="31">
        <v>259</v>
      </c>
      <c r="M19" s="31">
        <v>248</v>
      </c>
      <c r="N19" s="31">
        <v>30</v>
      </c>
      <c r="O19" s="31">
        <v>30</v>
      </c>
      <c r="P19" s="31">
        <v>30</v>
      </c>
      <c r="Q19" s="31">
        <v>30</v>
      </c>
      <c r="R19" s="31">
        <v>30</v>
      </c>
      <c r="S19" s="31">
        <v>30</v>
      </c>
      <c r="T19" s="31">
        <v>210</v>
      </c>
      <c r="U19" s="32">
        <f t="shared" si="2"/>
        <v>78.230769230769226</v>
      </c>
      <c r="V19" s="28" t="s">
        <v>1889</v>
      </c>
    </row>
    <row r="20" spans="1:22" ht="30" customHeight="1">
      <c r="A20" s="28" t="s">
        <v>697</v>
      </c>
      <c r="B20" s="28" t="s">
        <v>1890</v>
      </c>
      <c r="C20" s="29" t="s">
        <v>1891</v>
      </c>
      <c r="D20" s="28" t="s">
        <v>270</v>
      </c>
      <c r="E20" s="28" t="s">
        <v>700</v>
      </c>
      <c r="F20" s="28">
        <f t="shared" si="0"/>
        <v>30</v>
      </c>
      <c r="G20" s="30">
        <f t="shared" si="1"/>
        <v>30.846153846153847</v>
      </c>
      <c r="H20" s="31">
        <v>30</v>
      </c>
      <c r="I20" s="31">
        <v>30</v>
      </c>
      <c r="J20" s="31">
        <v>30</v>
      </c>
      <c r="K20" s="31">
        <v>30</v>
      </c>
      <c r="L20" s="31">
        <v>177</v>
      </c>
      <c r="M20" s="31">
        <v>139</v>
      </c>
      <c r="N20" s="31">
        <v>30</v>
      </c>
      <c r="O20" s="31">
        <v>30</v>
      </c>
      <c r="P20" s="31">
        <v>30</v>
      </c>
      <c r="Q20" s="31">
        <v>30</v>
      </c>
      <c r="R20" s="31">
        <v>30</v>
      </c>
      <c r="S20" s="31">
        <v>30</v>
      </c>
      <c r="T20" s="31">
        <v>175</v>
      </c>
      <c r="U20" s="32">
        <f t="shared" si="2"/>
        <v>60.846153846153847</v>
      </c>
      <c r="V20" s="28" t="s">
        <v>1892</v>
      </c>
    </row>
    <row r="21" spans="1:22" ht="30" customHeight="1">
      <c r="A21" s="28" t="s">
        <v>697</v>
      </c>
      <c r="B21" s="28" t="s">
        <v>1893</v>
      </c>
      <c r="C21" s="29" t="s">
        <v>1894</v>
      </c>
      <c r="D21" s="28" t="s">
        <v>270</v>
      </c>
      <c r="E21" s="28" t="s">
        <v>700</v>
      </c>
      <c r="F21" s="28">
        <f t="shared" si="0"/>
        <v>30</v>
      </c>
      <c r="G21" s="30">
        <f t="shared" si="1"/>
        <v>0</v>
      </c>
      <c r="H21" s="31">
        <v>30</v>
      </c>
      <c r="I21" s="31">
        <v>30</v>
      </c>
      <c r="J21" s="31">
        <v>30</v>
      </c>
      <c r="K21" s="31">
        <v>30</v>
      </c>
      <c r="L21" s="31">
        <v>30</v>
      </c>
      <c r="M21" s="31">
        <v>30</v>
      </c>
      <c r="N21" s="31">
        <v>30</v>
      </c>
      <c r="O21" s="31">
        <v>30</v>
      </c>
      <c r="P21" s="31">
        <v>30</v>
      </c>
      <c r="Q21" s="31">
        <v>30</v>
      </c>
      <c r="R21" s="31">
        <v>30</v>
      </c>
      <c r="S21" s="31">
        <v>30</v>
      </c>
      <c r="T21" s="31">
        <v>30</v>
      </c>
      <c r="U21" s="32">
        <f t="shared" si="2"/>
        <v>30</v>
      </c>
      <c r="V21" s="28" t="s">
        <v>1895</v>
      </c>
    </row>
    <row r="22" spans="1:22" ht="30" customHeight="1">
      <c r="A22" s="28" t="s">
        <v>697</v>
      </c>
      <c r="B22" s="28" t="s">
        <v>1896</v>
      </c>
      <c r="C22" s="29" t="s">
        <v>1897</v>
      </c>
      <c r="D22" s="28" t="s">
        <v>270</v>
      </c>
      <c r="E22" s="28" t="s">
        <v>700</v>
      </c>
      <c r="F22" s="28">
        <f t="shared" si="0"/>
        <v>30</v>
      </c>
      <c r="G22" s="30">
        <f t="shared" si="1"/>
        <v>15.615384615384613</v>
      </c>
      <c r="H22" s="31">
        <v>30</v>
      </c>
      <c r="I22" s="31">
        <v>30</v>
      </c>
      <c r="J22" s="31">
        <v>30</v>
      </c>
      <c r="K22" s="31">
        <v>30</v>
      </c>
      <c r="L22" s="31">
        <v>30</v>
      </c>
      <c r="M22" s="31">
        <v>149</v>
      </c>
      <c r="N22" s="31">
        <v>30</v>
      </c>
      <c r="O22" s="31">
        <v>30</v>
      </c>
      <c r="P22" s="31">
        <v>30</v>
      </c>
      <c r="Q22" s="31">
        <v>30</v>
      </c>
      <c r="R22" s="31">
        <v>30</v>
      </c>
      <c r="S22" s="31">
        <v>30</v>
      </c>
      <c r="T22" s="31">
        <v>114</v>
      </c>
      <c r="U22" s="32">
        <f t="shared" si="2"/>
        <v>45.615384615384613</v>
      </c>
      <c r="V22" s="28" t="s">
        <v>1898</v>
      </c>
    </row>
    <row r="23" spans="1:22" ht="45" customHeight="1">
      <c r="A23" s="28" t="s">
        <v>697</v>
      </c>
      <c r="B23" s="28" t="s">
        <v>1899</v>
      </c>
      <c r="C23" s="29" t="s">
        <v>1900</v>
      </c>
      <c r="D23" s="28" t="s">
        <v>270</v>
      </c>
      <c r="E23" s="28" t="s">
        <v>700</v>
      </c>
      <c r="F23" s="28">
        <f t="shared" si="0"/>
        <v>30</v>
      </c>
      <c r="G23" s="30">
        <f t="shared" si="1"/>
        <v>10.769230769230766</v>
      </c>
      <c r="H23" s="31">
        <v>30</v>
      </c>
      <c r="I23" s="31">
        <v>30</v>
      </c>
      <c r="J23" s="31">
        <v>30</v>
      </c>
      <c r="K23" s="31">
        <v>30</v>
      </c>
      <c r="L23" s="31">
        <v>52</v>
      </c>
      <c r="M23" s="31">
        <v>51</v>
      </c>
      <c r="N23" s="31">
        <v>30</v>
      </c>
      <c r="O23" s="31">
        <v>30</v>
      </c>
      <c r="P23" s="31">
        <v>30</v>
      </c>
      <c r="Q23" s="31">
        <v>30</v>
      </c>
      <c r="R23" s="31">
        <v>30</v>
      </c>
      <c r="S23" s="31">
        <v>30</v>
      </c>
      <c r="T23" s="31">
        <v>127</v>
      </c>
      <c r="U23" s="32">
        <f t="shared" si="2"/>
        <v>40.769230769230766</v>
      </c>
      <c r="V23" s="28" t="s">
        <v>1901</v>
      </c>
    </row>
    <row r="24" spans="1:22" ht="30" customHeight="1">
      <c r="A24" s="28" t="s">
        <v>697</v>
      </c>
      <c r="B24" s="28" t="s">
        <v>1902</v>
      </c>
      <c r="C24" s="29" t="s">
        <v>1903</v>
      </c>
      <c r="D24" s="28" t="s">
        <v>270</v>
      </c>
      <c r="E24" s="28" t="s">
        <v>700</v>
      </c>
      <c r="F24" s="28">
        <f t="shared" si="0"/>
        <v>30</v>
      </c>
      <c r="G24" s="30">
        <f t="shared" si="1"/>
        <v>26.846153846153847</v>
      </c>
      <c r="H24" s="31">
        <v>30</v>
      </c>
      <c r="I24" s="31">
        <v>30</v>
      </c>
      <c r="J24" s="31">
        <v>30</v>
      </c>
      <c r="K24" s="31">
        <v>30</v>
      </c>
      <c r="L24" s="31">
        <v>154</v>
      </c>
      <c r="M24" s="31">
        <v>143</v>
      </c>
      <c r="N24" s="31">
        <v>30</v>
      </c>
      <c r="O24" s="31">
        <v>30</v>
      </c>
      <c r="P24" s="31">
        <v>30</v>
      </c>
      <c r="Q24" s="31">
        <v>30</v>
      </c>
      <c r="R24" s="31">
        <v>30</v>
      </c>
      <c r="S24" s="31">
        <v>30</v>
      </c>
      <c r="T24" s="31">
        <v>142</v>
      </c>
      <c r="U24" s="32">
        <f t="shared" si="2"/>
        <v>56.846153846153847</v>
      </c>
      <c r="V24" s="28" t="s">
        <v>1904</v>
      </c>
    </row>
    <row r="25" spans="1:22" ht="30" customHeight="1">
      <c r="A25" s="28" t="s">
        <v>697</v>
      </c>
      <c r="B25" s="28" t="s">
        <v>1905</v>
      </c>
      <c r="C25" s="29" t="s">
        <v>1906</v>
      </c>
      <c r="D25" s="28" t="s">
        <v>270</v>
      </c>
      <c r="E25" s="28" t="s">
        <v>700</v>
      </c>
      <c r="F25" s="28">
        <f t="shared" si="0"/>
        <v>30</v>
      </c>
      <c r="G25" s="30">
        <f t="shared" si="1"/>
        <v>0</v>
      </c>
      <c r="H25" s="31">
        <v>30</v>
      </c>
      <c r="I25" s="31">
        <v>30</v>
      </c>
      <c r="J25" s="31">
        <v>30</v>
      </c>
      <c r="K25" s="31">
        <v>30</v>
      </c>
      <c r="L25" s="31">
        <v>30</v>
      </c>
      <c r="M25" s="31">
        <v>30</v>
      </c>
      <c r="N25" s="31">
        <v>30</v>
      </c>
      <c r="O25" s="31">
        <v>30</v>
      </c>
      <c r="P25" s="31">
        <v>30</v>
      </c>
      <c r="Q25" s="31">
        <v>30</v>
      </c>
      <c r="R25" s="31">
        <v>30</v>
      </c>
      <c r="S25" s="31">
        <v>30</v>
      </c>
      <c r="T25" s="31">
        <v>30</v>
      </c>
      <c r="U25" s="32">
        <f t="shared" si="2"/>
        <v>30</v>
      </c>
      <c r="V25" s="28" t="s">
        <v>1907</v>
      </c>
    </row>
    <row r="26" spans="1:22" ht="30" customHeight="1">
      <c r="A26" s="28" t="s">
        <v>697</v>
      </c>
      <c r="B26" s="28" t="s">
        <v>1908</v>
      </c>
      <c r="C26" s="29" t="s">
        <v>1909</v>
      </c>
      <c r="D26" s="28" t="s">
        <v>270</v>
      </c>
      <c r="E26" s="28" t="s">
        <v>700</v>
      </c>
      <c r="F26" s="28">
        <f t="shared" si="0"/>
        <v>30</v>
      </c>
      <c r="G26" s="30">
        <f t="shared" si="1"/>
        <v>0</v>
      </c>
      <c r="H26" s="31">
        <v>30</v>
      </c>
      <c r="I26" s="31">
        <v>30</v>
      </c>
      <c r="J26" s="31">
        <v>30</v>
      </c>
      <c r="K26" s="31">
        <v>30</v>
      </c>
      <c r="L26" s="31">
        <v>30</v>
      </c>
      <c r="M26" s="31">
        <v>30</v>
      </c>
      <c r="N26" s="31">
        <v>30</v>
      </c>
      <c r="O26" s="31">
        <v>30</v>
      </c>
      <c r="P26" s="31">
        <v>30</v>
      </c>
      <c r="Q26" s="31">
        <v>30</v>
      </c>
      <c r="R26" s="31">
        <v>30</v>
      </c>
      <c r="S26" s="31">
        <v>30</v>
      </c>
      <c r="T26" s="31">
        <v>30</v>
      </c>
      <c r="U26" s="32">
        <f t="shared" si="2"/>
        <v>30</v>
      </c>
      <c r="V26" s="28" t="s">
        <v>1910</v>
      </c>
    </row>
    <row r="27" spans="1:22" ht="30" customHeight="1">
      <c r="A27" s="28" t="s">
        <v>697</v>
      </c>
      <c r="B27" s="28" t="s">
        <v>1911</v>
      </c>
      <c r="C27" s="29" t="s">
        <v>1912</v>
      </c>
      <c r="D27" s="28" t="s">
        <v>270</v>
      </c>
      <c r="E27" s="28" t="s">
        <v>700</v>
      </c>
      <c r="F27" s="28">
        <f t="shared" si="0"/>
        <v>30</v>
      </c>
      <c r="G27" s="30">
        <f t="shared" si="1"/>
        <v>50.15384615384616</v>
      </c>
      <c r="H27" s="31">
        <v>30</v>
      </c>
      <c r="I27" s="31">
        <v>30</v>
      </c>
      <c r="J27" s="31">
        <v>30</v>
      </c>
      <c r="K27" s="31">
        <v>30</v>
      </c>
      <c r="L27" s="31">
        <v>226</v>
      </c>
      <c r="M27" s="31">
        <v>249</v>
      </c>
      <c r="N27" s="31">
        <v>30</v>
      </c>
      <c r="O27" s="31">
        <v>30</v>
      </c>
      <c r="P27" s="31">
        <v>30</v>
      </c>
      <c r="Q27" s="31">
        <v>30</v>
      </c>
      <c r="R27" s="31">
        <v>30</v>
      </c>
      <c r="S27" s="31">
        <v>30</v>
      </c>
      <c r="T27" s="31">
        <v>267</v>
      </c>
      <c r="U27" s="32">
        <f t="shared" si="2"/>
        <v>80.15384615384616</v>
      </c>
      <c r="V27" s="28" t="s">
        <v>1913</v>
      </c>
    </row>
    <row r="28" spans="1:22" ht="30" customHeight="1">
      <c r="A28" s="28" t="s">
        <v>697</v>
      </c>
      <c r="B28" s="28" t="s">
        <v>1914</v>
      </c>
      <c r="C28" s="29" t="s">
        <v>1915</v>
      </c>
      <c r="D28" s="28" t="s">
        <v>270</v>
      </c>
      <c r="E28" s="28" t="s">
        <v>700</v>
      </c>
      <c r="F28" s="28">
        <f t="shared" si="0"/>
        <v>30</v>
      </c>
      <c r="G28" s="30">
        <f t="shared" si="1"/>
        <v>49.92307692307692</v>
      </c>
      <c r="H28" s="31">
        <v>30</v>
      </c>
      <c r="I28" s="31">
        <v>30</v>
      </c>
      <c r="J28" s="31">
        <v>30</v>
      </c>
      <c r="K28" s="31">
        <v>30</v>
      </c>
      <c r="L28" s="31">
        <v>252</v>
      </c>
      <c r="M28" s="31">
        <v>256</v>
      </c>
      <c r="N28" s="31">
        <v>30</v>
      </c>
      <c r="O28" s="31">
        <v>30</v>
      </c>
      <c r="P28" s="31">
        <v>30</v>
      </c>
      <c r="Q28" s="31">
        <v>30</v>
      </c>
      <c r="R28" s="31">
        <v>30</v>
      </c>
      <c r="S28" s="31">
        <v>30</v>
      </c>
      <c r="T28" s="31">
        <v>231</v>
      </c>
      <c r="U28" s="32">
        <f t="shared" si="2"/>
        <v>79.92307692307692</v>
      </c>
      <c r="V28" s="28" t="s">
        <v>1916</v>
      </c>
    </row>
    <row r="29" spans="1:22" ht="30" customHeight="1">
      <c r="A29" s="28" t="s">
        <v>697</v>
      </c>
      <c r="B29" s="28" t="s">
        <v>1917</v>
      </c>
      <c r="C29" s="29" t="s">
        <v>1918</v>
      </c>
      <c r="D29" s="28" t="s">
        <v>270</v>
      </c>
      <c r="E29" s="28" t="s">
        <v>700</v>
      </c>
      <c r="F29" s="28">
        <f t="shared" si="0"/>
        <v>30</v>
      </c>
      <c r="G29" s="30">
        <f t="shared" si="1"/>
        <v>58.384615384615387</v>
      </c>
      <c r="H29" s="31">
        <v>30</v>
      </c>
      <c r="I29" s="31">
        <v>30</v>
      </c>
      <c r="J29" s="31">
        <v>30</v>
      </c>
      <c r="K29" s="31">
        <v>30</v>
      </c>
      <c r="L29" s="31">
        <v>289</v>
      </c>
      <c r="M29" s="31">
        <v>278</v>
      </c>
      <c r="N29" s="31">
        <v>30</v>
      </c>
      <c r="O29" s="31">
        <v>30</v>
      </c>
      <c r="P29" s="31">
        <v>30</v>
      </c>
      <c r="Q29" s="31">
        <v>30</v>
      </c>
      <c r="R29" s="31">
        <v>30</v>
      </c>
      <c r="S29" s="31">
        <v>30</v>
      </c>
      <c r="T29" s="31">
        <v>282</v>
      </c>
      <c r="U29" s="32">
        <f t="shared" si="2"/>
        <v>88.384615384615387</v>
      </c>
      <c r="V29" s="28" t="s">
        <v>1919</v>
      </c>
    </row>
    <row r="30" spans="1:22" ht="30" customHeight="1">
      <c r="A30" s="28" t="s">
        <v>697</v>
      </c>
      <c r="B30" s="28" t="s">
        <v>1920</v>
      </c>
      <c r="C30" s="29" t="s">
        <v>1921</v>
      </c>
      <c r="D30" s="28" t="s">
        <v>270</v>
      </c>
      <c r="E30" s="28" t="s">
        <v>700</v>
      </c>
      <c r="F30" s="28">
        <f t="shared" si="0"/>
        <v>30</v>
      </c>
      <c r="G30" s="30">
        <f t="shared" si="1"/>
        <v>108.61538461538461</v>
      </c>
      <c r="H30" s="31">
        <v>30</v>
      </c>
      <c r="I30" s="31">
        <v>30</v>
      </c>
      <c r="J30" s="31">
        <v>30</v>
      </c>
      <c r="K30" s="31">
        <v>30</v>
      </c>
      <c r="L30" s="31">
        <v>495</v>
      </c>
      <c r="M30" s="31">
        <v>508</v>
      </c>
      <c r="N30" s="31">
        <v>30</v>
      </c>
      <c r="O30" s="31">
        <v>30</v>
      </c>
      <c r="P30" s="31">
        <v>30</v>
      </c>
      <c r="Q30" s="31">
        <v>30</v>
      </c>
      <c r="R30" s="31">
        <v>30</v>
      </c>
      <c r="S30" s="31">
        <v>30</v>
      </c>
      <c r="T30" s="31">
        <v>499</v>
      </c>
      <c r="U30" s="32">
        <f t="shared" si="2"/>
        <v>138.61538461538461</v>
      </c>
      <c r="V30" s="28" t="s">
        <v>1922</v>
      </c>
    </row>
    <row r="31" spans="1:22" ht="30" customHeight="1">
      <c r="A31" s="28" t="s">
        <v>697</v>
      </c>
      <c r="B31" s="28" t="s">
        <v>1923</v>
      </c>
      <c r="C31" s="29" t="s">
        <v>1924</v>
      </c>
      <c r="D31" s="28" t="s">
        <v>270</v>
      </c>
      <c r="E31" s="28" t="s">
        <v>700</v>
      </c>
      <c r="F31" s="28">
        <f t="shared" si="0"/>
        <v>30</v>
      </c>
      <c r="G31" s="30">
        <f t="shared" si="1"/>
        <v>578.61538461538464</v>
      </c>
      <c r="H31" s="31">
        <v>30</v>
      </c>
      <c r="I31" s="31">
        <v>30</v>
      </c>
      <c r="J31" s="31">
        <v>30</v>
      </c>
      <c r="K31" s="31">
        <v>30</v>
      </c>
      <c r="L31" s="31">
        <v>4325</v>
      </c>
      <c r="M31" s="31">
        <v>2442</v>
      </c>
      <c r="N31" s="31">
        <v>30</v>
      </c>
      <c r="O31" s="31">
        <v>30</v>
      </c>
      <c r="P31" s="31">
        <v>30</v>
      </c>
      <c r="Q31" s="31">
        <v>30</v>
      </c>
      <c r="R31" s="31">
        <v>30</v>
      </c>
      <c r="S31" s="31">
        <v>30</v>
      </c>
      <c r="T31" s="31">
        <v>845</v>
      </c>
      <c r="U31" s="32">
        <f t="shared" si="2"/>
        <v>608.61538461538464</v>
      </c>
      <c r="V31" s="28" t="s">
        <v>1925</v>
      </c>
    </row>
    <row r="32" spans="1:22" ht="30" customHeight="1">
      <c r="A32" s="28" t="s">
        <v>697</v>
      </c>
      <c r="B32" s="28" t="s">
        <v>1926</v>
      </c>
      <c r="C32" s="29" t="s">
        <v>1927</v>
      </c>
      <c r="D32" s="28" t="s">
        <v>270</v>
      </c>
      <c r="E32" s="28" t="s">
        <v>700</v>
      </c>
      <c r="F32" s="28">
        <f t="shared" si="0"/>
        <v>30</v>
      </c>
      <c r="G32" s="30">
        <f t="shared" si="1"/>
        <v>295.15384615384613</v>
      </c>
      <c r="H32" s="31">
        <v>30</v>
      </c>
      <c r="I32" s="31">
        <v>30</v>
      </c>
      <c r="J32" s="31">
        <v>30</v>
      </c>
      <c r="K32" s="31">
        <v>30</v>
      </c>
      <c r="L32" s="31">
        <v>1249</v>
      </c>
      <c r="M32" s="31">
        <v>1434</v>
      </c>
      <c r="N32" s="31">
        <v>30</v>
      </c>
      <c r="O32" s="31">
        <v>30</v>
      </c>
      <c r="P32" s="31">
        <v>30</v>
      </c>
      <c r="Q32" s="31">
        <v>30</v>
      </c>
      <c r="R32" s="31">
        <v>30</v>
      </c>
      <c r="S32" s="31">
        <v>30</v>
      </c>
      <c r="T32" s="31">
        <v>1244</v>
      </c>
      <c r="U32" s="32">
        <f t="shared" si="2"/>
        <v>325.15384615384613</v>
      </c>
      <c r="V32" s="28" t="s">
        <v>1928</v>
      </c>
    </row>
    <row r="33" spans="1:22" ht="30" customHeight="1">
      <c r="A33" s="28" t="s">
        <v>697</v>
      </c>
      <c r="B33" s="28" t="s">
        <v>1929</v>
      </c>
      <c r="C33" s="29" t="s">
        <v>1930</v>
      </c>
      <c r="D33" s="28" t="s">
        <v>270</v>
      </c>
      <c r="E33" s="28" t="s">
        <v>700</v>
      </c>
      <c r="F33" s="28">
        <f t="shared" si="0"/>
        <v>30</v>
      </c>
      <c r="G33" s="30">
        <f t="shared" si="1"/>
        <v>38.461538461538467</v>
      </c>
      <c r="H33" s="31">
        <v>30</v>
      </c>
      <c r="I33" s="31">
        <v>30</v>
      </c>
      <c r="J33" s="31">
        <v>30</v>
      </c>
      <c r="K33" s="31">
        <v>30</v>
      </c>
      <c r="L33" s="31">
        <v>263</v>
      </c>
      <c r="M33" s="31">
        <v>170</v>
      </c>
      <c r="N33" s="31">
        <v>30</v>
      </c>
      <c r="O33" s="31">
        <v>30</v>
      </c>
      <c r="P33" s="31">
        <v>30</v>
      </c>
      <c r="Q33" s="31">
        <v>30</v>
      </c>
      <c r="R33" s="31">
        <v>30</v>
      </c>
      <c r="S33" s="31">
        <v>30</v>
      </c>
      <c r="T33" s="31">
        <v>157</v>
      </c>
      <c r="U33" s="32">
        <f t="shared" si="2"/>
        <v>68.461538461538467</v>
      </c>
      <c r="V33" s="28" t="s">
        <v>1931</v>
      </c>
    </row>
    <row r="34" spans="1:22" ht="30" customHeight="1">
      <c r="A34" s="28" t="s">
        <v>697</v>
      </c>
      <c r="B34" s="28" t="s">
        <v>1932</v>
      </c>
      <c r="C34" s="29" t="s">
        <v>1933</v>
      </c>
      <c r="D34" s="28" t="s">
        <v>270</v>
      </c>
      <c r="E34" s="28" t="s">
        <v>700</v>
      </c>
      <c r="F34" s="28">
        <f t="shared" si="0"/>
        <v>30</v>
      </c>
      <c r="G34" s="30">
        <f t="shared" si="1"/>
        <v>30.384615384615387</v>
      </c>
      <c r="H34" s="31">
        <v>30</v>
      </c>
      <c r="I34" s="31">
        <v>30</v>
      </c>
      <c r="J34" s="31">
        <v>30</v>
      </c>
      <c r="K34" s="31">
        <v>30</v>
      </c>
      <c r="L34" s="31">
        <v>239</v>
      </c>
      <c r="M34" s="31">
        <v>147</v>
      </c>
      <c r="N34" s="31">
        <v>30</v>
      </c>
      <c r="O34" s="31">
        <v>30</v>
      </c>
      <c r="P34" s="31">
        <v>30</v>
      </c>
      <c r="Q34" s="31">
        <v>30</v>
      </c>
      <c r="R34" s="31">
        <v>30</v>
      </c>
      <c r="S34" s="31">
        <v>30</v>
      </c>
      <c r="T34" s="31">
        <v>99</v>
      </c>
      <c r="U34" s="32">
        <f t="shared" si="2"/>
        <v>60.384615384615387</v>
      </c>
      <c r="V34" s="28" t="s">
        <v>1934</v>
      </c>
    </row>
    <row r="35" spans="1:22" ht="30" customHeight="1">
      <c r="A35" s="28" t="s">
        <v>697</v>
      </c>
      <c r="B35" s="28" t="s">
        <v>1935</v>
      </c>
      <c r="C35" s="29" t="s">
        <v>1936</v>
      </c>
      <c r="D35" s="28" t="s">
        <v>270</v>
      </c>
      <c r="E35" s="28" t="s">
        <v>700</v>
      </c>
      <c r="F35" s="28">
        <f t="shared" si="0"/>
        <v>30</v>
      </c>
      <c r="G35" s="30">
        <f t="shared" si="1"/>
        <v>49.461538461538467</v>
      </c>
      <c r="H35" s="31">
        <v>30</v>
      </c>
      <c r="I35" s="31">
        <v>30</v>
      </c>
      <c r="J35" s="31">
        <v>30</v>
      </c>
      <c r="K35" s="31">
        <v>30</v>
      </c>
      <c r="L35" s="31">
        <v>240</v>
      </c>
      <c r="M35" s="31">
        <v>247</v>
      </c>
      <c r="N35" s="31">
        <v>30</v>
      </c>
      <c r="O35" s="31">
        <v>30</v>
      </c>
      <c r="P35" s="31">
        <v>30</v>
      </c>
      <c r="Q35" s="31">
        <v>30</v>
      </c>
      <c r="R35" s="31">
        <v>30</v>
      </c>
      <c r="S35" s="31">
        <v>30</v>
      </c>
      <c r="T35" s="31">
        <v>246</v>
      </c>
      <c r="U35" s="32">
        <f t="shared" si="2"/>
        <v>79.461538461538467</v>
      </c>
      <c r="V35" s="28" t="s">
        <v>1937</v>
      </c>
    </row>
    <row r="36" spans="1:22" ht="30" customHeight="1">
      <c r="A36" s="28" t="s">
        <v>697</v>
      </c>
      <c r="B36" s="28" t="s">
        <v>1938</v>
      </c>
      <c r="C36" s="29" t="s">
        <v>1939</v>
      </c>
      <c r="D36" s="28" t="s">
        <v>270</v>
      </c>
      <c r="E36" s="28" t="s">
        <v>700</v>
      </c>
      <c r="F36" s="28">
        <f t="shared" si="0"/>
        <v>30</v>
      </c>
      <c r="G36" s="30">
        <f t="shared" si="1"/>
        <v>11.230769230769234</v>
      </c>
      <c r="H36" s="31">
        <v>30</v>
      </c>
      <c r="I36" s="31">
        <v>30</v>
      </c>
      <c r="J36" s="31">
        <v>30</v>
      </c>
      <c r="K36" s="31">
        <v>30</v>
      </c>
      <c r="L36" s="31">
        <v>98</v>
      </c>
      <c r="M36" s="31">
        <v>93</v>
      </c>
      <c r="N36" s="31">
        <v>30</v>
      </c>
      <c r="O36" s="31">
        <v>30</v>
      </c>
      <c r="P36" s="31">
        <v>30</v>
      </c>
      <c r="Q36" s="31">
        <v>30</v>
      </c>
      <c r="R36" s="31">
        <v>30</v>
      </c>
      <c r="S36" s="31">
        <v>30</v>
      </c>
      <c r="T36" s="31">
        <v>45</v>
      </c>
      <c r="U36" s="32">
        <f t="shared" si="2"/>
        <v>41.230769230769234</v>
      </c>
      <c r="V36" s="28" t="s">
        <v>1940</v>
      </c>
    </row>
    <row r="37" spans="1:22" ht="30" customHeight="1">
      <c r="A37" s="28" t="s">
        <v>697</v>
      </c>
      <c r="B37" s="28" t="s">
        <v>1941</v>
      </c>
      <c r="C37" s="29" t="s">
        <v>1942</v>
      </c>
      <c r="D37" s="28" t="s">
        <v>270</v>
      </c>
      <c r="E37" s="28" t="s">
        <v>700</v>
      </c>
      <c r="F37" s="28">
        <f t="shared" si="0"/>
        <v>30</v>
      </c>
      <c r="G37" s="30">
        <f t="shared" si="1"/>
        <v>75.692307692307693</v>
      </c>
      <c r="H37" s="31">
        <v>30</v>
      </c>
      <c r="I37" s="31">
        <v>30</v>
      </c>
      <c r="J37" s="31">
        <v>30</v>
      </c>
      <c r="K37" s="31">
        <v>30</v>
      </c>
      <c r="L37" s="31">
        <v>364</v>
      </c>
      <c r="M37" s="31">
        <v>360</v>
      </c>
      <c r="N37" s="31">
        <v>30</v>
      </c>
      <c r="O37" s="31">
        <v>30</v>
      </c>
      <c r="P37" s="31">
        <v>30</v>
      </c>
      <c r="Q37" s="31">
        <v>30</v>
      </c>
      <c r="R37" s="31">
        <v>30</v>
      </c>
      <c r="S37" s="31">
        <v>30</v>
      </c>
      <c r="T37" s="31">
        <v>350</v>
      </c>
      <c r="U37" s="32">
        <f t="shared" si="2"/>
        <v>105.69230769230769</v>
      </c>
      <c r="V37" s="28" t="s">
        <v>1943</v>
      </c>
    </row>
    <row r="38" spans="1:22" ht="30" customHeight="1">
      <c r="A38" s="28" t="s">
        <v>697</v>
      </c>
      <c r="B38" s="28" t="s">
        <v>1944</v>
      </c>
      <c r="C38" s="29" t="s">
        <v>1945</v>
      </c>
      <c r="D38" s="28" t="s">
        <v>270</v>
      </c>
      <c r="E38" s="28" t="s">
        <v>700</v>
      </c>
      <c r="F38" s="28">
        <f t="shared" si="0"/>
        <v>30</v>
      </c>
      <c r="G38" s="30">
        <f t="shared" si="1"/>
        <v>0</v>
      </c>
      <c r="H38" s="31">
        <v>30</v>
      </c>
      <c r="I38" s="31">
        <v>30</v>
      </c>
      <c r="J38" s="31">
        <v>30</v>
      </c>
      <c r="K38" s="31">
        <v>30</v>
      </c>
      <c r="L38" s="31">
        <v>30</v>
      </c>
      <c r="M38" s="31">
        <v>30</v>
      </c>
      <c r="N38" s="31">
        <v>30</v>
      </c>
      <c r="O38" s="31">
        <v>30</v>
      </c>
      <c r="P38" s="31">
        <v>30</v>
      </c>
      <c r="Q38" s="31">
        <v>30</v>
      </c>
      <c r="R38" s="31">
        <v>30</v>
      </c>
      <c r="S38" s="31">
        <v>30</v>
      </c>
      <c r="T38" s="31">
        <v>30</v>
      </c>
      <c r="U38" s="32">
        <f t="shared" si="2"/>
        <v>30</v>
      </c>
      <c r="V38" s="28" t="s">
        <v>1946</v>
      </c>
    </row>
    <row r="39" spans="1:22" ht="30" customHeight="1">
      <c r="A39" s="28" t="s">
        <v>697</v>
      </c>
      <c r="B39" s="28" t="s">
        <v>1947</v>
      </c>
      <c r="C39" s="29" t="s">
        <v>1948</v>
      </c>
      <c r="D39" s="28" t="s">
        <v>270</v>
      </c>
      <c r="E39" s="28" t="s">
        <v>700</v>
      </c>
      <c r="F39" s="28">
        <f t="shared" si="0"/>
        <v>30</v>
      </c>
      <c r="G39" s="30">
        <f t="shared" si="1"/>
        <v>50.15384615384616</v>
      </c>
      <c r="H39" s="31">
        <v>30</v>
      </c>
      <c r="I39" s="31">
        <v>30</v>
      </c>
      <c r="J39" s="31">
        <v>30</v>
      </c>
      <c r="K39" s="31">
        <v>30</v>
      </c>
      <c r="L39" s="31">
        <v>248</v>
      </c>
      <c r="M39" s="31">
        <v>271</v>
      </c>
      <c r="N39" s="31">
        <v>30</v>
      </c>
      <c r="O39" s="31">
        <v>30</v>
      </c>
      <c r="P39" s="31">
        <v>30</v>
      </c>
      <c r="Q39" s="31">
        <v>30</v>
      </c>
      <c r="R39" s="31">
        <v>30</v>
      </c>
      <c r="S39" s="31">
        <v>30</v>
      </c>
      <c r="T39" s="31">
        <v>223</v>
      </c>
      <c r="U39" s="32">
        <f t="shared" si="2"/>
        <v>80.15384615384616</v>
      </c>
      <c r="V39" s="28" t="s">
        <v>1949</v>
      </c>
    </row>
    <row r="40" spans="1:22" ht="30" customHeight="1">
      <c r="A40" s="28" t="s">
        <v>697</v>
      </c>
      <c r="B40" s="28" t="s">
        <v>1950</v>
      </c>
      <c r="C40" s="29" t="s">
        <v>1951</v>
      </c>
      <c r="D40" s="28" t="s">
        <v>270</v>
      </c>
      <c r="E40" s="28" t="s">
        <v>700</v>
      </c>
      <c r="F40" s="28">
        <f t="shared" si="0"/>
        <v>30</v>
      </c>
      <c r="G40" s="30">
        <f t="shared" si="1"/>
        <v>164.76923076923077</v>
      </c>
      <c r="H40" s="31">
        <v>30</v>
      </c>
      <c r="I40" s="31">
        <v>30</v>
      </c>
      <c r="J40" s="31">
        <v>30</v>
      </c>
      <c r="K40" s="31">
        <v>30</v>
      </c>
      <c r="L40" s="31">
        <v>710</v>
      </c>
      <c r="M40" s="31">
        <v>726</v>
      </c>
      <c r="N40" s="31">
        <v>30</v>
      </c>
      <c r="O40" s="31">
        <v>30</v>
      </c>
      <c r="P40" s="31">
        <v>30</v>
      </c>
      <c r="Q40" s="31">
        <v>30</v>
      </c>
      <c r="R40" s="31">
        <v>30</v>
      </c>
      <c r="S40" s="31">
        <v>30</v>
      </c>
      <c r="T40" s="31">
        <v>796</v>
      </c>
      <c r="U40" s="32">
        <f t="shared" si="2"/>
        <v>194.76923076923077</v>
      </c>
      <c r="V40" s="28" t="s">
        <v>1952</v>
      </c>
    </row>
    <row r="41" spans="1:22" ht="30" customHeight="1">
      <c r="A41" s="28" t="s">
        <v>697</v>
      </c>
      <c r="B41" s="28" t="s">
        <v>1953</v>
      </c>
      <c r="C41" s="29" t="s">
        <v>1954</v>
      </c>
      <c r="D41" s="28" t="s">
        <v>270</v>
      </c>
      <c r="E41" s="28" t="s">
        <v>700</v>
      </c>
      <c r="F41" s="28">
        <f t="shared" si="0"/>
        <v>30</v>
      </c>
      <c r="G41" s="30">
        <f t="shared" si="1"/>
        <v>57.230769230769226</v>
      </c>
      <c r="H41" s="31">
        <v>30</v>
      </c>
      <c r="I41" s="31">
        <v>30</v>
      </c>
      <c r="J41" s="31">
        <v>30</v>
      </c>
      <c r="K41" s="31">
        <v>30</v>
      </c>
      <c r="L41" s="31">
        <v>299</v>
      </c>
      <c r="M41" s="31">
        <v>48</v>
      </c>
      <c r="N41" s="31">
        <v>30</v>
      </c>
      <c r="O41" s="31">
        <v>30</v>
      </c>
      <c r="P41" s="31">
        <v>30</v>
      </c>
      <c r="Q41" s="31">
        <v>30</v>
      </c>
      <c r="R41" s="31">
        <v>30</v>
      </c>
      <c r="S41" s="31">
        <v>30</v>
      </c>
      <c r="T41" s="31">
        <v>487</v>
      </c>
      <c r="U41" s="32">
        <f t="shared" si="2"/>
        <v>87.230769230769226</v>
      </c>
      <c r="V41" s="28" t="s">
        <v>1955</v>
      </c>
    </row>
    <row r="42" spans="1:22" ht="30" customHeight="1">
      <c r="A42" s="28" t="s">
        <v>697</v>
      </c>
      <c r="B42" s="28" t="s">
        <v>1956</v>
      </c>
      <c r="C42" s="29" t="s">
        <v>1957</v>
      </c>
      <c r="D42" s="28" t="s">
        <v>270</v>
      </c>
      <c r="E42" s="28" t="s">
        <v>700</v>
      </c>
      <c r="F42" s="28">
        <f t="shared" si="0"/>
        <v>30</v>
      </c>
      <c r="G42" s="30">
        <f t="shared" si="1"/>
        <v>4.3846153846153868</v>
      </c>
      <c r="H42" s="31">
        <v>30</v>
      </c>
      <c r="I42" s="31">
        <v>30</v>
      </c>
      <c r="J42" s="31">
        <v>30</v>
      </c>
      <c r="K42" s="31">
        <v>30</v>
      </c>
      <c r="L42" s="31">
        <v>48</v>
      </c>
      <c r="M42" s="31">
        <v>50</v>
      </c>
      <c r="N42" s="31">
        <v>30</v>
      </c>
      <c r="O42" s="31">
        <v>30</v>
      </c>
      <c r="P42" s="31">
        <v>30</v>
      </c>
      <c r="Q42" s="31">
        <v>30</v>
      </c>
      <c r="R42" s="31">
        <v>30</v>
      </c>
      <c r="S42" s="31">
        <v>30</v>
      </c>
      <c r="T42" s="31">
        <v>49</v>
      </c>
      <c r="U42" s="32">
        <f t="shared" si="2"/>
        <v>34.384615384615387</v>
      </c>
      <c r="V42" s="28" t="s">
        <v>1958</v>
      </c>
    </row>
    <row r="43" spans="1:22" ht="30" customHeight="1">
      <c r="A43" s="28" t="s">
        <v>697</v>
      </c>
      <c r="B43" s="28" t="s">
        <v>1959</v>
      </c>
      <c r="C43" s="29" t="s">
        <v>1960</v>
      </c>
      <c r="D43" s="28" t="s">
        <v>270</v>
      </c>
      <c r="E43" s="28" t="s">
        <v>700</v>
      </c>
      <c r="F43" s="28">
        <f t="shared" si="0"/>
        <v>30</v>
      </c>
      <c r="G43" s="30">
        <f t="shared" si="1"/>
        <v>13.230769230769234</v>
      </c>
      <c r="H43" s="31">
        <v>30</v>
      </c>
      <c r="I43" s="31">
        <v>30</v>
      </c>
      <c r="J43" s="31">
        <v>30</v>
      </c>
      <c r="K43" s="31">
        <v>30</v>
      </c>
      <c r="L43" s="31">
        <v>67</v>
      </c>
      <c r="M43" s="31">
        <v>118</v>
      </c>
      <c r="N43" s="31">
        <v>30</v>
      </c>
      <c r="O43" s="31">
        <v>30</v>
      </c>
      <c r="P43" s="31">
        <v>30</v>
      </c>
      <c r="Q43" s="31">
        <v>30</v>
      </c>
      <c r="R43" s="31">
        <v>30</v>
      </c>
      <c r="S43" s="31">
        <v>30</v>
      </c>
      <c r="T43" s="31">
        <v>77</v>
      </c>
      <c r="U43" s="32">
        <f t="shared" si="2"/>
        <v>43.230769230769234</v>
      </c>
      <c r="V43" s="28" t="s">
        <v>1961</v>
      </c>
    </row>
    <row r="44" spans="1:22" ht="30" customHeight="1">
      <c r="A44" s="28" t="s">
        <v>697</v>
      </c>
      <c r="B44" s="28" t="s">
        <v>1962</v>
      </c>
      <c r="C44" s="29" t="s">
        <v>1963</v>
      </c>
      <c r="D44" s="28" t="s">
        <v>270</v>
      </c>
      <c r="E44" s="28" t="s">
        <v>700</v>
      </c>
      <c r="F44" s="28">
        <f t="shared" si="0"/>
        <v>30</v>
      </c>
      <c r="G44" s="30">
        <f t="shared" si="1"/>
        <v>0</v>
      </c>
      <c r="H44" s="31">
        <v>30</v>
      </c>
      <c r="I44" s="31">
        <v>30</v>
      </c>
      <c r="J44" s="31">
        <v>30</v>
      </c>
      <c r="K44" s="31">
        <v>30</v>
      </c>
      <c r="L44" s="31">
        <v>30</v>
      </c>
      <c r="M44" s="31">
        <v>30</v>
      </c>
      <c r="N44" s="31">
        <v>30</v>
      </c>
      <c r="O44" s="31">
        <v>30</v>
      </c>
      <c r="P44" s="31">
        <v>30</v>
      </c>
      <c r="Q44" s="31">
        <v>30</v>
      </c>
      <c r="R44" s="31">
        <v>30</v>
      </c>
      <c r="S44" s="31">
        <v>30</v>
      </c>
      <c r="T44" s="31">
        <v>30</v>
      </c>
      <c r="U44" s="32">
        <f t="shared" si="2"/>
        <v>30</v>
      </c>
      <c r="V44" s="28" t="s">
        <v>1913</v>
      </c>
    </row>
    <row r="45" spans="1:22" ht="30" customHeight="1">
      <c r="A45" s="28" t="s">
        <v>697</v>
      </c>
      <c r="B45" s="28" t="s">
        <v>1964</v>
      </c>
      <c r="C45" s="29" t="s">
        <v>1965</v>
      </c>
      <c r="D45" s="28" t="s">
        <v>270</v>
      </c>
      <c r="E45" s="28" t="s">
        <v>700</v>
      </c>
      <c r="F45" s="28">
        <f t="shared" si="0"/>
        <v>30</v>
      </c>
      <c r="G45" s="30">
        <f t="shared" si="1"/>
        <v>30</v>
      </c>
      <c r="H45" s="31">
        <v>30</v>
      </c>
      <c r="I45" s="31">
        <v>30</v>
      </c>
      <c r="J45" s="31">
        <v>30</v>
      </c>
      <c r="K45" s="31">
        <v>30</v>
      </c>
      <c r="L45" s="31">
        <v>30</v>
      </c>
      <c r="M45" s="31">
        <v>30</v>
      </c>
      <c r="N45" s="31">
        <v>30</v>
      </c>
      <c r="O45" s="31">
        <v>30</v>
      </c>
      <c r="P45" s="31">
        <v>30</v>
      </c>
      <c r="Q45" s="31">
        <v>30</v>
      </c>
      <c r="R45" s="31">
        <v>30</v>
      </c>
      <c r="S45" s="31">
        <v>30</v>
      </c>
      <c r="T45" s="31">
        <v>420</v>
      </c>
      <c r="U45" s="32">
        <f t="shared" si="2"/>
        <v>60</v>
      </c>
      <c r="V45" s="28" t="s">
        <v>1966</v>
      </c>
    </row>
    <row r="46" spans="1:22" ht="30" customHeight="1">
      <c r="A46" s="28" t="s">
        <v>697</v>
      </c>
      <c r="B46" s="28" t="s">
        <v>1967</v>
      </c>
      <c r="C46" s="29" t="s">
        <v>1968</v>
      </c>
      <c r="D46" s="28" t="s">
        <v>270</v>
      </c>
      <c r="E46" s="28" t="s">
        <v>700</v>
      </c>
      <c r="F46" s="28">
        <f t="shared" si="0"/>
        <v>30</v>
      </c>
      <c r="G46" s="30">
        <f t="shared" si="1"/>
        <v>49.692307692307693</v>
      </c>
      <c r="H46" s="31">
        <v>30</v>
      </c>
      <c r="I46" s="31">
        <v>30</v>
      </c>
      <c r="J46" s="31">
        <v>30</v>
      </c>
      <c r="K46" s="31">
        <v>30</v>
      </c>
      <c r="L46" s="31">
        <v>428</v>
      </c>
      <c r="M46" s="31">
        <v>30</v>
      </c>
      <c r="N46" s="31">
        <v>30</v>
      </c>
      <c r="O46" s="31">
        <v>30</v>
      </c>
      <c r="P46" s="31">
        <v>30</v>
      </c>
      <c r="Q46" s="31">
        <v>30</v>
      </c>
      <c r="R46" s="31">
        <v>30</v>
      </c>
      <c r="S46" s="31">
        <v>30</v>
      </c>
      <c r="T46" s="31">
        <v>278</v>
      </c>
      <c r="U46" s="32">
        <f t="shared" si="2"/>
        <v>79.692307692307693</v>
      </c>
      <c r="V46" s="28" t="s">
        <v>1969</v>
      </c>
    </row>
    <row r="47" spans="1:22">
      <c r="A47" s="33"/>
      <c r="B47" s="33"/>
      <c r="C47" s="33"/>
      <c r="D47" s="33"/>
      <c r="E47" s="33"/>
      <c r="F47" s="33"/>
      <c r="G47" s="34">
        <f>SUM(G5:G46)</f>
        <v>168585.94569230769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4"/>
      <c r="V47" s="33"/>
    </row>
    <row r="48" spans="1:2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4"/>
      <c r="V48" s="33"/>
    </row>
    <row r="49" spans="1:2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4"/>
      <c r="V49" s="33"/>
    </row>
    <row r="50" spans="1:2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4"/>
      <c r="V50" s="33"/>
    </row>
    <row r="51" spans="1:2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4"/>
      <c r="V51" s="33"/>
    </row>
    <row r="52" spans="1:2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4"/>
      <c r="V52" s="33"/>
    </row>
    <row r="53" spans="1:2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4"/>
      <c r="V53" s="33"/>
    </row>
    <row r="54" spans="1:2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4"/>
      <c r="V54" s="33"/>
    </row>
    <row r="55" spans="1:2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4"/>
      <c r="V55" s="33"/>
    </row>
    <row r="56" spans="1:22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4"/>
      <c r="V56" s="33"/>
    </row>
    <row r="57" spans="1:2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4"/>
      <c r="V57" s="33"/>
    </row>
    <row r="58" spans="1:2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4"/>
      <c r="V58" s="33"/>
    </row>
    <row r="59" spans="1:2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4"/>
      <c r="V59" s="33"/>
    </row>
    <row r="60" spans="1:2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4"/>
      <c r="V60" s="33"/>
    </row>
    <row r="61" spans="1:2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4"/>
      <c r="V61" s="33"/>
    </row>
    <row r="62" spans="1:2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4"/>
      <c r="V62" s="33"/>
    </row>
    <row r="63" spans="1:2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4"/>
      <c r="V63" s="33"/>
    </row>
    <row r="64" spans="1:22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4"/>
      <c r="V64" s="33"/>
    </row>
    <row r="65" spans="1:22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4"/>
      <c r="V65" s="33"/>
    </row>
    <row r="66" spans="1:2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4"/>
      <c r="V66" s="33"/>
    </row>
    <row r="67" spans="1:2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4"/>
      <c r="V67" s="33"/>
    </row>
    <row r="68" spans="1:22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4"/>
      <c r="V68" s="33"/>
    </row>
    <row r="69" spans="1:2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4"/>
      <c r="V69" s="33"/>
    </row>
    <row r="70" spans="1:2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4"/>
      <c r="V70" s="33"/>
    </row>
    <row r="71" spans="1:2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4"/>
      <c r="V71" s="33"/>
    </row>
    <row r="72" spans="1:2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4"/>
      <c r="V72" s="33"/>
    </row>
    <row r="73" spans="1:2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4"/>
      <c r="V73" s="33"/>
    </row>
    <row r="74" spans="1:2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4"/>
      <c r="V74" s="33"/>
    </row>
    <row r="75" spans="1:2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4"/>
      <c r="V75" s="33"/>
    </row>
    <row r="76" spans="1:2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4"/>
      <c r="V76" s="33"/>
    </row>
    <row r="77" spans="1:2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4"/>
      <c r="V77" s="33"/>
    </row>
    <row r="78" spans="1:2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4"/>
      <c r="V78" s="33"/>
    </row>
    <row r="79" spans="1:2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4"/>
      <c r="V79" s="33"/>
    </row>
    <row r="80" spans="1:2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4"/>
      <c r="V80" s="33"/>
    </row>
    <row r="81" spans="1:2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4"/>
      <c r="V81" s="33"/>
    </row>
    <row r="82" spans="1:2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4"/>
      <c r="V82" s="33"/>
    </row>
    <row r="83" spans="1:2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4"/>
      <c r="V83" s="33"/>
    </row>
    <row r="84" spans="1:2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4"/>
      <c r="V84" s="33"/>
    </row>
    <row r="85" spans="1:2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4"/>
      <c r="V85" s="33"/>
    </row>
    <row r="86" spans="1:2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4"/>
      <c r="V86" s="33"/>
    </row>
    <row r="87" spans="1:2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4"/>
      <c r="V87" s="33"/>
    </row>
    <row r="88" spans="1:2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4"/>
      <c r="V88" s="33"/>
    </row>
    <row r="89" spans="1:2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4"/>
      <c r="V89" s="33"/>
    </row>
    <row r="90" spans="1:2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4"/>
      <c r="V90" s="33"/>
    </row>
    <row r="91" spans="1:2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4"/>
      <c r="V91" s="33"/>
    </row>
    <row r="92" spans="1:2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4"/>
      <c r="V92" s="33"/>
    </row>
    <row r="93" spans="1:2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4"/>
      <c r="V93" s="33"/>
    </row>
    <row r="94" spans="1:2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4"/>
      <c r="V94" s="33"/>
    </row>
    <row r="95" spans="1:2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4"/>
      <c r="V95" s="33"/>
    </row>
    <row r="96" spans="1:2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4"/>
      <c r="V96" s="33"/>
    </row>
    <row r="97" spans="1:2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4"/>
      <c r="V97" s="33"/>
    </row>
    <row r="98" spans="1:2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4"/>
      <c r="V98" s="33"/>
    </row>
    <row r="99" spans="1:2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4"/>
      <c r="V99" s="33"/>
    </row>
    <row r="100" spans="1:2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4"/>
      <c r="V100" s="33"/>
    </row>
    <row r="101" spans="1:2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4"/>
      <c r="V101" s="33"/>
    </row>
    <row r="102" spans="1:2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4"/>
      <c r="V102" s="33"/>
    </row>
    <row r="103" spans="1:2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4"/>
      <c r="V103" s="33"/>
    </row>
    <row r="104" spans="1:2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4"/>
      <c r="V104" s="33"/>
    </row>
    <row r="105" spans="1:2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4"/>
      <c r="V105" s="33"/>
    </row>
    <row r="106" spans="1:2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4"/>
      <c r="V106" s="33"/>
    </row>
    <row r="107" spans="1:2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4"/>
      <c r="V107" s="33"/>
    </row>
    <row r="108" spans="1:2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4"/>
      <c r="V108" s="33"/>
    </row>
    <row r="109" spans="1:2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4"/>
      <c r="V109" s="33"/>
    </row>
    <row r="110" spans="1:2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4"/>
      <c r="V110" s="33"/>
    </row>
    <row r="111" spans="1:2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4"/>
      <c r="V111" s="33"/>
    </row>
    <row r="112" spans="1:2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4"/>
      <c r="V112" s="33"/>
    </row>
    <row r="113" spans="1:2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4"/>
      <c r="V113" s="33"/>
    </row>
    <row r="114" spans="1:2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4"/>
      <c r="V114" s="33"/>
    </row>
    <row r="115" spans="1:2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4"/>
      <c r="V115" s="33"/>
    </row>
    <row r="116" spans="1:2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4"/>
      <c r="V116" s="33"/>
    </row>
    <row r="117" spans="1:2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4"/>
      <c r="V117" s="33"/>
    </row>
    <row r="118" spans="1:2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4"/>
      <c r="V118" s="33"/>
    </row>
    <row r="119" spans="1:2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4"/>
      <c r="V119" s="33"/>
    </row>
    <row r="120" spans="1:2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4"/>
      <c r="V120" s="33"/>
    </row>
    <row r="121" spans="1:2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4"/>
      <c r="V121" s="33"/>
    </row>
    <row r="122" spans="1: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4"/>
      <c r="V122" s="33"/>
    </row>
    <row r="123" spans="1:2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4"/>
      <c r="V123" s="33"/>
    </row>
    <row r="124" spans="1:2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4"/>
      <c r="V124" s="33"/>
    </row>
    <row r="125" spans="1:2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4"/>
      <c r="V125" s="33"/>
    </row>
    <row r="126" spans="1:2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4"/>
      <c r="V126" s="33"/>
    </row>
    <row r="127" spans="1:2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4"/>
      <c r="V127" s="33"/>
    </row>
    <row r="128" spans="1:2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4"/>
      <c r="V128" s="33"/>
    </row>
    <row r="129" spans="1:2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4"/>
      <c r="V129" s="33"/>
    </row>
    <row r="130" spans="1:2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4"/>
      <c r="V130" s="33"/>
    </row>
    <row r="131" spans="1:2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4"/>
      <c r="V131" s="33"/>
    </row>
    <row r="132" spans="1:2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4"/>
      <c r="V132" s="33"/>
    </row>
    <row r="133" spans="1:2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4"/>
      <c r="V133" s="33"/>
    </row>
    <row r="134" spans="1:2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4"/>
      <c r="V134" s="33"/>
    </row>
    <row r="135" spans="1:2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4"/>
      <c r="V135" s="33"/>
    </row>
    <row r="136" spans="1:2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4"/>
      <c r="V136" s="33"/>
    </row>
    <row r="137" spans="1:2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4"/>
      <c r="V137" s="33"/>
    </row>
    <row r="138" spans="1:2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4"/>
      <c r="V138" s="33"/>
    </row>
    <row r="139" spans="1:2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4"/>
      <c r="V139" s="33"/>
    </row>
    <row r="140" spans="1:2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4"/>
      <c r="V140" s="33"/>
    </row>
    <row r="141" spans="1:2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4"/>
      <c r="V141" s="33"/>
    </row>
    <row r="142" spans="1:2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4"/>
      <c r="V142" s="33"/>
    </row>
    <row r="143" spans="1:2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4"/>
      <c r="V143" s="33"/>
    </row>
    <row r="144" spans="1:2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4"/>
      <c r="V144" s="33"/>
    </row>
    <row r="145" spans="1:2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4"/>
      <c r="V145" s="33"/>
    </row>
    <row r="146" spans="1:2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4"/>
      <c r="V146" s="33"/>
    </row>
    <row r="147" spans="1:2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4"/>
      <c r="V147" s="33"/>
    </row>
    <row r="148" spans="1:2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4"/>
      <c r="V148" s="33"/>
    </row>
    <row r="149" spans="1:2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4"/>
      <c r="V149" s="33"/>
    </row>
    <row r="150" spans="1:2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4"/>
      <c r="V150" s="33"/>
    </row>
    <row r="151" spans="1:2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4"/>
      <c r="V151" s="33"/>
    </row>
    <row r="152" spans="1:2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4"/>
      <c r="V152" s="33"/>
    </row>
    <row r="153" spans="1:2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4"/>
      <c r="V153" s="33"/>
    </row>
    <row r="154" spans="1:22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4"/>
      <c r="V154" s="33"/>
    </row>
    <row r="155" spans="1:2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4"/>
      <c r="V155" s="33"/>
    </row>
    <row r="156" spans="1:2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4"/>
      <c r="V156" s="33"/>
    </row>
    <row r="157" spans="1:2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4"/>
      <c r="V157" s="33"/>
    </row>
    <row r="158" spans="1:22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4"/>
      <c r="V158" s="33"/>
    </row>
    <row r="159" spans="1:22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4"/>
      <c r="V159" s="33"/>
    </row>
    <row r="160" spans="1:22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4"/>
      <c r="V160" s="33"/>
    </row>
    <row r="161" spans="1:2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4"/>
      <c r="V161" s="33"/>
    </row>
    <row r="162" spans="1:2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4"/>
      <c r="V162" s="33"/>
    </row>
    <row r="163" spans="1:22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4"/>
      <c r="V163" s="33"/>
    </row>
    <row r="164" spans="1:22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4"/>
      <c r="V164" s="33"/>
    </row>
    <row r="165" spans="1:22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4"/>
      <c r="V165" s="33"/>
    </row>
    <row r="166" spans="1:22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4"/>
      <c r="V166" s="33"/>
    </row>
    <row r="167" spans="1:22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4"/>
      <c r="V167" s="33"/>
    </row>
    <row r="168" spans="1:22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4"/>
      <c r="V168" s="33"/>
    </row>
    <row r="169" spans="1:22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4"/>
      <c r="V169" s="33"/>
    </row>
    <row r="170" spans="1:2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4"/>
      <c r="V170" s="33"/>
    </row>
    <row r="171" spans="1:22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4"/>
      <c r="V171" s="33"/>
    </row>
    <row r="172" spans="1:2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4"/>
      <c r="V172" s="33"/>
    </row>
    <row r="173" spans="1:22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4"/>
      <c r="V173" s="33"/>
    </row>
    <row r="174" spans="1:22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4"/>
      <c r="V174" s="33"/>
    </row>
    <row r="175" spans="1:22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4"/>
      <c r="V175" s="33"/>
    </row>
    <row r="176" spans="1:22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4"/>
      <c r="V176" s="33"/>
    </row>
    <row r="177" spans="1:22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4"/>
      <c r="V177" s="33"/>
    </row>
    <row r="178" spans="1:22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4"/>
      <c r="V178" s="33"/>
    </row>
    <row r="179" spans="1:22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4"/>
      <c r="V179" s="33"/>
    </row>
    <row r="180" spans="1:22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4"/>
      <c r="V180" s="33"/>
    </row>
    <row r="181" spans="1:22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4"/>
      <c r="V181" s="33"/>
    </row>
    <row r="182" spans="1:2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4"/>
      <c r="V182" s="33"/>
    </row>
    <row r="183" spans="1:2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4"/>
      <c r="V183" s="33"/>
    </row>
    <row r="184" spans="1:22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4"/>
      <c r="V184" s="33"/>
    </row>
    <row r="185" spans="1:22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4"/>
      <c r="V185" s="33"/>
    </row>
    <row r="186" spans="1:22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4"/>
      <c r="V186" s="33"/>
    </row>
    <row r="187" spans="1:22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4"/>
      <c r="V187" s="33"/>
    </row>
    <row r="188" spans="1:22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4"/>
      <c r="V188" s="33"/>
    </row>
    <row r="189" spans="1:22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4"/>
      <c r="V189" s="33"/>
    </row>
    <row r="190" spans="1:2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4"/>
      <c r="V190" s="33"/>
    </row>
    <row r="191" spans="1:22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4"/>
      <c r="V191" s="33"/>
    </row>
    <row r="192" spans="1:2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4"/>
      <c r="V192" s="33"/>
    </row>
    <row r="193" spans="1:22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4"/>
      <c r="V193" s="33"/>
    </row>
    <row r="194" spans="1:22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4"/>
      <c r="V194" s="33"/>
    </row>
    <row r="195" spans="1:22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4"/>
      <c r="V195" s="33"/>
    </row>
    <row r="196" spans="1:2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4"/>
      <c r="V196" s="33"/>
    </row>
    <row r="197" spans="1:22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4"/>
      <c r="V197" s="33"/>
    </row>
    <row r="198" spans="1:22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4"/>
      <c r="V198" s="33"/>
    </row>
    <row r="199" spans="1:22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4"/>
      <c r="V199" s="33"/>
    </row>
    <row r="200" spans="1:2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4"/>
      <c r="V200" s="33"/>
    </row>
    <row r="201" spans="1:2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4"/>
      <c r="V201" s="33"/>
    </row>
    <row r="202" spans="1:2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4"/>
      <c r="V202" s="33"/>
    </row>
    <row r="203" spans="1:2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4"/>
      <c r="V203" s="33"/>
    </row>
    <row r="204" spans="1:2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4"/>
      <c r="V204" s="33"/>
    </row>
    <row r="205" spans="1:2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4"/>
      <c r="V205" s="33"/>
    </row>
    <row r="206" spans="1:2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4"/>
      <c r="V206" s="33"/>
    </row>
    <row r="207" spans="1:2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4"/>
      <c r="V207" s="33"/>
    </row>
    <row r="208" spans="1:2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4"/>
      <c r="V208" s="33"/>
    </row>
    <row r="209" spans="1:2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4"/>
      <c r="V209" s="33"/>
    </row>
    <row r="210" spans="1:2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4"/>
      <c r="V210" s="33"/>
    </row>
    <row r="211" spans="1:2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4"/>
      <c r="V211" s="33"/>
    </row>
    <row r="212" spans="1:2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4"/>
      <c r="V212" s="33"/>
    </row>
    <row r="213" spans="1:2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4"/>
      <c r="V213" s="33"/>
    </row>
    <row r="214" spans="1:2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4"/>
      <c r="V214" s="33"/>
    </row>
    <row r="215" spans="1:2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4"/>
      <c r="V215" s="33"/>
    </row>
    <row r="216" spans="1:2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4"/>
      <c r="V216" s="33"/>
    </row>
    <row r="217" spans="1:2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4"/>
      <c r="V217" s="33"/>
    </row>
    <row r="218" spans="1:2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4"/>
      <c r="V218" s="33"/>
    </row>
    <row r="219" spans="1:2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4"/>
      <c r="V219" s="33"/>
    </row>
    <row r="220" spans="1:2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4"/>
      <c r="V220" s="33"/>
    </row>
    <row r="221" spans="1:2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4"/>
      <c r="V221" s="33"/>
    </row>
    <row r="222" spans="1: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4"/>
      <c r="V222" s="33"/>
    </row>
    <row r="223" spans="1:2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4"/>
      <c r="V223" s="33"/>
    </row>
    <row r="224" spans="1:2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4"/>
      <c r="V224" s="33"/>
    </row>
    <row r="225" spans="1:2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4"/>
      <c r="V225" s="33"/>
    </row>
    <row r="226" spans="1:2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4"/>
      <c r="V226" s="33"/>
    </row>
    <row r="227" spans="1:2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4"/>
      <c r="V227" s="33"/>
    </row>
    <row r="228" spans="1:2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4"/>
      <c r="V228" s="33"/>
    </row>
    <row r="229" spans="1:2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4"/>
      <c r="V229" s="33"/>
    </row>
    <row r="230" spans="1:2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4"/>
      <c r="V230" s="33"/>
    </row>
    <row r="231" spans="1:2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4"/>
      <c r="V231" s="33"/>
    </row>
    <row r="232" spans="1:2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4"/>
      <c r="V232" s="33"/>
    </row>
    <row r="233" spans="1:2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4"/>
      <c r="V233" s="33"/>
    </row>
    <row r="234" spans="1:2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4"/>
      <c r="V234" s="33"/>
    </row>
    <row r="235" spans="1:2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4"/>
      <c r="V235" s="33"/>
    </row>
    <row r="236" spans="1:2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4"/>
      <c r="V236" s="33"/>
    </row>
    <row r="237" spans="1:2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4"/>
      <c r="V237" s="33"/>
    </row>
    <row r="238" spans="1:2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4"/>
      <c r="V238" s="33"/>
    </row>
    <row r="239" spans="1:2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4"/>
      <c r="V239" s="33"/>
    </row>
    <row r="240" spans="1:2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4"/>
      <c r="V240" s="33"/>
    </row>
    <row r="241" spans="1:2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4"/>
      <c r="V241" s="33"/>
    </row>
    <row r="242" spans="1:2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4"/>
      <c r="V242" s="33"/>
    </row>
    <row r="243" spans="1:2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4"/>
      <c r="V243" s="33"/>
    </row>
    <row r="244" spans="1:2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4"/>
      <c r="V244" s="33"/>
    </row>
    <row r="245" spans="1:2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4"/>
      <c r="V245" s="33"/>
    </row>
    <row r="246" spans="1:2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4"/>
      <c r="V246" s="33"/>
    </row>
    <row r="247" spans="1:2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4"/>
      <c r="V247" s="33"/>
    </row>
    <row r="248" spans="1:22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4"/>
      <c r="V248" s="33"/>
    </row>
    <row r="249" spans="1:22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4"/>
      <c r="V249" s="33"/>
    </row>
    <row r="250" spans="1:22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4"/>
      <c r="V250" s="33"/>
    </row>
    <row r="251" spans="1:22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4"/>
      <c r="V251" s="33"/>
    </row>
    <row r="252" spans="1:2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4"/>
      <c r="V252" s="33"/>
    </row>
    <row r="253" spans="1:22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4"/>
      <c r="V253" s="33"/>
    </row>
    <row r="254" spans="1:22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4"/>
      <c r="V254" s="33"/>
    </row>
    <row r="255" spans="1:22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4"/>
      <c r="V255" s="33"/>
    </row>
    <row r="256" spans="1:22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4"/>
      <c r="V256" s="33"/>
    </row>
    <row r="257" spans="1:22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4"/>
      <c r="V257" s="33"/>
    </row>
    <row r="258" spans="1:22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4"/>
      <c r="V258" s="33"/>
    </row>
    <row r="259" spans="1:22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4"/>
      <c r="V259" s="33"/>
    </row>
    <row r="260" spans="1:22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4"/>
      <c r="V260" s="33"/>
    </row>
    <row r="261" spans="1:22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4"/>
      <c r="V261" s="33"/>
    </row>
    <row r="262" spans="1:2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4"/>
      <c r="V262" s="33"/>
    </row>
    <row r="263" spans="1:22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4"/>
      <c r="V263" s="33"/>
    </row>
    <row r="264" spans="1:2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4"/>
      <c r="V264" s="33"/>
    </row>
    <row r="265" spans="1:22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4"/>
      <c r="V265" s="33"/>
    </row>
    <row r="266" spans="1:2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4"/>
      <c r="V266" s="33"/>
    </row>
    <row r="267" spans="1:2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4"/>
      <c r="V267" s="33"/>
    </row>
    <row r="268" spans="1:2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4"/>
      <c r="V268" s="33"/>
    </row>
    <row r="269" spans="1:2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4"/>
      <c r="V269" s="33"/>
    </row>
    <row r="270" spans="1:2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4"/>
      <c r="V270" s="33"/>
    </row>
    <row r="271" spans="1:2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4"/>
      <c r="V271" s="33"/>
    </row>
    <row r="272" spans="1:2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4"/>
      <c r="V272" s="33"/>
    </row>
    <row r="273" spans="1:2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4"/>
      <c r="V273" s="33"/>
    </row>
    <row r="274" spans="1:2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4"/>
      <c r="V274" s="33"/>
    </row>
    <row r="275" spans="1:2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4"/>
      <c r="V275" s="33"/>
    </row>
    <row r="276" spans="1:2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4"/>
      <c r="V276" s="33"/>
    </row>
    <row r="277" spans="1:2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4"/>
      <c r="V277" s="33"/>
    </row>
    <row r="278" spans="1:2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4"/>
      <c r="V278" s="33"/>
    </row>
    <row r="279" spans="1:2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4"/>
      <c r="V279" s="33"/>
    </row>
    <row r="280" spans="1:2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4"/>
      <c r="V280" s="33"/>
    </row>
    <row r="281" spans="1:2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4"/>
      <c r="V281" s="33"/>
    </row>
    <row r="282" spans="1:2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4"/>
      <c r="V282" s="33"/>
    </row>
    <row r="283" spans="1:2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4"/>
      <c r="V283" s="33"/>
    </row>
    <row r="284" spans="1:2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4"/>
      <c r="V284" s="33"/>
    </row>
    <row r="285" spans="1:2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4"/>
      <c r="V285" s="33"/>
    </row>
    <row r="286" spans="1:2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4"/>
      <c r="V286" s="33"/>
    </row>
    <row r="287" spans="1:2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4"/>
      <c r="V287" s="33"/>
    </row>
    <row r="288" spans="1:2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4"/>
      <c r="V288" s="33"/>
    </row>
    <row r="289" spans="1:2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4"/>
      <c r="V289" s="33"/>
    </row>
    <row r="290" spans="1:2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4"/>
      <c r="V290" s="33"/>
    </row>
    <row r="291" spans="1:2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4"/>
      <c r="V291" s="33"/>
    </row>
    <row r="292" spans="1:2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4"/>
      <c r="V292" s="33"/>
    </row>
    <row r="293" spans="1:2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4"/>
      <c r="V293" s="33"/>
    </row>
    <row r="294" spans="1:2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4"/>
      <c r="V294" s="33"/>
    </row>
    <row r="295" spans="1:2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4"/>
      <c r="V295" s="33"/>
    </row>
    <row r="296" spans="1:2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4"/>
      <c r="V296" s="33"/>
    </row>
    <row r="297" spans="1:2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4"/>
      <c r="V297" s="33"/>
    </row>
    <row r="298" spans="1:2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4"/>
      <c r="V298" s="33"/>
    </row>
    <row r="299" spans="1:2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4"/>
      <c r="V299" s="33"/>
    </row>
    <row r="300" spans="1:2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4"/>
      <c r="V300" s="33"/>
    </row>
    <row r="301" spans="1:2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4"/>
      <c r="V301" s="33"/>
    </row>
    <row r="302" spans="1:2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4"/>
      <c r="V302" s="33"/>
    </row>
    <row r="303" spans="1:2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4"/>
      <c r="V303" s="33"/>
    </row>
    <row r="304" spans="1:2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4"/>
      <c r="V304" s="33"/>
    </row>
    <row r="305" spans="1:2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4"/>
      <c r="V305" s="33"/>
    </row>
    <row r="306" spans="1:2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4"/>
      <c r="V306" s="33"/>
    </row>
    <row r="307" spans="1:2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4"/>
      <c r="V307" s="33"/>
    </row>
    <row r="308" spans="1:2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4"/>
      <c r="V308" s="33"/>
    </row>
    <row r="309" spans="1:2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4"/>
      <c r="V309" s="33"/>
    </row>
    <row r="310" spans="1:2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4"/>
      <c r="V310" s="33"/>
    </row>
    <row r="311" spans="1:2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4"/>
      <c r="V311" s="33"/>
    </row>
    <row r="312" spans="1:2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4"/>
      <c r="V312" s="33"/>
    </row>
    <row r="313" spans="1:2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4"/>
      <c r="V313" s="33"/>
    </row>
    <row r="314" spans="1:2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4"/>
      <c r="V314" s="33"/>
    </row>
    <row r="315" spans="1:2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4"/>
      <c r="V315" s="33"/>
    </row>
    <row r="316" spans="1:2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4"/>
      <c r="V316" s="33"/>
    </row>
    <row r="317" spans="1:2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4"/>
      <c r="V317" s="33"/>
    </row>
    <row r="318" spans="1:2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4"/>
      <c r="V318" s="33"/>
    </row>
    <row r="319" spans="1:2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4"/>
      <c r="V319" s="33"/>
    </row>
    <row r="320" spans="1:2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4"/>
      <c r="V320" s="33"/>
    </row>
    <row r="321" spans="1:2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4"/>
      <c r="V321" s="33"/>
    </row>
    <row r="322" spans="1: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4"/>
      <c r="V322" s="33"/>
    </row>
    <row r="323" spans="1:2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4"/>
      <c r="V323" s="33"/>
    </row>
    <row r="324" spans="1:2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4"/>
      <c r="V324" s="33"/>
    </row>
    <row r="325" spans="1:2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4"/>
      <c r="V325" s="33"/>
    </row>
    <row r="326" spans="1:2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4"/>
      <c r="V326" s="33"/>
    </row>
    <row r="327" spans="1:2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4"/>
      <c r="V327" s="33"/>
    </row>
    <row r="328" spans="1:2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4"/>
      <c r="V328" s="33"/>
    </row>
    <row r="329" spans="1:2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4"/>
      <c r="V329" s="33"/>
    </row>
    <row r="330" spans="1:2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4"/>
      <c r="V330" s="33"/>
    </row>
    <row r="331" spans="1:2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4"/>
      <c r="V331" s="33"/>
    </row>
    <row r="332" spans="1:2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4"/>
      <c r="V332" s="33"/>
    </row>
    <row r="333" spans="1:2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4"/>
      <c r="V333" s="33"/>
    </row>
    <row r="334" spans="1:2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4"/>
      <c r="V334" s="33"/>
    </row>
    <row r="335" spans="1:2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4"/>
      <c r="V335" s="33"/>
    </row>
    <row r="336" spans="1:2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4"/>
      <c r="V336" s="33"/>
    </row>
    <row r="337" spans="1:2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4"/>
      <c r="V337" s="33"/>
    </row>
    <row r="338" spans="1:2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4"/>
      <c r="V338" s="33"/>
    </row>
    <row r="339" spans="1:2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4"/>
      <c r="V339" s="33"/>
    </row>
    <row r="340" spans="1:2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4"/>
      <c r="V340" s="33"/>
    </row>
    <row r="341" spans="1:2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4"/>
      <c r="V341" s="33"/>
    </row>
    <row r="342" spans="1:2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4"/>
      <c r="V342" s="33"/>
    </row>
    <row r="343" spans="1:2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4"/>
      <c r="V343" s="33"/>
    </row>
    <row r="344" spans="1:2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4"/>
      <c r="V344" s="33"/>
    </row>
    <row r="345" spans="1:2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4"/>
      <c r="V345" s="33"/>
    </row>
    <row r="346" spans="1:2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4"/>
      <c r="V346" s="33"/>
    </row>
    <row r="347" spans="1:2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4"/>
      <c r="V347" s="33"/>
    </row>
    <row r="348" spans="1:2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4"/>
      <c r="V348" s="33"/>
    </row>
    <row r="349" spans="1:2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4"/>
      <c r="V349" s="33"/>
    </row>
    <row r="350" spans="1:2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4"/>
      <c r="V350" s="33"/>
    </row>
    <row r="351" spans="1:2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4"/>
      <c r="V351" s="33"/>
    </row>
    <row r="352" spans="1:2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4"/>
      <c r="V352" s="33"/>
    </row>
    <row r="353" spans="1:2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4"/>
      <c r="V353" s="33"/>
    </row>
    <row r="354" spans="1:2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4"/>
      <c r="V354" s="33"/>
    </row>
    <row r="355" spans="1:2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4"/>
      <c r="V355" s="33"/>
    </row>
    <row r="356" spans="1:2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4"/>
      <c r="V356" s="33"/>
    </row>
    <row r="357" spans="1:2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4"/>
      <c r="V357" s="33"/>
    </row>
    <row r="358" spans="1:2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4"/>
      <c r="V358" s="33"/>
    </row>
    <row r="359" spans="1:2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4"/>
      <c r="V359" s="33"/>
    </row>
    <row r="360" spans="1:2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4"/>
      <c r="V360" s="33"/>
    </row>
    <row r="361" spans="1:22">
      <c r="U361" s="35"/>
    </row>
    <row r="362" spans="1:22">
      <c r="U362" s="35"/>
    </row>
    <row r="363" spans="1:22">
      <c r="U363" s="35"/>
    </row>
    <row r="364" spans="1:22">
      <c r="U364" s="35"/>
    </row>
    <row r="365" spans="1:22">
      <c r="U365" s="35"/>
    </row>
    <row r="366" spans="1:22">
      <c r="U366" s="35"/>
    </row>
    <row r="367" spans="1:22">
      <c r="U367" s="35"/>
    </row>
    <row r="368" spans="1:22">
      <c r="U368" s="35"/>
    </row>
    <row r="369" spans="21:21">
      <c r="U369" s="35"/>
    </row>
    <row r="370" spans="21:21">
      <c r="U370" s="35"/>
    </row>
    <row r="371" spans="21:21">
      <c r="U371" s="35"/>
    </row>
    <row r="372" spans="21:21">
      <c r="U372" s="35"/>
    </row>
    <row r="373" spans="21:21">
      <c r="U373" s="35"/>
    </row>
    <row r="374" spans="21:21">
      <c r="U374" s="35"/>
    </row>
    <row r="375" spans="21:21">
      <c r="U375" s="35"/>
    </row>
    <row r="376" spans="21:21">
      <c r="U376" s="35"/>
    </row>
    <row r="377" spans="21:21">
      <c r="U377" s="35"/>
    </row>
    <row r="378" spans="21:21">
      <c r="U378" s="35"/>
    </row>
    <row r="379" spans="21:21">
      <c r="U379" s="35"/>
    </row>
    <row r="380" spans="21:21">
      <c r="U380" s="35"/>
    </row>
    <row r="381" spans="21:21">
      <c r="U381" s="35"/>
    </row>
    <row r="382" spans="21:21">
      <c r="U382" s="35"/>
    </row>
    <row r="383" spans="21:21">
      <c r="U383" s="35"/>
    </row>
    <row r="384" spans="21:21">
      <c r="U384" s="35"/>
    </row>
    <row r="385" spans="21:21">
      <c r="U385" s="35"/>
    </row>
    <row r="386" spans="21:21">
      <c r="U386" s="35"/>
    </row>
    <row r="387" spans="21:21">
      <c r="U387" s="35"/>
    </row>
    <row r="388" spans="21:21">
      <c r="U388" s="35"/>
    </row>
    <row r="389" spans="21:21">
      <c r="U389" s="35"/>
    </row>
    <row r="390" spans="21:21">
      <c r="U390" s="35"/>
    </row>
    <row r="391" spans="21:21">
      <c r="U391" s="35"/>
    </row>
    <row r="392" spans="21:21">
      <c r="U392" s="35"/>
    </row>
    <row r="393" spans="21:21">
      <c r="U393" s="35"/>
    </row>
    <row r="394" spans="21:21">
      <c r="U394" s="35"/>
    </row>
    <row r="395" spans="21:21">
      <c r="U395" s="35"/>
    </row>
    <row r="396" spans="21:21">
      <c r="U396" s="35"/>
    </row>
    <row r="397" spans="21:21">
      <c r="U397" s="35"/>
    </row>
    <row r="398" spans="21:21">
      <c r="U398" s="35"/>
    </row>
    <row r="399" spans="21:21">
      <c r="U399" s="35"/>
    </row>
    <row r="400" spans="21:21">
      <c r="U400" s="35"/>
    </row>
    <row r="401" spans="21:21">
      <c r="U401" s="35"/>
    </row>
    <row r="402" spans="21:21">
      <c r="U402" s="35"/>
    </row>
    <row r="403" spans="21:21">
      <c r="U403" s="35"/>
    </row>
    <row r="404" spans="21:21">
      <c r="U404" s="35"/>
    </row>
    <row r="405" spans="21:21">
      <c r="U405" s="35"/>
    </row>
    <row r="406" spans="21:21">
      <c r="U406" s="35"/>
    </row>
    <row r="407" spans="21:21">
      <c r="U407" s="35"/>
    </row>
    <row r="408" spans="21:21">
      <c r="U408" s="35"/>
    </row>
    <row r="409" spans="21:21">
      <c r="U409" s="35"/>
    </row>
    <row r="410" spans="21:21">
      <c r="U410" s="35"/>
    </row>
    <row r="411" spans="21:21">
      <c r="U411" s="35"/>
    </row>
    <row r="412" spans="21:21">
      <c r="U412" s="35"/>
    </row>
    <row r="413" spans="21:21">
      <c r="U413" s="35"/>
    </row>
    <row r="414" spans="21:21">
      <c r="U414" s="35"/>
    </row>
    <row r="415" spans="21:21">
      <c r="U415" s="35"/>
    </row>
    <row r="416" spans="21:21">
      <c r="U416" s="35"/>
    </row>
    <row r="417" spans="21:21">
      <c r="U417" s="35"/>
    </row>
    <row r="418" spans="21:21">
      <c r="U418" s="35"/>
    </row>
    <row r="419" spans="21:21">
      <c r="U419" s="35"/>
    </row>
    <row r="420" spans="21:21">
      <c r="U420" s="35"/>
    </row>
    <row r="421" spans="21:21">
      <c r="U421" s="35"/>
    </row>
    <row r="422" spans="21:21">
      <c r="U422" s="35"/>
    </row>
    <row r="423" spans="21:21">
      <c r="U423" s="35"/>
    </row>
    <row r="424" spans="21:21">
      <c r="U424" s="35"/>
    </row>
    <row r="425" spans="21:21">
      <c r="U425" s="35"/>
    </row>
    <row r="426" spans="21:21">
      <c r="U426" s="35"/>
    </row>
    <row r="427" spans="21:21">
      <c r="U427" s="35"/>
    </row>
    <row r="428" spans="21:21">
      <c r="U428" s="35"/>
    </row>
    <row r="429" spans="21:21">
      <c r="U429" s="35"/>
    </row>
    <row r="430" spans="21:21">
      <c r="U430" s="35"/>
    </row>
    <row r="431" spans="21:21">
      <c r="U431" s="35"/>
    </row>
    <row r="432" spans="21:21">
      <c r="U432" s="35"/>
    </row>
    <row r="433" spans="21:21">
      <c r="U433" s="35"/>
    </row>
    <row r="434" spans="21:21">
      <c r="U434" s="35"/>
    </row>
    <row r="435" spans="21:21">
      <c r="U435" s="35"/>
    </row>
    <row r="436" spans="21:21">
      <c r="U436" s="35"/>
    </row>
    <row r="437" spans="21:21">
      <c r="U437" s="35"/>
    </row>
    <row r="438" spans="21:21">
      <c r="U438" s="35"/>
    </row>
    <row r="439" spans="21:21">
      <c r="U439" s="35"/>
    </row>
    <row r="440" spans="21:21">
      <c r="U440" s="35"/>
    </row>
    <row r="441" spans="21:21">
      <c r="U441" s="35"/>
    </row>
    <row r="442" spans="21:21">
      <c r="U442" s="35"/>
    </row>
    <row r="443" spans="21:21">
      <c r="U443" s="35"/>
    </row>
    <row r="444" spans="21:21">
      <c r="U444" s="35"/>
    </row>
    <row r="445" spans="21:21">
      <c r="U445" s="35"/>
    </row>
    <row r="446" spans="21:21">
      <c r="U446" s="35"/>
    </row>
    <row r="447" spans="21:21">
      <c r="U447" s="35"/>
    </row>
    <row r="448" spans="21:21">
      <c r="U448" s="35"/>
    </row>
    <row r="449" spans="21:21">
      <c r="U449" s="35"/>
    </row>
    <row r="450" spans="21:21">
      <c r="U450" s="35"/>
    </row>
    <row r="451" spans="21:21">
      <c r="U451" s="35"/>
    </row>
    <row r="452" spans="21:21">
      <c r="U452" s="35"/>
    </row>
    <row r="453" spans="21:21">
      <c r="U453" s="35"/>
    </row>
    <row r="454" spans="21:21">
      <c r="U454" s="35"/>
    </row>
    <row r="455" spans="21:21">
      <c r="U455" s="35"/>
    </row>
    <row r="456" spans="21:21">
      <c r="U456" s="35"/>
    </row>
    <row r="457" spans="21:21">
      <c r="U457" s="35"/>
    </row>
    <row r="458" spans="21:21">
      <c r="U458" s="35"/>
    </row>
    <row r="459" spans="21:21">
      <c r="U459" s="35"/>
    </row>
    <row r="460" spans="21:21">
      <c r="U460" s="35"/>
    </row>
    <row r="461" spans="21:21">
      <c r="U461" s="35"/>
    </row>
    <row r="462" spans="21:21">
      <c r="U462" s="35"/>
    </row>
    <row r="463" spans="21:21">
      <c r="U463" s="35"/>
    </row>
    <row r="464" spans="21:21">
      <c r="U464" s="35"/>
    </row>
    <row r="465" spans="21:21">
      <c r="U465" s="35"/>
    </row>
    <row r="466" spans="21:21">
      <c r="U466" s="35"/>
    </row>
    <row r="467" spans="21:21">
      <c r="U467" s="35"/>
    </row>
    <row r="468" spans="21:21">
      <c r="U468" s="35"/>
    </row>
    <row r="469" spans="21:21">
      <c r="U469" s="35"/>
    </row>
    <row r="470" spans="21:21">
      <c r="U470" s="35"/>
    </row>
    <row r="471" spans="21:21">
      <c r="U471" s="35"/>
    </row>
    <row r="472" spans="21:21">
      <c r="U472" s="35"/>
    </row>
    <row r="473" spans="21:21">
      <c r="U473" s="35"/>
    </row>
    <row r="474" spans="21:21">
      <c r="U474" s="35"/>
    </row>
    <row r="475" spans="21:21">
      <c r="U475" s="35"/>
    </row>
    <row r="476" spans="21:21">
      <c r="U476" s="35"/>
    </row>
    <row r="477" spans="21:21">
      <c r="U477" s="35"/>
    </row>
    <row r="478" spans="21:21">
      <c r="U478" s="35"/>
    </row>
    <row r="479" spans="21:21">
      <c r="U479" s="35"/>
    </row>
    <row r="480" spans="21:21">
      <c r="U480" s="35"/>
    </row>
    <row r="481" spans="21:21">
      <c r="U481" s="35"/>
    </row>
    <row r="482" spans="21:21">
      <c r="U482" s="35"/>
    </row>
    <row r="483" spans="21:21">
      <c r="U483" s="35"/>
    </row>
    <row r="484" spans="21:21">
      <c r="U484" s="35"/>
    </row>
    <row r="485" spans="21:21">
      <c r="U485" s="35"/>
    </row>
    <row r="486" spans="21:21">
      <c r="U486" s="35"/>
    </row>
    <row r="487" spans="21:21">
      <c r="U487" s="35"/>
    </row>
    <row r="488" spans="21:21">
      <c r="U488" s="35"/>
    </row>
    <row r="489" spans="21:21">
      <c r="U489" s="35"/>
    </row>
    <row r="490" spans="21:21">
      <c r="U490" s="35"/>
    </row>
    <row r="491" spans="21:21">
      <c r="U491" s="35"/>
    </row>
    <row r="492" spans="21:21">
      <c r="U492" s="35"/>
    </row>
    <row r="493" spans="21:21">
      <c r="U493" s="35"/>
    </row>
    <row r="494" spans="21:21">
      <c r="U494" s="35"/>
    </row>
    <row r="495" spans="21:21">
      <c r="U495" s="35"/>
    </row>
    <row r="496" spans="21:21">
      <c r="U496" s="35"/>
    </row>
    <row r="497" spans="21:21">
      <c r="U497" s="35"/>
    </row>
    <row r="498" spans="21:21">
      <c r="U498" s="35"/>
    </row>
    <row r="499" spans="21:21">
      <c r="U499" s="35"/>
    </row>
    <row r="500" spans="21:21">
      <c r="U500" s="35"/>
    </row>
    <row r="501" spans="21:21">
      <c r="U501" s="35"/>
    </row>
    <row r="502" spans="21:21">
      <c r="U502" s="35"/>
    </row>
    <row r="503" spans="21:21">
      <c r="U503" s="35"/>
    </row>
    <row r="504" spans="21:21">
      <c r="U504" s="35"/>
    </row>
    <row r="505" spans="21:21">
      <c r="U505" s="35"/>
    </row>
    <row r="506" spans="21:21">
      <c r="U506" s="35"/>
    </row>
    <row r="507" spans="21:21">
      <c r="U507" s="35"/>
    </row>
    <row r="508" spans="21:21">
      <c r="U508" s="35"/>
    </row>
    <row r="509" spans="21:21">
      <c r="U509" s="35"/>
    </row>
    <row r="510" spans="21:21">
      <c r="U510" s="35"/>
    </row>
    <row r="511" spans="21:21">
      <c r="U511" s="35"/>
    </row>
    <row r="512" spans="21:21">
      <c r="U512" s="35"/>
    </row>
    <row r="513" spans="21:21">
      <c r="U513" s="35"/>
    </row>
    <row r="514" spans="21:21">
      <c r="U514" s="35"/>
    </row>
    <row r="515" spans="21:21">
      <c r="U515" s="35"/>
    </row>
    <row r="516" spans="21:21">
      <c r="U516" s="35"/>
    </row>
    <row r="517" spans="21:21">
      <c r="U517" s="35"/>
    </row>
    <row r="518" spans="21:21">
      <c r="U518" s="35"/>
    </row>
    <row r="519" spans="21:21">
      <c r="U519" s="35"/>
    </row>
    <row r="520" spans="21:21">
      <c r="U520" s="35"/>
    </row>
    <row r="521" spans="21:21">
      <c r="U521" s="35"/>
    </row>
    <row r="522" spans="21:21">
      <c r="U522" s="35"/>
    </row>
    <row r="523" spans="21:21">
      <c r="U523" s="35"/>
    </row>
    <row r="524" spans="21:21">
      <c r="U524" s="35"/>
    </row>
    <row r="525" spans="21:21">
      <c r="U525" s="35"/>
    </row>
    <row r="526" spans="21:21">
      <c r="U526" s="35"/>
    </row>
    <row r="527" spans="21:21">
      <c r="U527" s="35"/>
    </row>
    <row r="528" spans="21:21">
      <c r="U528" s="35"/>
    </row>
    <row r="529" spans="21:21">
      <c r="U529" s="35"/>
    </row>
    <row r="530" spans="21:21">
      <c r="U530" s="35"/>
    </row>
    <row r="531" spans="21:21">
      <c r="U531" s="35"/>
    </row>
    <row r="532" spans="21:21">
      <c r="U532" s="35"/>
    </row>
    <row r="533" spans="21:21">
      <c r="U533" s="35"/>
    </row>
    <row r="534" spans="21:21">
      <c r="U534" s="35"/>
    </row>
    <row r="535" spans="21:21">
      <c r="U535" s="35"/>
    </row>
    <row r="536" spans="21:21">
      <c r="U536" s="35"/>
    </row>
    <row r="537" spans="21:21">
      <c r="U537" s="35"/>
    </row>
    <row r="538" spans="21:21">
      <c r="U538" s="35"/>
    </row>
    <row r="539" spans="21:21">
      <c r="U539" s="35"/>
    </row>
    <row r="540" spans="21:21">
      <c r="U540" s="35"/>
    </row>
    <row r="541" spans="21:21">
      <c r="U541" s="35"/>
    </row>
    <row r="542" spans="21:21">
      <c r="U542" s="35"/>
    </row>
    <row r="543" spans="21:21">
      <c r="U543" s="35"/>
    </row>
    <row r="544" spans="21:21">
      <c r="U544" s="35"/>
    </row>
    <row r="545" spans="21:21">
      <c r="U545" s="35"/>
    </row>
    <row r="546" spans="21:21">
      <c r="U546" s="35"/>
    </row>
    <row r="547" spans="21:21">
      <c r="U547" s="35"/>
    </row>
    <row r="548" spans="21:21">
      <c r="U548" s="35"/>
    </row>
    <row r="549" spans="21:21">
      <c r="U549" s="35"/>
    </row>
    <row r="550" spans="21:21">
      <c r="U550" s="35"/>
    </row>
    <row r="551" spans="21:21">
      <c r="U551" s="35"/>
    </row>
    <row r="552" spans="21:21">
      <c r="U552" s="35"/>
    </row>
    <row r="553" spans="21:21">
      <c r="U553" s="35"/>
    </row>
    <row r="554" spans="21:21">
      <c r="U554" s="35"/>
    </row>
    <row r="555" spans="21:21">
      <c r="U555" s="35"/>
    </row>
    <row r="556" spans="21:21">
      <c r="U556" s="35"/>
    </row>
    <row r="557" spans="21:21">
      <c r="U557" s="35"/>
    </row>
    <row r="558" spans="21:21">
      <c r="U558" s="35"/>
    </row>
    <row r="559" spans="21:21">
      <c r="U559" s="35"/>
    </row>
    <row r="560" spans="21:21">
      <c r="U560" s="35"/>
    </row>
    <row r="561" spans="21:21">
      <c r="U561" s="35"/>
    </row>
    <row r="562" spans="21:21">
      <c r="U562" s="35"/>
    </row>
    <row r="563" spans="21:21">
      <c r="U563" s="35"/>
    </row>
    <row r="564" spans="21:21">
      <c r="U564" s="35"/>
    </row>
    <row r="565" spans="21:21">
      <c r="U565" s="35"/>
    </row>
    <row r="566" spans="21:21">
      <c r="U566" s="35"/>
    </row>
    <row r="567" spans="21:21">
      <c r="U567" s="35"/>
    </row>
    <row r="568" spans="21:21">
      <c r="U568" s="35"/>
    </row>
    <row r="569" spans="21:21">
      <c r="U569" s="35"/>
    </row>
    <row r="570" spans="21:21">
      <c r="U570" s="35"/>
    </row>
    <row r="571" spans="21:21">
      <c r="U571" s="35"/>
    </row>
    <row r="572" spans="21:21">
      <c r="U572" s="35"/>
    </row>
    <row r="573" spans="21:21">
      <c r="U573" s="35"/>
    </row>
    <row r="574" spans="21:21">
      <c r="U574" s="35"/>
    </row>
    <row r="575" spans="21:21">
      <c r="U575" s="35"/>
    </row>
    <row r="576" spans="21:21">
      <c r="U576" s="35"/>
    </row>
    <row r="577" spans="21:21">
      <c r="U577" s="35"/>
    </row>
    <row r="578" spans="21:21">
      <c r="U578" s="35"/>
    </row>
    <row r="579" spans="21:21">
      <c r="U579" s="35"/>
    </row>
    <row r="580" spans="21:21">
      <c r="U580" s="35"/>
    </row>
    <row r="581" spans="21:21">
      <c r="U581" s="35"/>
    </row>
    <row r="582" spans="21:21">
      <c r="U582" s="35"/>
    </row>
    <row r="583" spans="21:21">
      <c r="U583" s="35"/>
    </row>
    <row r="584" spans="21:21">
      <c r="U584" s="35"/>
    </row>
    <row r="585" spans="21:21">
      <c r="U585" s="35"/>
    </row>
    <row r="586" spans="21:21">
      <c r="U586" s="35"/>
    </row>
    <row r="587" spans="21:21">
      <c r="U587" s="35"/>
    </row>
    <row r="588" spans="21:21">
      <c r="U588" s="35"/>
    </row>
    <row r="589" spans="21:21">
      <c r="U589" s="35"/>
    </row>
    <row r="590" spans="21:21">
      <c r="U590" s="35"/>
    </row>
    <row r="591" spans="21:21">
      <c r="U591" s="35"/>
    </row>
    <row r="592" spans="21:21">
      <c r="U592" s="35"/>
    </row>
    <row r="593" spans="21:21">
      <c r="U593" s="35"/>
    </row>
    <row r="594" spans="21:21">
      <c r="U594" s="35"/>
    </row>
    <row r="595" spans="21:21">
      <c r="U595" s="35"/>
    </row>
    <row r="596" spans="21:21">
      <c r="U596" s="35"/>
    </row>
    <row r="597" spans="21:21">
      <c r="U597" s="35"/>
    </row>
    <row r="598" spans="21:21">
      <c r="U598" s="35"/>
    </row>
    <row r="599" spans="21:21">
      <c r="U599" s="35"/>
    </row>
    <row r="600" spans="21:21">
      <c r="U600" s="35"/>
    </row>
    <row r="601" spans="21:21">
      <c r="U601" s="35"/>
    </row>
    <row r="602" spans="21:21">
      <c r="U602" s="35"/>
    </row>
    <row r="603" spans="21:21">
      <c r="U603" s="35"/>
    </row>
    <row r="604" spans="21:21">
      <c r="U604" s="35"/>
    </row>
    <row r="605" spans="21:21">
      <c r="U605" s="35"/>
    </row>
    <row r="606" spans="21:21">
      <c r="U606" s="35"/>
    </row>
    <row r="607" spans="21:21">
      <c r="U607" s="35"/>
    </row>
    <row r="608" spans="21:21">
      <c r="U608" s="35"/>
    </row>
    <row r="609" spans="21:21">
      <c r="U609" s="35"/>
    </row>
    <row r="610" spans="21:21">
      <c r="U610" s="35"/>
    </row>
    <row r="611" spans="21:21">
      <c r="U611" s="35"/>
    </row>
    <row r="612" spans="21:21">
      <c r="U612" s="35"/>
    </row>
    <row r="613" spans="21:21">
      <c r="U613" s="35"/>
    </row>
    <row r="614" spans="21:21">
      <c r="U614" s="35"/>
    </row>
    <row r="615" spans="21:21">
      <c r="U615" s="35"/>
    </row>
    <row r="616" spans="21:21">
      <c r="U616" s="35"/>
    </row>
    <row r="617" spans="21:21">
      <c r="U617" s="35"/>
    </row>
    <row r="618" spans="21:21">
      <c r="U618" s="35"/>
    </row>
    <row r="619" spans="21:21">
      <c r="U619" s="35"/>
    </row>
    <row r="620" spans="21:21">
      <c r="U620" s="35"/>
    </row>
    <row r="621" spans="21:21">
      <c r="U621" s="35"/>
    </row>
    <row r="622" spans="21:21">
      <c r="U622" s="35"/>
    </row>
    <row r="623" spans="21:21">
      <c r="U623" s="35"/>
    </row>
    <row r="624" spans="21:21">
      <c r="U624" s="35"/>
    </row>
    <row r="625" spans="21:21">
      <c r="U625" s="35"/>
    </row>
    <row r="626" spans="21:21">
      <c r="U626" s="35"/>
    </row>
    <row r="627" spans="21:21">
      <c r="U627" s="35"/>
    </row>
    <row r="628" spans="21:21">
      <c r="U628" s="35"/>
    </row>
    <row r="629" spans="21:21">
      <c r="U629" s="35"/>
    </row>
    <row r="630" spans="21:21">
      <c r="U630" s="35"/>
    </row>
    <row r="631" spans="21:21">
      <c r="U631" s="35"/>
    </row>
    <row r="632" spans="21:21">
      <c r="U632" s="35"/>
    </row>
    <row r="633" spans="21:21">
      <c r="U633" s="35"/>
    </row>
    <row r="634" spans="21:21">
      <c r="U634" s="35"/>
    </row>
    <row r="635" spans="21:21">
      <c r="U635" s="35"/>
    </row>
    <row r="636" spans="21:21">
      <c r="U636" s="35"/>
    </row>
    <row r="637" spans="21:21">
      <c r="U637" s="35"/>
    </row>
    <row r="638" spans="21:21">
      <c r="U638" s="35"/>
    </row>
    <row r="639" spans="21:21">
      <c r="U639" s="35"/>
    </row>
    <row r="640" spans="21:21">
      <c r="U640" s="35"/>
    </row>
    <row r="641" spans="21:21">
      <c r="U641" s="35"/>
    </row>
    <row r="642" spans="21:21">
      <c r="U642" s="35"/>
    </row>
    <row r="643" spans="21:21">
      <c r="U643" s="35"/>
    </row>
    <row r="644" spans="21:21">
      <c r="U644" s="35"/>
    </row>
    <row r="645" spans="21:21">
      <c r="U645" s="35"/>
    </row>
    <row r="646" spans="21:21">
      <c r="U646" s="35"/>
    </row>
    <row r="647" spans="21:21">
      <c r="U647" s="35"/>
    </row>
    <row r="648" spans="21:21">
      <c r="U648" s="35"/>
    </row>
    <row r="649" spans="21:21">
      <c r="U649" s="35"/>
    </row>
    <row r="650" spans="21:21">
      <c r="U650" s="35"/>
    </row>
    <row r="651" spans="21:21">
      <c r="U651" s="35"/>
    </row>
    <row r="652" spans="21:21">
      <c r="U652" s="35"/>
    </row>
    <row r="653" spans="21:21">
      <c r="U653" s="35"/>
    </row>
    <row r="654" spans="21:21">
      <c r="U654" s="35"/>
    </row>
    <row r="655" spans="21:21">
      <c r="U655" s="35"/>
    </row>
    <row r="656" spans="21:21">
      <c r="U656" s="35"/>
    </row>
    <row r="657" spans="21:21">
      <c r="U657" s="35"/>
    </row>
    <row r="658" spans="21:21">
      <c r="U658" s="35"/>
    </row>
    <row r="659" spans="21:21">
      <c r="U659" s="35"/>
    </row>
    <row r="660" spans="21:21">
      <c r="U660" s="35"/>
    </row>
    <row r="661" spans="21:21">
      <c r="U661" s="35"/>
    </row>
    <row r="662" spans="21:21">
      <c r="U662" s="35"/>
    </row>
    <row r="663" spans="21:21">
      <c r="U663" s="35"/>
    </row>
    <row r="664" spans="21:21">
      <c r="U664" s="35"/>
    </row>
    <row r="665" spans="21:21">
      <c r="U665" s="35"/>
    </row>
    <row r="666" spans="21:21">
      <c r="U666" s="35"/>
    </row>
    <row r="667" spans="21:21">
      <c r="U667" s="35"/>
    </row>
    <row r="668" spans="21:21">
      <c r="U668" s="35"/>
    </row>
    <row r="669" spans="21:21">
      <c r="U669" s="35"/>
    </row>
    <row r="670" spans="21:21">
      <c r="U670" s="35"/>
    </row>
    <row r="671" spans="21:21">
      <c r="U671" s="35"/>
    </row>
    <row r="672" spans="21:21">
      <c r="U672" s="35"/>
    </row>
    <row r="673" spans="21:21">
      <c r="U673" s="35"/>
    </row>
    <row r="674" spans="21:21">
      <c r="U674" s="35"/>
    </row>
    <row r="675" spans="21:21">
      <c r="U675" s="35"/>
    </row>
    <row r="676" spans="21:21">
      <c r="U676" s="35"/>
    </row>
    <row r="677" spans="21:21">
      <c r="U677" s="35"/>
    </row>
    <row r="678" spans="21:21">
      <c r="U678" s="35"/>
    </row>
    <row r="679" spans="21:21">
      <c r="U679" s="35"/>
    </row>
    <row r="680" spans="21:21">
      <c r="U680" s="35"/>
    </row>
    <row r="681" spans="21:21">
      <c r="U681" s="35"/>
    </row>
    <row r="682" spans="21:21">
      <c r="U682" s="35"/>
    </row>
    <row r="683" spans="21:21">
      <c r="U683" s="35"/>
    </row>
    <row r="684" spans="21:21">
      <c r="U684" s="35"/>
    </row>
    <row r="685" spans="21:21">
      <c r="U685" s="35"/>
    </row>
    <row r="686" spans="21:21">
      <c r="U686" s="35"/>
    </row>
    <row r="687" spans="21:21">
      <c r="U687" s="35"/>
    </row>
    <row r="688" spans="21:21">
      <c r="U688" s="35"/>
    </row>
    <row r="689" spans="21:21">
      <c r="U689" s="35"/>
    </row>
    <row r="690" spans="21:21">
      <c r="U690" s="35"/>
    </row>
    <row r="691" spans="21:21">
      <c r="U691" s="35"/>
    </row>
    <row r="692" spans="21:21">
      <c r="U692" s="35"/>
    </row>
    <row r="693" spans="21:21">
      <c r="U693" s="35"/>
    </row>
    <row r="694" spans="21:21">
      <c r="U694" s="35"/>
    </row>
    <row r="695" spans="21:21">
      <c r="U695" s="35"/>
    </row>
    <row r="696" spans="21:21">
      <c r="U696" s="35"/>
    </row>
    <row r="697" spans="21:21">
      <c r="U697" s="35"/>
    </row>
    <row r="698" spans="21:21">
      <c r="U698" s="35"/>
    </row>
    <row r="699" spans="21:21">
      <c r="U699" s="35"/>
    </row>
    <row r="700" spans="21:21">
      <c r="U700" s="35"/>
    </row>
    <row r="701" spans="21:21">
      <c r="U701" s="35"/>
    </row>
    <row r="702" spans="21:21">
      <c r="U702" s="35"/>
    </row>
    <row r="703" spans="21:21">
      <c r="U703" s="35"/>
    </row>
    <row r="704" spans="21:21">
      <c r="U704" s="35"/>
    </row>
    <row r="705" spans="21:21">
      <c r="U705" s="35"/>
    </row>
    <row r="706" spans="21:21">
      <c r="U706" s="35"/>
    </row>
    <row r="707" spans="21:21">
      <c r="U707" s="35"/>
    </row>
    <row r="708" spans="21:21">
      <c r="U708" s="35"/>
    </row>
    <row r="709" spans="21:21">
      <c r="U709" s="35"/>
    </row>
    <row r="710" spans="21:21">
      <c r="U710" s="35"/>
    </row>
    <row r="711" spans="21:21">
      <c r="U711" s="35"/>
    </row>
    <row r="712" spans="21:21">
      <c r="U712" s="35"/>
    </row>
    <row r="713" spans="21:21">
      <c r="U713" s="35"/>
    </row>
    <row r="714" spans="21:21">
      <c r="U714" s="35"/>
    </row>
    <row r="715" spans="21:21">
      <c r="U715" s="35"/>
    </row>
    <row r="716" spans="21:21">
      <c r="U716" s="35"/>
    </row>
    <row r="717" spans="21:21">
      <c r="U717" s="35"/>
    </row>
    <row r="718" spans="21:21">
      <c r="U718" s="35"/>
    </row>
    <row r="719" spans="21:21">
      <c r="U719" s="35"/>
    </row>
    <row r="720" spans="21:21">
      <c r="U720" s="35"/>
    </row>
    <row r="721" spans="21:21">
      <c r="U721" s="35"/>
    </row>
    <row r="722" spans="21:21">
      <c r="U722" s="35"/>
    </row>
    <row r="723" spans="21:21">
      <c r="U723" s="35"/>
    </row>
    <row r="724" spans="21:21">
      <c r="U724" s="35"/>
    </row>
    <row r="725" spans="21:21">
      <c r="U725" s="35"/>
    </row>
    <row r="726" spans="21:21">
      <c r="U726" s="35"/>
    </row>
    <row r="727" spans="21:21">
      <c r="U727" s="35"/>
    </row>
    <row r="728" spans="21:21">
      <c r="U728" s="35"/>
    </row>
    <row r="729" spans="21:21">
      <c r="U729" s="35"/>
    </row>
    <row r="730" spans="21:21">
      <c r="U730" s="35"/>
    </row>
    <row r="731" spans="21:21">
      <c r="U731" s="35"/>
    </row>
    <row r="732" spans="21:21">
      <c r="U732" s="35"/>
    </row>
    <row r="733" spans="21:21">
      <c r="U733" s="35"/>
    </row>
    <row r="734" spans="21:21">
      <c r="U734" s="35"/>
    </row>
    <row r="735" spans="21:21">
      <c r="U735" s="35"/>
    </row>
    <row r="736" spans="21:21">
      <c r="U736" s="35"/>
    </row>
    <row r="737" spans="21:21">
      <c r="U737" s="35"/>
    </row>
    <row r="738" spans="21:21">
      <c r="U738" s="35"/>
    </row>
    <row r="739" spans="21:21">
      <c r="U739" s="35"/>
    </row>
    <row r="740" spans="21:21">
      <c r="U740" s="35"/>
    </row>
    <row r="741" spans="21:21">
      <c r="U741" s="35"/>
    </row>
    <row r="742" spans="21:21">
      <c r="U742" s="35"/>
    </row>
    <row r="743" spans="21:21">
      <c r="U743" s="35"/>
    </row>
    <row r="744" spans="21:21">
      <c r="U744" s="35"/>
    </row>
    <row r="745" spans="21:21">
      <c r="U745" s="35"/>
    </row>
    <row r="746" spans="21:21">
      <c r="U746" s="35"/>
    </row>
    <row r="747" spans="21:21">
      <c r="U747" s="35"/>
    </row>
    <row r="748" spans="21:21">
      <c r="U748" s="35"/>
    </row>
    <row r="749" spans="21:21">
      <c r="U749" s="35"/>
    </row>
    <row r="750" spans="21:21">
      <c r="U750" s="35"/>
    </row>
    <row r="751" spans="21:21">
      <c r="U751" s="35"/>
    </row>
    <row r="752" spans="21:21">
      <c r="U752" s="35"/>
    </row>
    <row r="753" spans="21:21">
      <c r="U753" s="35"/>
    </row>
    <row r="754" spans="21:21">
      <c r="U754" s="35"/>
    </row>
    <row r="755" spans="21:21">
      <c r="U755" s="35"/>
    </row>
    <row r="756" spans="21:21">
      <c r="U756" s="35"/>
    </row>
    <row r="757" spans="21:21">
      <c r="U757" s="35"/>
    </row>
    <row r="758" spans="21:21">
      <c r="U758" s="35"/>
    </row>
    <row r="759" spans="21:21">
      <c r="U759" s="35"/>
    </row>
    <row r="760" spans="21:21">
      <c r="U760" s="35"/>
    </row>
    <row r="761" spans="21:21">
      <c r="U761" s="35"/>
    </row>
    <row r="762" spans="21:21">
      <c r="U762" s="35"/>
    </row>
    <row r="763" spans="21:21">
      <c r="U763" s="35"/>
    </row>
    <row r="764" spans="21:21">
      <c r="U764" s="35"/>
    </row>
    <row r="765" spans="21:21">
      <c r="U765" s="35"/>
    </row>
    <row r="766" spans="21:21">
      <c r="U766" s="35"/>
    </row>
    <row r="767" spans="21:21">
      <c r="U767" s="35"/>
    </row>
    <row r="768" spans="21:21">
      <c r="U768" s="35"/>
    </row>
    <row r="769" spans="21:21">
      <c r="U769" s="35"/>
    </row>
    <row r="770" spans="21:21">
      <c r="U770" s="35"/>
    </row>
    <row r="771" spans="21:21">
      <c r="U771" s="35"/>
    </row>
    <row r="772" spans="21:21">
      <c r="U772" s="35"/>
    </row>
    <row r="773" spans="21:21">
      <c r="U773" s="35"/>
    </row>
    <row r="774" spans="21:21">
      <c r="U774" s="35"/>
    </row>
    <row r="775" spans="21:21">
      <c r="U775" s="35"/>
    </row>
    <row r="776" spans="21:21">
      <c r="U776" s="35"/>
    </row>
    <row r="777" spans="21:21">
      <c r="U777" s="35"/>
    </row>
    <row r="778" spans="21:21">
      <c r="U778" s="35"/>
    </row>
    <row r="779" spans="21:21">
      <c r="U779" s="35"/>
    </row>
    <row r="780" spans="21:21">
      <c r="U780" s="35"/>
    </row>
    <row r="781" spans="21:21">
      <c r="U781" s="35"/>
    </row>
    <row r="782" spans="21:21">
      <c r="U782" s="35"/>
    </row>
    <row r="783" spans="21:21">
      <c r="U783" s="35"/>
    </row>
    <row r="784" spans="21:21">
      <c r="U784" s="35"/>
    </row>
    <row r="785" spans="21:21">
      <c r="U785" s="35"/>
    </row>
    <row r="786" spans="21:21">
      <c r="U786" s="35"/>
    </row>
    <row r="787" spans="21:21">
      <c r="U787" s="35"/>
    </row>
    <row r="788" spans="21:21">
      <c r="U788" s="35"/>
    </row>
    <row r="789" spans="21:21">
      <c r="U789" s="35"/>
    </row>
    <row r="790" spans="21:21">
      <c r="U790" s="35"/>
    </row>
    <row r="791" spans="21:21">
      <c r="U791" s="35"/>
    </row>
    <row r="792" spans="21:21">
      <c r="U792" s="35"/>
    </row>
    <row r="793" spans="21:21">
      <c r="U793" s="35"/>
    </row>
    <row r="794" spans="21:21">
      <c r="U794" s="35"/>
    </row>
    <row r="795" spans="21:21">
      <c r="U795" s="35"/>
    </row>
    <row r="796" spans="21:21">
      <c r="U796" s="35"/>
    </row>
    <row r="797" spans="21:21">
      <c r="U797" s="35"/>
    </row>
    <row r="798" spans="21:21">
      <c r="U798" s="35"/>
    </row>
    <row r="799" spans="21:21">
      <c r="U799" s="35"/>
    </row>
    <row r="800" spans="21:21">
      <c r="U800" s="35"/>
    </row>
    <row r="801" spans="21:21">
      <c r="U801" s="35"/>
    </row>
    <row r="802" spans="21:21">
      <c r="U802" s="35"/>
    </row>
    <row r="803" spans="21:21">
      <c r="U803" s="35"/>
    </row>
    <row r="804" spans="21:21">
      <c r="U804" s="35"/>
    </row>
    <row r="805" spans="21:21">
      <c r="U805" s="35"/>
    </row>
    <row r="806" spans="21:21">
      <c r="U806" s="35"/>
    </row>
    <row r="807" spans="21:21">
      <c r="U807" s="35"/>
    </row>
    <row r="808" spans="21:21">
      <c r="U808" s="35"/>
    </row>
    <row r="809" spans="21:21">
      <c r="U809" s="35"/>
    </row>
    <row r="810" spans="21:21">
      <c r="U810" s="35"/>
    </row>
    <row r="811" spans="21:21">
      <c r="U811" s="35"/>
    </row>
    <row r="812" spans="21:21">
      <c r="U812" s="35"/>
    </row>
    <row r="813" spans="21:21">
      <c r="U813" s="35"/>
    </row>
    <row r="814" spans="21:21">
      <c r="U814" s="35"/>
    </row>
    <row r="815" spans="21:21">
      <c r="U815" s="35"/>
    </row>
    <row r="816" spans="21:21">
      <c r="U816" s="35"/>
    </row>
    <row r="817" spans="21:21">
      <c r="U817" s="35"/>
    </row>
    <row r="818" spans="21:21">
      <c r="U818" s="35"/>
    </row>
    <row r="819" spans="21:21">
      <c r="U819" s="35"/>
    </row>
    <row r="820" spans="21:21">
      <c r="U820" s="35"/>
    </row>
    <row r="821" spans="21:21">
      <c r="U821" s="35"/>
    </row>
    <row r="822" spans="21:21">
      <c r="U822" s="35"/>
    </row>
    <row r="823" spans="21:21">
      <c r="U823" s="35"/>
    </row>
    <row r="824" spans="21:21">
      <c r="U824" s="35"/>
    </row>
    <row r="825" spans="21:21">
      <c r="U825" s="35"/>
    </row>
    <row r="826" spans="21:21">
      <c r="U826" s="35"/>
    </row>
    <row r="827" spans="21:21">
      <c r="U827" s="35"/>
    </row>
    <row r="828" spans="21:21">
      <c r="U828" s="35"/>
    </row>
    <row r="829" spans="21:21">
      <c r="U829" s="35"/>
    </row>
    <row r="830" spans="21:21">
      <c r="U830" s="35"/>
    </row>
    <row r="831" spans="21:21">
      <c r="U831" s="35"/>
    </row>
    <row r="832" spans="21:21">
      <c r="U832" s="35"/>
    </row>
    <row r="833" spans="21:21">
      <c r="U833" s="35"/>
    </row>
    <row r="834" spans="21:21">
      <c r="U834" s="35"/>
    </row>
    <row r="835" spans="21:21">
      <c r="U835" s="35"/>
    </row>
    <row r="836" spans="21:21">
      <c r="U836" s="35"/>
    </row>
    <row r="837" spans="21:21">
      <c r="U837" s="35"/>
    </row>
    <row r="838" spans="21:21">
      <c r="U838" s="35"/>
    </row>
    <row r="839" spans="21:21">
      <c r="U839" s="35"/>
    </row>
    <row r="840" spans="21:21">
      <c r="U840" s="35"/>
    </row>
    <row r="841" spans="21:21">
      <c r="U841" s="35"/>
    </row>
    <row r="842" spans="21:21">
      <c r="U842" s="35"/>
    </row>
  </sheetData>
  <mergeCells count="10">
    <mergeCell ref="A1:V2"/>
    <mergeCell ref="A3:A4"/>
    <mergeCell ref="B3:B4"/>
    <mergeCell ref="C3:C4"/>
    <mergeCell ref="D3:D4"/>
    <mergeCell ref="E3:E4"/>
    <mergeCell ref="F3:F4"/>
    <mergeCell ref="G3:G4"/>
    <mergeCell ref="H3:T3"/>
    <mergeCell ref="V3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87"/>
  <sheetViews>
    <sheetView tabSelected="1" zoomScale="80" zoomScaleNormal="80" workbookViewId="0">
      <selection activeCell="B26" sqref="B26"/>
    </sheetView>
  </sheetViews>
  <sheetFormatPr defaultColWidth="14.42578125" defaultRowHeight="15"/>
  <cols>
    <col min="1" max="1" width="29.85546875" style="11" customWidth="1"/>
    <col min="2" max="2" width="79.42578125" style="11" customWidth="1"/>
    <col min="3" max="3" width="16.140625" style="11" customWidth="1"/>
    <col min="4" max="4" width="27.7109375" style="11" customWidth="1"/>
    <col min="5" max="5" width="70.85546875" style="11" customWidth="1"/>
    <col min="6" max="6" width="76.5703125" style="11" customWidth="1"/>
    <col min="7" max="7" width="44.140625" style="11" customWidth="1"/>
    <col min="8" max="8" width="9.42578125" style="11" customWidth="1"/>
    <col min="9" max="10" width="9.85546875" style="11" customWidth="1"/>
    <col min="11" max="11" width="9.42578125" style="11" customWidth="1"/>
    <col min="12" max="15" width="10.42578125" style="11" customWidth="1"/>
    <col min="16" max="19" width="9.42578125" style="11" customWidth="1"/>
    <col min="20" max="20" width="4.42578125" style="11" customWidth="1"/>
    <col min="21" max="21" width="9.42578125" style="11" customWidth="1"/>
    <col min="22" max="23" width="9.85546875" style="11" customWidth="1"/>
    <col min="24" max="24" width="9.42578125" style="11" customWidth="1"/>
    <col min="25" max="28" width="10.42578125" style="11" customWidth="1"/>
    <col min="29" max="32" width="9.42578125" style="11" customWidth="1"/>
    <col min="33" max="33" width="4.42578125" style="11" customWidth="1"/>
    <col min="34" max="34" width="9.42578125" style="11" customWidth="1"/>
    <col min="35" max="36" width="11.85546875" style="11" customWidth="1"/>
    <col min="37" max="37" width="12.28515625" style="11" customWidth="1"/>
    <col min="38" max="38" width="11.85546875" style="11" customWidth="1"/>
    <col min="39" max="39" width="12.28515625" style="11" customWidth="1"/>
    <col min="40" max="40" width="11.28515625" style="11" customWidth="1"/>
    <col min="41" max="41" width="11.85546875" style="11" customWidth="1"/>
    <col min="42" max="42" width="10.85546875" style="11" customWidth="1"/>
    <col min="43" max="44" width="10.42578125" style="11" customWidth="1"/>
    <col min="45" max="45" width="11.28515625" style="11" customWidth="1"/>
    <col min="46" max="46" width="10.42578125" style="11" customWidth="1"/>
    <col min="47" max="47" width="16.85546875" style="11" customWidth="1"/>
    <col min="48" max="48" width="12.28515625" style="11" customWidth="1"/>
    <col min="49" max="50" width="13.28515625" style="11" customWidth="1"/>
    <col min="51" max="52" width="13.7109375" style="11" customWidth="1"/>
    <col min="53" max="55" width="13.28515625" style="11" customWidth="1"/>
    <col min="56" max="58" width="12.28515625" style="11" customWidth="1"/>
    <col min="59" max="59" width="13.28515625" style="11" customWidth="1"/>
    <col min="60" max="60" width="10.85546875" style="11" customWidth="1"/>
    <col min="61" max="61" width="16.28515625" style="11" customWidth="1"/>
    <col min="62" max="62" width="150.140625" style="11" customWidth="1"/>
    <col min="63" max="64" width="69.28515625" style="11" customWidth="1"/>
    <col min="65" max="16384" width="14.42578125" style="11"/>
  </cols>
  <sheetData>
    <row r="1" spans="1:64" customFormat="1" ht="23.25" customHeight="1">
      <c r="A1" s="106" t="str">
        <f>A5</f>
        <v>MUNICIPIO DE PALHOCA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36"/>
    </row>
    <row r="2" spans="1:64" customFormat="1" ht="23.25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36"/>
    </row>
    <row r="3" spans="1:64" customFormat="1" ht="15" customHeight="1">
      <c r="A3" s="97" t="s">
        <v>0</v>
      </c>
      <c r="B3" s="97" t="s">
        <v>1</v>
      </c>
      <c r="C3" s="97" t="s">
        <v>2</v>
      </c>
      <c r="D3" s="97" t="s">
        <v>3</v>
      </c>
      <c r="E3" s="97" t="s">
        <v>1970</v>
      </c>
      <c r="F3" s="97" t="s">
        <v>1971</v>
      </c>
      <c r="G3" s="97" t="s">
        <v>5</v>
      </c>
      <c r="H3" s="107" t="s">
        <v>1972</v>
      </c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8" t="s">
        <v>1973</v>
      </c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98" t="s">
        <v>7</v>
      </c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9" t="s">
        <v>8</v>
      </c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7" t="s">
        <v>695</v>
      </c>
      <c r="BK3" s="37"/>
    </row>
    <row r="4" spans="1:64" customFormat="1">
      <c r="A4" s="97"/>
      <c r="B4" s="97"/>
      <c r="C4" s="97"/>
      <c r="D4" s="97"/>
      <c r="E4" s="97"/>
      <c r="F4" s="97"/>
      <c r="G4" s="97"/>
      <c r="H4" s="4">
        <v>1</v>
      </c>
      <c r="I4" s="4">
        <v>2</v>
      </c>
      <c r="J4" s="4">
        <v>3</v>
      </c>
      <c r="K4" s="4">
        <v>4</v>
      </c>
      <c r="L4" s="4">
        <v>5</v>
      </c>
      <c r="M4" s="4">
        <v>6</v>
      </c>
      <c r="N4" s="4">
        <v>7</v>
      </c>
      <c r="O4" s="4">
        <v>8</v>
      </c>
      <c r="P4" s="4">
        <v>9</v>
      </c>
      <c r="Q4" s="4">
        <v>10</v>
      </c>
      <c r="R4" s="4">
        <v>11</v>
      </c>
      <c r="S4" s="4">
        <v>12</v>
      </c>
      <c r="T4" s="4">
        <v>13</v>
      </c>
      <c r="U4" s="3">
        <v>1</v>
      </c>
      <c r="V4" s="3">
        <v>2</v>
      </c>
      <c r="W4" s="3">
        <v>3</v>
      </c>
      <c r="X4" s="3">
        <v>4</v>
      </c>
      <c r="Y4" s="3">
        <v>5</v>
      </c>
      <c r="Z4" s="3">
        <v>6</v>
      </c>
      <c r="AA4" s="3">
        <v>7</v>
      </c>
      <c r="AB4" s="3">
        <v>8</v>
      </c>
      <c r="AC4" s="3">
        <v>9</v>
      </c>
      <c r="AD4" s="3">
        <v>10</v>
      </c>
      <c r="AE4" s="3">
        <v>11</v>
      </c>
      <c r="AF4" s="3">
        <v>12</v>
      </c>
      <c r="AG4" s="3">
        <v>13</v>
      </c>
      <c r="AH4" s="4">
        <v>1</v>
      </c>
      <c r="AI4" s="4">
        <v>2</v>
      </c>
      <c r="AJ4" s="4">
        <v>3</v>
      </c>
      <c r="AK4" s="4">
        <v>4</v>
      </c>
      <c r="AL4" s="4">
        <v>5</v>
      </c>
      <c r="AM4" s="4">
        <v>6</v>
      </c>
      <c r="AN4" s="4">
        <v>7</v>
      </c>
      <c r="AO4" s="4">
        <v>8</v>
      </c>
      <c r="AP4" s="4">
        <v>9</v>
      </c>
      <c r="AQ4" s="4">
        <v>10</v>
      </c>
      <c r="AR4" s="4">
        <v>11</v>
      </c>
      <c r="AS4" s="4">
        <v>12</v>
      </c>
      <c r="AT4" s="4">
        <v>13</v>
      </c>
      <c r="AU4" s="4" t="s">
        <v>1974</v>
      </c>
      <c r="AV4" s="3">
        <v>1</v>
      </c>
      <c r="AW4" s="3">
        <v>2</v>
      </c>
      <c r="AX4" s="3">
        <v>3</v>
      </c>
      <c r="AY4" s="3">
        <v>4</v>
      </c>
      <c r="AZ4" s="3">
        <v>5</v>
      </c>
      <c r="BA4" s="3">
        <v>6</v>
      </c>
      <c r="BB4" s="3">
        <v>7</v>
      </c>
      <c r="BC4" s="3">
        <v>8</v>
      </c>
      <c r="BD4" s="3">
        <v>9</v>
      </c>
      <c r="BE4" s="3">
        <v>10</v>
      </c>
      <c r="BF4" s="3">
        <v>11</v>
      </c>
      <c r="BG4" s="3">
        <v>12</v>
      </c>
      <c r="BH4" s="3">
        <v>13</v>
      </c>
      <c r="BI4" s="3" t="s">
        <v>1974</v>
      </c>
      <c r="BJ4" s="97"/>
      <c r="BK4" s="37"/>
    </row>
    <row r="5" spans="1:64" ht="15.75" customHeight="1">
      <c r="A5" s="28" t="s">
        <v>697</v>
      </c>
      <c r="B5" s="28" t="s">
        <v>1975</v>
      </c>
      <c r="C5" s="29" t="s">
        <v>1976</v>
      </c>
      <c r="D5" s="28" t="s">
        <v>1977</v>
      </c>
      <c r="E5" s="28">
        <v>50</v>
      </c>
      <c r="F5" s="28">
        <v>74.64</v>
      </c>
      <c r="G5" s="28">
        <v>133.00399999999999</v>
      </c>
      <c r="H5" s="38">
        <v>124.64</v>
      </c>
      <c r="I5" s="38">
        <v>118.408</v>
      </c>
      <c r="J5" s="38">
        <v>111.19199999999999</v>
      </c>
      <c r="K5" s="38">
        <v>44.444000000000003</v>
      </c>
      <c r="L5" s="38">
        <v>133.00399999999999</v>
      </c>
      <c r="M5" s="38">
        <v>128.904</v>
      </c>
      <c r="N5" s="38">
        <v>125.952</v>
      </c>
      <c r="O5" s="38">
        <v>117.42400000000001</v>
      </c>
      <c r="P5" s="38">
        <v>56.088000000000001</v>
      </c>
      <c r="Q5" s="38">
        <v>49.527999999999999</v>
      </c>
      <c r="R5" s="38">
        <v>84.296000000000006</v>
      </c>
      <c r="S5" s="38">
        <v>71.176000000000002</v>
      </c>
      <c r="T5" s="38">
        <v>0</v>
      </c>
      <c r="U5" s="31">
        <v>124.64</v>
      </c>
      <c r="V5" s="31">
        <v>118.408</v>
      </c>
      <c r="W5" s="31">
        <v>111.19199999999999</v>
      </c>
      <c r="X5" s="31">
        <v>44.444000000000003</v>
      </c>
      <c r="Y5" s="31">
        <v>133.00399999999999</v>
      </c>
      <c r="Z5" s="31">
        <v>128.904</v>
      </c>
      <c r="AA5" s="31">
        <v>125.952</v>
      </c>
      <c r="AB5" s="31">
        <v>117.42400000000001</v>
      </c>
      <c r="AC5" s="31">
        <v>56.088000000000001</v>
      </c>
      <c r="AD5" s="31">
        <v>49.527999999999999</v>
      </c>
      <c r="AE5" s="31">
        <v>84.296000000000006</v>
      </c>
      <c r="AF5" s="31">
        <v>71.176000000000002</v>
      </c>
      <c r="AG5" s="31">
        <v>0</v>
      </c>
      <c r="AH5" s="38">
        <v>1504.7</v>
      </c>
      <c r="AI5" s="38">
        <v>1349.269</v>
      </c>
      <c r="AJ5" s="38">
        <v>1345.21</v>
      </c>
      <c r="AK5" s="38">
        <v>709.99699999999996</v>
      </c>
      <c r="AL5" s="38">
        <v>1761.155</v>
      </c>
      <c r="AM5" s="38">
        <v>1694.202</v>
      </c>
      <c r="AN5" s="38">
        <v>1185.4739999999999</v>
      </c>
      <c r="AO5" s="38">
        <v>1099.4559999999999</v>
      </c>
      <c r="AP5" s="38">
        <v>960.42499999999995</v>
      </c>
      <c r="AQ5" s="38">
        <v>951.85599999999999</v>
      </c>
      <c r="AR5" s="38">
        <v>996.75099999999998</v>
      </c>
      <c r="AS5" s="38">
        <v>1185.269</v>
      </c>
      <c r="AT5" s="38">
        <v>0</v>
      </c>
      <c r="AU5" s="38">
        <f t="shared" ref="AU5:AU17" si="0">AVERAGE(AH5:AT5)</f>
        <v>1134.1356923076924</v>
      </c>
      <c r="AV5" s="31">
        <v>18429.91</v>
      </c>
      <c r="AW5" s="31">
        <v>19749.330999999998</v>
      </c>
      <c r="AX5" s="31">
        <v>13604.21</v>
      </c>
      <c r="AY5" s="31">
        <v>5994.8149999999996</v>
      </c>
      <c r="AZ5" s="31">
        <v>25847.63</v>
      </c>
      <c r="BA5" s="31">
        <v>23798.614000000001</v>
      </c>
      <c r="BB5" s="31">
        <v>15646.543</v>
      </c>
      <c r="BC5" s="31">
        <v>13445.95</v>
      </c>
      <c r="BD5" s="31">
        <v>9797.1139999999996</v>
      </c>
      <c r="BE5" s="31">
        <v>8807.6610000000001</v>
      </c>
      <c r="BF5" s="31">
        <v>9756.2780000000002</v>
      </c>
      <c r="BG5" s="31">
        <v>10406.579</v>
      </c>
      <c r="BH5" s="31">
        <v>0</v>
      </c>
      <c r="BI5" s="31">
        <f t="shared" ref="BI5:BI17" si="1">AVERAGE(AV5:BH5)</f>
        <v>13483.43346153846</v>
      </c>
      <c r="BJ5" s="28" t="s">
        <v>1978</v>
      </c>
      <c r="BK5" s="39"/>
      <c r="BL5" s="40"/>
    </row>
    <row r="6" spans="1:64" ht="15.75" customHeight="1">
      <c r="A6" s="28" t="s">
        <v>697</v>
      </c>
      <c r="B6" s="28" t="s">
        <v>1979</v>
      </c>
      <c r="C6" s="29" t="s">
        <v>1980</v>
      </c>
      <c r="D6" s="28" t="s">
        <v>1977</v>
      </c>
      <c r="E6" s="28">
        <v>87.951999999999998</v>
      </c>
      <c r="F6" s="28">
        <v>0</v>
      </c>
      <c r="G6" s="28">
        <v>87.951999999999998</v>
      </c>
      <c r="H6" s="38">
        <v>0</v>
      </c>
      <c r="I6" s="38">
        <v>0</v>
      </c>
      <c r="J6" s="38">
        <v>0</v>
      </c>
      <c r="K6" s="38">
        <v>87.951999999999998</v>
      </c>
      <c r="L6" s="38">
        <v>75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1">
        <v>0</v>
      </c>
      <c r="V6" s="31">
        <v>0</v>
      </c>
      <c r="W6" s="31">
        <v>0</v>
      </c>
      <c r="X6" s="31">
        <v>87.951999999999998</v>
      </c>
      <c r="Y6" s="31">
        <v>75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8">
        <v>0</v>
      </c>
      <c r="AI6" s="38">
        <v>0</v>
      </c>
      <c r="AJ6" s="38">
        <v>0</v>
      </c>
      <c r="AK6" s="38">
        <v>2256.3809999999999</v>
      </c>
      <c r="AL6" s="38">
        <v>2212.645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f t="shared" si="0"/>
        <v>343.77123076923078</v>
      </c>
      <c r="AV6" s="31">
        <v>0</v>
      </c>
      <c r="AW6" s="31">
        <v>0</v>
      </c>
      <c r="AX6" s="31">
        <v>0</v>
      </c>
      <c r="AY6" s="31">
        <v>22249.506000000001</v>
      </c>
      <c r="AZ6" s="31">
        <v>21948.563999999998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f t="shared" si="1"/>
        <v>3399.8515384615384</v>
      </c>
      <c r="BJ6" s="28" t="s">
        <v>1981</v>
      </c>
      <c r="BK6" s="39"/>
      <c r="BL6" s="40"/>
    </row>
    <row r="7" spans="1:64" ht="15.75" customHeight="1">
      <c r="A7" s="28" t="s">
        <v>697</v>
      </c>
      <c r="B7" s="28" t="s">
        <v>1982</v>
      </c>
      <c r="C7" s="29" t="s">
        <v>1983</v>
      </c>
      <c r="D7" s="28" t="s">
        <v>1977</v>
      </c>
      <c r="E7" s="28">
        <v>46.494</v>
      </c>
      <c r="F7" s="28">
        <v>6.7530000000000001</v>
      </c>
      <c r="G7" s="28">
        <v>64.962000000000003</v>
      </c>
      <c r="H7" s="38">
        <v>53.247</v>
      </c>
      <c r="I7" s="38">
        <v>51.308999999999997</v>
      </c>
      <c r="J7" s="38">
        <v>50.701000000000001</v>
      </c>
      <c r="K7" s="38">
        <v>55.534999999999997</v>
      </c>
      <c r="L7" s="38">
        <v>64.593000000000004</v>
      </c>
      <c r="M7" s="38">
        <v>64.962000000000003</v>
      </c>
      <c r="N7" s="38">
        <v>55.792999999999999</v>
      </c>
      <c r="O7" s="38">
        <v>42.121000000000002</v>
      </c>
      <c r="P7" s="38">
        <v>23.561</v>
      </c>
      <c r="Q7" s="38">
        <v>25.091999999999999</v>
      </c>
      <c r="R7" s="38">
        <v>45.607999999999997</v>
      </c>
      <c r="S7" s="38">
        <v>21.088000000000001</v>
      </c>
      <c r="T7" s="38">
        <v>0</v>
      </c>
      <c r="U7" s="31">
        <v>53.247</v>
      </c>
      <c r="V7" s="31">
        <v>51.308999999999997</v>
      </c>
      <c r="W7" s="31">
        <v>50.701000000000001</v>
      </c>
      <c r="X7" s="31">
        <v>55.534999999999997</v>
      </c>
      <c r="Y7" s="31">
        <v>64.593000000000004</v>
      </c>
      <c r="Z7" s="31">
        <v>64.962000000000003</v>
      </c>
      <c r="AA7" s="31">
        <v>55.792999999999999</v>
      </c>
      <c r="AB7" s="31">
        <v>42.121000000000002</v>
      </c>
      <c r="AC7" s="31">
        <v>23.561</v>
      </c>
      <c r="AD7" s="31">
        <v>25.091999999999999</v>
      </c>
      <c r="AE7" s="31">
        <v>45.607999999999997</v>
      </c>
      <c r="AF7" s="31">
        <v>21.088000000000001</v>
      </c>
      <c r="AG7" s="31">
        <v>0</v>
      </c>
      <c r="AH7" s="38">
        <v>0</v>
      </c>
      <c r="AI7" s="38">
        <v>0</v>
      </c>
      <c r="AJ7" s="38">
        <v>561.82600000000002</v>
      </c>
      <c r="AK7" s="38">
        <v>803.74199999999996</v>
      </c>
      <c r="AL7" s="38">
        <v>897.25099999999998</v>
      </c>
      <c r="AM7" s="38">
        <v>715.78599999999994</v>
      </c>
      <c r="AN7" s="38">
        <v>473.45499999999998</v>
      </c>
      <c r="AO7" s="38">
        <v>0</v>
      </c>
      <c r="AP7" s="38">
        <v>286.41800000000001</v>
      </c>
      <c r="AQ7" s="38">
        <v>321.18200000000002</v>
      </c>
      <c r="AR7" s="38">
        <v>317.428</v>
      </c>
      <c r="AS7" s="38">
        <v>0</v>
      </c>
      <c r="AT7" s="38">
        <v>0</v>
      </c>
      <c r="AU7" s="38">
        <f t="shared" si="0"/>
        <v>336.69907692307692</v>
      </c>
      <c r="AV7" s="31">
        <v>7751.6890000000003</v>
      </c>
      <c r="AW7" s="31">
        <v>8201.14</v>
      </c>
      <c r="AX7" s="31">
        <v>8240.2819999999992</v>
      </c>
      <c r="AY7" s="31">
        <v>10870.569</v>
      </c>
      <c r="AZ7" s="31">
        <v>13328.109</v>
      </c>
      <c r="BA7" s="31">
        <v>11492.759</v>
      </c>
      <c r="BB7" s="31">
        <v>7166.0259999999998</v>
      </c>
      <c r="BC7" s="31">
        <v>6107.5309999999999</v>
      </c>
      <c r="BD7" s="31">
        <v>3945.971</v>
      </c>
      <c r="BE7" s="31">
        <v>4572.1220000000003</v>
      </c>
      <c r="BF7" s="31">
        <v>4386.3860000000004</v>
      </c>
      <c r="BG7" s="31">
        <v>4273.08</v>
      </c>
      <c r="BH7" s="31">
        <v>0</v>
      </c>
      <c r="BI7" s="31">
        <f t="shared" si="1"/>
        <v>6948.8972307692311</v>
      </c>
      <c r="BJ7" s="28" t="s">
        <v>1984</v>
      </c>
      <c r="BK7" s="39"/>
      <c r="BL7" s="40"/>
    </row>
    <row r="8" spans="1:64" ht="15.75" customHeight="1">
      <c r="A8" s="28" t="s">
        <v>697</v>
      </c>
      <c r="B8" s="28" t="s">
        <v>1985</v>
      </c>
      <c r="C8" s="29" t="s">
        <v>1986</v>
      </c>
      <c r="D8" s="28" t="s">
        <v>1977</v>
      </c>
      <c r="E8" s="28">
        <v>128</v>
      </c>
      <c r="F8" s="28">
        <v>70.141000000000005</v>
      </c>
      <c r="G8" s="28">
        <v>70.355999999999995</v>
      </c>
      <c r="H8" s="38">
        <v>57.859000000000002</v>
      </c>
      <c r="I8" s="38">
        <v>54.168999999999997</v>
      </c>
      <c r="J8" s="38">
        <v>47.231999999999999</v>
      </c>
      <c r="K8" s="38">
        <v>10.726000000000001</v>
      </c>
      <c r="L8" s="38">
        <v>70.355999999999995</v>
      </c>
      <c r="M8" s="38">
        <v>64.747</v>
      </c>
      <c r="N8" s="38">
        <v>62.09</v>
      </c>
      <c r="O8" s="38">
        <v>48.462000000000003</v>
      </c>
      <c r="P8" s="38">
        <v>24.698</v>
      </c>
      <c r="Q8" s="38">
        <v>18.547999999999998</v>
      </c>
      <c r="R8" s="38">
        <v>50.085999999999999</v>
      </c>
      <c r="S8" s="38">
        <v>27.355</v>
      </c>
      <c r="T8" s="38">
        <v>0</v>
      </c>
      <c r="U8" s="31">
        <v>57.859000000000002</v>
      </c>
      <c r="V8" s="31">
        <v>54.168999999999997</v>
      </c>
      <c r="W8" s="31">
        <v>47.231999999999999</v>
      </c>
      <c r="X8" s="31">
        <v>10.726000000000001</v>
      </c>
      <c r="Y8" s="31">
        <v>70.355999999999995</v>
      </c>
      <c r="Z8" s="31">
        <v>64.747</v>
      </c>
      <c r="AA8" s="31">
        <v>62.09</v>
      </c>
      <c r="AB8" s="31">
        <v>48.462000000000003</v>
      </c>
      <c r="AC8" s="31">
        <v>24.698</v>
      </c>
      <c r="AD8" s="31">
        <v>18.547999999999998</v>
      </c>
      <c r="AE8" s="31">
        <v>50.085999999999999</v>
      </c>
      <c r="AF8" s="31">
        <v>27.355</v>
      </c>
      <c r="AG8" s="31">
        <v>0</v>
      </c>
      <c r="AH8" s="38">
        <v>0</v>
      </c>
      <c r="AI8" s="38">
        <v>0</v>
      </c>
      <c r="AJ8" s="38">
        <v>189.81399999999999</v>
      </c>
      <c r="AK8" s="38">
        <v>59.741</v>
      </c>
      <c r="AL8" s="38">
        <v>114.51300000000001</v>
      </c>
      <c r="AM8" s="38">
        <v>89.100999999999999</v>
      </c>
      <c r="AN8" s="38">
        <v>84.537999999999997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f t="shared" si="0"/>
        <v>41.36207692307692</v>
      </c>
      <c r="AV8" s="31">
        <v>4716.2749999999996</v>
      </c>
      <c r="AW8" s="31">
        <v>5326.232</v>
      </c>
      <c r="AX8" s="31">
        <v>2424.1460000000002</v>
      </c>
      <c r="AY8" s="31">
        <v>763.46100000000001</v>
      </c>
      <c r="AZ8" s="31">
        <v>9902.3119999999999</v>
      </c>
      <c r="BA8" s="31">
        <v>8257.4330000000009</v>
      </c>
      <c r="BB8" s="31">
        <v>4536.2150000000001</v>
      </c>
      <c r="BC8" s="31">
        <v>3430.5189999999998</v>
      </c>
      <c r="BD8" s="31">
        <v>1775.2470000000001</v>
      </c>
      <c r="BE8" s="31">
        <v>1326.4690000000001</v>
      </c>
      <c r="BF8" s="31">
        <v>1805.271</v>
      </c>
      <c r="BG8" s="31">
        <v>2059.192</v>
      </c>
      <c r="BH8" s="31">
        <v>0</v>
      </c>
      <c r="BI8" s="31">
        <f t="shared" si="1"/>
        <v>3563.2901538461542</v>
      </c>
      <c r="BJ8" s="28" t="s">
        <v>1987</v>
      </c>
      <c r="BK8" s="39"/>
      <c r="BL8" s="40"/>
    </row>
    <row r="9" spans="1:64" ht="15.75" customHeight="1">
      <c r="A9" s="28" t="s">
        <v>697</v>
      </c>
      <c r="B9" s="28" t="s">
        <v>1988</v>
      </c>
      <c r="C9" s="29" t="s">
        <v>1989</v>
      </c>
      <c r="D9" s="28" t="s">
        <v>1977</v>
      </c>
      <c r="E9" s="28">
        <v>70</v>
      </c>
      <c r="F9" s="28">
        <v>49.975999999999999</v>
      </c>
      <c r="G9" s="28">
        <v>28.437999999999999</v>
      </c>
      <c r="H9" s="38">
        <v>20.024000000000001</v>
      </c>
      <c r="I9" s="38">
        <v>19.582000000000001</v>
      </c>
      <c r="J9" s="38">
        <v>18.597999999999999</v>
      </c>
      <c r="K9" s="38">
        <v>22.533999999999999</v>
      </c>
      <c r="L9" s="38">
        <v>24.797000000000001</v>
      </c>
      <c r="M9" s="38">
        <v>25.928000000000001</v>
      </c>
      <c r="N9" s="38">
        <v>12.595000000000001</v>
      </c>
      <c r="O9" s="38">
        <v>12.202</v>
      </c>
      <c r="P9" s="38">
        <v>13.284000000000001</v>
      </c>
      <c r="Q9" s="38">
        <v>13.678000000000001</v>
      </c>
      <c r="R9" s="38">
        <v>28.437999999999999</v>
      </c>
      <c r="S9" s="38">
        <v>6.74</v>
      </c>
      <c r="T9" s="38">
        <v>0</v>
      </c>
      <c r="U9" s="31">
        <v>20.024000000000001</v>
      </c>
      <c r="V9" s="31">
        <v>19.582000000000001</v>
      </c>
      <c r="W9" s="31">
        <v>18.597999999999999</v>
      </c>
      <c r="X9" s="31">
        <v>22.533999999999999</v>
      </c>
      <c r="Y9" s="31">
        <v>24.797000000000001</v>
      </c>
      <c r="Z9" s="31">
        <v>25.928000000000001</v>
      </c>
      <c r="AA9" s="31">
        <v>12.595000000000001</v>
      </c>
      <c r="AB9" s="31">
        <v>12.202</v>
      </c>
      <c r="AC9" s="31">
        <v>13.284000000000001</v>
      </c>
      <c r="AD9" s="31">
        <v>13.678000000000001</v>
      </c>
      <c r="AE9" s="31">
        <v>28.437999999999999</v>
      </c>
      <c r="AF9" s="31">
        <v>6.74</v>
      </c>
      <c r="AG9" s="31">
        <v>0</v>
      </c>
      <c r="AH9" s="38">
        <v>47.686999999999998</v>
      </c>
      <c r="AI9" s="38">
        <v>45.423999999999999</v>
      </c>
      <c r="AJ9" s="38">
        <v>50.319000000000003</v>
      </c>
      <c r="AK9" s="38">
        <v>58.018999999999998</v>
      </c>
      <c r="AL9" s="38">
        <v>102.422</v>
      </c>
      <c r="AM9" s="38">
        <v>89.114000000000004</v>
      </c>
      <c r="AN9" s="38">
        <v>70.491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f t="shared" si="0"/>
        <v>35.652000000000001</v>
      </c>
      <c r="AV9" s="31">
        <v>1781.335</v>
      </c>
      <c r="AW9" s="31">
        <v>1970.5709999999999</v>
      </c>
      <c r="AX9" s="31">
        <v>1823.9549999999999</v>
      </c>
      <c r="AY9" s="31">
        <v>3208.9589999999998</v>
      </c>
      <c r="AZ9" s="31">
        <v>3912.3229999999999</v>
      </c>
      <c r="BA9" s="31">
        <v>3667.3069999999998</v>
      </c>
      <c r="BB9" s="31">
        <v>1882.232</v>
      </c>
      <c r="BC9" s="31">
        <v>1508.6690000000001</v>
      </c>
      <c r="BD9" s="31">
        <v>1253.05</v>
      </c>
      <c r="BE9" s="31">
        <v>1679.6880000000001</v>
      </c>
      <c r="BF9" s="31">
        <v>1251.4760000000001</v>
      </c>
      <c r="BG9" s="31">
        <v>832.99300000000005</v>
      </c>
      <c r="BH9" s="31">
        <v>0</v>
      </c>
      <c r="BI9" s="31">
        <f t="shared" si="1"/>
        <v>1905.5813846153844</v>
      </c>
      <c r="BJ9" s="28" t="s">
        <v>1990</v>
      </c>
      <c r="BK9" s="39"/>
      <c r="BL9" s="40"/>
    </row>
    <row r="10" spans="1:64" ht="15.75" customHeight="1">
      <c r="A10" s="28" t="s">
        <v>697</v>
      </c>
      <c r="B10" s="28" t="s">
        <v>1991</v>
      </c>
      <c r="C10" s="29" t="s">
        <v>1992</v>
      </c>
      <c r="D10" s="28" t="s">
        <v>1977</v>
      </c>
      <c r="E10" s="28">
        <v>70</v>
      </c>
      <c r="F10" s="28">
        <v>52.55</v>
      </c>
      <c r="G10" s="28">
        <v>19.155000000000001</v>
      </c>
      <c r="H10" s="38">
        <v>17.45</v>
      </c>
      <c r="I10" s="38">
        <v>17.384</v>
      </c>
      <c r="J10" s="38">
        <v>16.039000000000001</v>
      </c>
      <c r="K10" s="38">
        <v>15.382999999999999</v>
      </c>
      <c r="L10" s="38">
        <v>19.155000000000001</v>
      </c>
      <c r="M10" s="38">
        <v>18.302</v>
      </c>
      <c r="N10" s="38">
        <v>16.63</v>
      </c>
      <c r="O10" s="38">
        <v>11.151999999999999</v>
      </c>
      <c r="P10" s="38">
        <v>7.5439999999999996</v>
      </c>
      <c r="Q10" s="38">
        <v>6.79</v>
      </c>
      <c r="R10" s="38">
        <v>16.532</v>
      </c>
      <c r="S10" s="38">
        <v>6.8220000000000001</v>
      </c>
      <c r="T10" s="38">
        <v>0</v>
      </c>
      <c r="U10" s="31">
        <v>17.45</v>
      </c>
      <c r="V10" s="31">
        <v>17.384</v>
      </c>
      <c r="W10" s="31">
        <v>16.039000000000001</v>
      </c>
      <c r="X10" s="31">
        <v>15.382999999999999</v>
      </c>
      <c r="Y10" s="31">
        <v>19.155000000000001</v>
      </c>
      <c r="Z10" s="31">
        <v>18.302</v>
      </c>
      <c r="AA10" s="31">
        <v>16.63</v>
      </c>
      <c r="AB10" s="31">
        <v>11.151999999999999</v>
      </c>
      <c r="AC10" s="31">
        <v>7.5439999999999996</v>
      </c>
      <c r="AD10" s="31">
        <v>6.79</v>
      </c>
      <c r="AE10" s="31">
        <v>16.532</v>
      </c>
      <c r="AF10" s="31">
        <v>6.8220000000000001</v>
      </c>
      <c r="AG10" s="31">
        <v>0</v>
      </c>
      <c r="AH10" s="38">
        <v>82.91</v>
      </c>
      <c r="AI10" s="38">
        <v>0</v>
      </c>
      <c r="AJ10" s="38">
        <v>63.017000000000003</v>
      </c>
      <c r="AK10" s="38">
        <v>151.45400000000001</v>
      </c>
      <c r="AL10" s="38">
        <v>123.336</v>
      </c>
      <c r="AM10" s="38">
        <v>89.47</v>
      </c>
      <c r="AN10" s="38">
        <v>64.328999999999994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f t="shared" si="0"/>
        <v>44.193538461538459</v>
      </c>
      <c r="AV10" s="31">
        <v>1733.3240000000001</v>
      </c>
      <c r="AW10" s="31">
        <v>1962.826</v>
      </c>
      <c r="AX10" s="31">
        <v>1535.6880000000001</v>
      </c>
      <c r="AY10" s="31">
        <v>2494.8249999999998</v>
      </c>
      <c r="AZ10" s="31">
        <v>3120.51</v>
      </c>
      <c r="BA10" s="31">
        <v>2736.6759999999999</v>
      </c>
      <c r="BB10" s="31">
        <v>1546.02</v>
      </c>
      <c r="BC10" s="31">
        <v>1374.2629999999999</v>
      </c>
      <c r="BD10" s="31">
        <v>1028.337</v>
      </c>
      <c r="BE10" s="31">
        <v>1089.337</v>
      </c>
      <c r="BF10" s="31">
        <v>1098.5039999999999</v>
      </c>
      <c r="BG10" s="31">
        <v>1110.7639999999999</v>
      </c>
      <c r="BH10" s="31">
        <v>0</v>
      </c>
      <c r="BI10" s="31">
        <f t="shared" si="1"/>
        <v>1602.3903076923075</v>
      </c>
      <c r="BJ10" s="41" t="s">
        <v>1993</v>
      </c>
      <c r="BK10" s="39"/>
      <c r="BL10" s="40"/>
    </row>
    <row r="11" spans="1:64" ht="15.75" customHeight="1">
      <c r="A11" s="28" t="s">
        <v>697</v>
      </c>
      <c r="B11" s="28" t="s">
        <v>1994</v>
      </c>
      <c r="C11" s="29" t="s">
        <v>1995</v>
      </c>
      <c r="D11" s="28" t="s">
        <v>1977</v>
      </c>
      <c r="E11" s="28">
        <v>70</v>
      </c>
      <c r="F11" s="28">
        <v>48.548999999999999</v>
      </c>
      <c r="G11" s="28">
        <v>27.207999999999998</v>
      </c>
      <c r="H11" s="38">
        <v>21.451000000000001</v>
      </c>
      <c r="I11" s="38">
        <v>20.614999999999998</v>
      </c>
      <c r="J11" s="38">
        <v>21.402000000000001</v>
      </c>
      <c r="K11" s="38">
        <v>24.157</v>
      </c>
      <c r="L11" s="38">
        <v>23.911000000000001</v>
      </c>
      <c r="M11" s="38">
        <v>27.207999999999998</v>
      </c>
      <c r="N11" s="38">
        <v>23.518000000000001</v>
      </c>
      <c r="O11" s="38">
        <v>21.402000000000001</v>
      </c>
      <c r="P11" s="38">
        <v>8.1669999999999998</v>
      </c>
      <c r="Q11" s="38">
        <v>11.808</v>
      </c>
      <c r="R11" s="38">
        <v>21.254000000000001</v>
      </c>
      <c r="S11" s="38">
        <v>11.956</v>
      </c>
      <c r="T11" s="38">
        <v>0</v>
      </c>
      <c r="U11" s="31">
        <v>21.451000000000001</v>
      </c>
      <c r="V11" s="31">
        <v>20.614999999999998</v>
      </c>
      <c r="W11" s="31">
        <v>21.402000000000001</v>
      </c>
      <c r="X11" s="31">
        <v>24.157</v>
      </c>
      <c r="Y11" s="31">
        <v>23.911000000000001</v>
      </c>
      <c r="Z11" s="31">
        <v>27.207999999999998</v>
      </c>
      <c r="AA11" s="31">
        <v>23.518000000000001</v>
      </c>
      <c r="AB11" s="31">
        <v>21.402000000000001</v>
      </c>
      <c r="AC11" s="31">
        <v>8.1669999999999998</v>
      </c>
      <c r="AD11" s="31">
        <v>11.808</v>
      </c>
      <c r="AE11" s="31">
        <v>21.254000000000001</v>
      </c>
      <c r="AF11" s="31">
        <v>11.956</v>
      </c>
      <c r="AG11" s="31">
        <v>0</v>
      </c>
      <c r="AH11" s="38">
        <v>0</v>
      </c>
      <c r="AI11" s="38">
        <v>0</v>
      </c>
      <c r="AJ11" s="38">
        <v>154.119</v>
      </c>
      <c r="AK11" s="38">
        <v>288.98899999999998</v>
      </c>
      <c r="AL11" s="38">
        <v>282.82600000000002</v>
      </c>
      <c r="AM11" s="38">
        <v>266.50400000000002</v>
      </c>
      <c r="AN11" s="38">
        <v>169.851</v>
      </c>
      <c r="AO11" s="38">
        <v>0</v>
      </c>
      <c r="AP11" s="38">
        <v>0</v>
      </c>
      <c r="AQ11" s="38">
        <v>0</v>
      </c>
      <c r="AR11" s="38">
        <v>0</v>
      </c>
      <c r="AS11" s="38">
        <v>0</v>
      </c>
      <c r="AT11" s="38">
        <v>0</v>
      </c>
      <c r="AU11" s="38">
        <f t="shared" si="0"/>
        <v>89.406846153846146</v>
      </c>
      <c r="AV11" s="31">
        <v>2406.4459999999999</v>
      </c>
      <c r="AW11" s="31">
        <v>2705.2370000000001</v>
      </c>
      <c r="AX11" s="31">
        <v>2714.8310000000001</v>
      </c>
      <c r="AY11" s="31">
        <v>4306.87</v>
      </c>
      <c r="AZ11" s="31">
        <v>4540.7299999999996</v>
      </c>
      <c r="BA11" s="31">
        <v>4437.0649999999996</v>
      </c>
      <c r="BB11" s="31">
        <v>2846.9580000000001</v>
      </c>
      <c r="BC11" s="31">
        <v>2379.8409999999999</v>
      </c>
      <c r="BD11" s="31">
        <v>1171.145</v>
      </c>
      <c r="BE11" s="31">
        <v>1446.7260000000001</v>
      </c>
      <c r="BF11" s="31">
        <v>1420.011</v>
      </c>
      <c r="BG11" s="31">
        <v>1390.318</v>
      </c>
      <c r="BH11" s="31">
        <v>0</v>
      </c>
      <c r="BI11" s="42">
        <f t="shared" si="1"/>
        <v>2443.5521538461535</v>
      </c>
      <c r="BJ11" s="43" t="s">
        <v>1996</v>
      </c>
      <c r="BK11" s="39"/>
      <c r="BL11" s="40"/>
    </row>
    <row r="12" spans="1:64" ht="15.75" customHeight="1">
      <c r="A12" s="28" t="s">
        <v>697</v>
      </c>
      <c r="B12" s="28" t="s">
        <v>1997</v>
      </c>
      <c r="C12" s="29" t="s">
        <v>1998</v>
      </c>
      <c r="D12" s="28" t="s">
        <v>1977</v>
      </c>
      <c r="E12" s="28">
        <v>195.75200000000001</v>
      </c>
      <c r="F12" s="28">
        <v>42.808</v>
      </c>
      <c r="G12" s="28">
        <v>238.56</v>
      </c>
      <c r="H12" s="38">
        <v>0</v>
      </c>
      <c r="I12" s="38">
        <v>238.56</v>
      </c>
      <c r="J12" s="38">
        <v>115.584</v>
      </c>
      <c r="K12" s="38">
        <v>37.968000000000004</v>
      </c>
      <c r="L12" s="38">
        <v>129.36000000000001</v>
      </c>
      <c r="M12" s="38">
        <v>123.14400000000001</v>
      </c>
      <c r="N12" s="38">
        <v>127.008</v>
      </c>
      <c r="O12" s="38">
        <v>103.992</v>
      </c>
      <c r="P12" s="38">
        <v>67.367999999999995</v>
      </c>
      <c r="Q12" s="38">
        <v>37.631999999999998</v>
      </c>
      <c r="R12" s="38">
        <v>94.751999999999995</v>
      </c>
      <c r="S12" s="38">
        <v>63.671999999999997</v>
      </c>
      <c r="T12" s="38">
        <v>0</v>
      </c>
      <c r="U12" s="31">
        <v>0</v>
      </c>
      <c r="V12" s="31">
        <v>238.56</v>
      </c>
      <c r="W12" s="31">
        <v>115.584</v>
      </c>
      <c r="X12" s="31">
        <v>37.968000000000004</v>
      </c>
      <c r="Y12" s="31">
        <v>129.36000000000001</v>
      </c>
      <c r="Z12" s="31">
        <v>123.14400000000001</v>
      </c>
      <c r="AA12" s="31">
        <v>127.008</v>
      </c>
      <c r="AB12" s="31">
        <v>103.992</v>
      </c>
      <c r="AC12" s="31">
        <v>67.367999999999995</v>
      </c>
      <c r="AD12" s="31">
        <v>37.631999999999998</v>
      </c>
      <c r="AE12" s="31">
        <v>94.751999999999995</v>
      </c>
      <c r="AF12" s="31">
        <v>63.671999999999997</v>
      </c>
      <c r="AG12" s="31">
        <v>0</v>
      </c>
      <c r="AH12" s="38">
        <v>0</v>
      </c>
      <c r="AI12" s="38">
        <v>0</v>
      </c>
      <c r="AJ12" s="38">
        <v>621.26400000000001</v>
      </c>
      <c r="AK12" s="38">
        <v>519.54</v>
      </c>
      <c r="AL12" s="38">
        <v>850.58399999999995</v>
      </c>
      <c r="AM12" s="38">
        <v>1001.4059999999999</v>
      </c>
      <c r="AN12" s="38">
        <v>560.44799999999998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f t="shared" si="0"/>
        <v>273.32630769230769</v>
      </c>
      <c r="AV12" s="31">
        <v>0</v>
      </c>
      <c r="AW12" s="31">
        <v>29991.317999999999</v>
      </c>
      <c r="AX12" s="31">
        <v>9024.3719999999994</v>
      </c>
      <c r="AY12" s="31">
        <v>6488.6220000000003</v>
      </c>
      <c r="AZ12" s="31">
        <v>20116.655999999999</v>
      </c>
      <c r="BA12" s="31">
        <v>21018.06</v>
      </c>
      <c r="BB12" s="31">
        <v>13975.29</v>
      </c>
      <c r="BC12" s="31">
        <v>12075.462</v>
      </c>
      <c r="BD12" s="31">
        <v>7880.88</v>
      </c>
      <c r="BE12" s="31">
        <v>6532.26</v>
      </c>
      <c r="BF12" s="31">
        <v>8083.11</v>
      </c>
      <c r="BG12" s="31">
        <v>9684.7379999999994</v>
      </c>
      <c r="BH12" s="31">
        <v>0</v>
      </c>
      <c r="BI12" s="31">
        <f t="shared" si="1"/>
        <v>11143.905230769231</v>
      </c>
      <c r="BJ12" s="44" t="s">
        <v>1999</v>
      </c>
      <c r="BK12" s="39"/>
      <c r="BL12" s="40"/>
    </row>
    <row r="13" spans="1:64" ht="15.75" customHeight="1">
      <c r="A13" s="28" t="s">
        <v>697</v>
      </c>
      <c r="B13" s="28" t="s">
        <v>2000</v>
      </c>
      <c r="C13" s="29" t="s">
        <v>2001</v>
      </c>
      <c r="D13" s="28" t="s">
        <v>1977</v>
      </c>
      <c r="E13" s="28">
        <v>195</v>
      </c>
      <c r="F13" s="28">
        <v>136.714</v>
      </c>
      <c r="G13" s="28">
        <v>68.322000000000003</v>
      </c>
      <c r="H13" s="38">
        <v>0</v>
      </c>
      <c r="I13" s="38">
        <v>58.286000000000001</v>
      </c>
      <c r="J13" s="38">
        <v>56.317999999999998</v>
      </c>
      <c r="K13" s="38">
        <v>61.631</v>
      </c>
      <c r="L13" s="38">
        <v>68.322000000000003</v>
      </c>
      <c r="M13" s="38">
        <v>63.862000000000002</v>
      </c>
      <c r="N13" s="38">
        <v>60.122</v>
      </c>
      <c r="O13" s="38">
        <v>49.856000000000002</v>
      </c>
      <c r="P13" s="38">
        <v>31.029</v>
      </c>
      <c r="Q13" s="38">
        <v>27.913</v>
      </c>
      <c r="R13" s="38">
        <v>52.808</v>
      </c>
      <c r="S13" s="38">
        <v>35.423999999999999</v>
      </c>
      <c r="T13" s="38">
        <v>0</v>
      </c>
      <c r="U13" s="31">
        <v>0</v>
      </c>
      <c r="V13" s="31">
        <v>58.286000000000001</v>
      </c>
      <c r="W13" s="31">
        <v>56.317999999999998</v>
      </c>
      <c r="X13" s="31">
        <v>61.631</v>
      </c>
      <c r="Y13" s="31">
        <v>68.322000000000003</v>
      </c>
      <c r="Z13" s="31">
        <v>63.862000000000002</v>
      </c>
      <c r="AA13" s="31">
        <v>60.122</v>
      </c>
      <c r="AB13" s="31">
        <v>49.856000000000002</v>
      </c>
      <c r="AC13" s="31">
        <v>31.029</v>
      </c>
      <c r="AD13" s="31">
        <v>27.913</v>
      </c>
      <c r="AE13" s="31">
        <v>52.808</v>
      </c>
      <c r="AF13" s="31">
        <v>35.423999999999999</v>
      </c>
      <c r="AG13" s="31">
        <v>0</v>
      </c>
      <c r="AH13" s="38">
        <v>0</v>
      </c>
      <c r="AI13" s="38">
        <v>0</v>
      </c>
      <c r="AJ13" s="38">
        <v>1743.2049999999999</v>
      </c>
      <c r="AK13" s="38">
        <v>2386.6759999999999</v>
      </c>
      <c r="AL13" s="38">
        <v>2569.741</v>
      </c>
      <c r="AM13" s="38">
        <v>2240.2730000000001</v>
      </c>
      <c r="AN13" s="38">
        <v>1521.0840000000001</v>
      </c>
      <c r="AO13" s="38">
        <v>1396.2139999999999</v>
      </c>
      <c r="AP13" s="38">
        <v>709.35699999999997</v>
      </c>
      <c r="AQ13" s="38">
        <v>781.72199999999998</v>
      </c>
      <c r="AR13" s="38">
        <v>645.61</v>
      </c>
      <c r="AS13" s="38">
        <v>943.68100000000004</v>
      </c>
      <c r="AT13" s="38">
        <v>0</v>
      </c>
      <c r="AU13" s="38">
        <f t="shared" si="0"/>
        <v>1149.0433076923077</v>
      </c>
      <c r="AV13" s="31">
        <v>0</v>
      </c>
      <c r="AW13" s="31">
        <v>16226.865</v>
      </c>
      <c r="AX13" s="31">
        <v>18229.322</v>
      </c>
      <c r="AY13" s="31">
        <v>21911.276999999998</v>
      </c>
      <c r="AZ13" s="31">
        <v>24233.205999999998</v>
      </c>
      <c r="BA13" s="31">
        <v>24176.880000000001</v>
      </c>
      <c r="BB13" s="31">
        <v>15305.628000000001</v>
      </c>
      <c r="BC13" s="31">
        <v>12473.168</v>
      </c>
      <c r="BD13" s="31">
        <v>7180.2969999999996</v>
      </c>
      <c r="BE13" s="31">
        <v>6759.03</v>
      </c>
      <c r="BF13" s="31">
        <v>6839.6360000000004</v>
      </c>
      <c r="BG13" s="31">
        <v>7862.0039999999999</v>
      </c>
      <c r="BH13" s="31">
        <v>0</v>
      </c>
      <c r="BI13" s="31">
        <f t="shared" si="1"/>
        <v>12399.793307692305</v>
      </c>
      <c r="BJ13" s="28" t="s">
        <v>2002</v>
      </c>
      <c r="BK13" s="39"/>
      <c r="BL13" s="40"/>
    </row>
    <row r="14" spans="1:64" ht="15.75" customHeight="1">
      <c r="A14" s="28" t="s">
        <v>697</v>
      </c>
      <c r="B14" s="28" t="s">
        <v>2003</v>
      </c>
      <c r="C14" s="29" t="s">
        <v>2004</v>
      </c>
      <c r="D14" s="28" t="s">
        <v>1977</v>
      </c>
      <c r="E14" s="28">
        <v>21.98</v>
      </c>
      <c r="F14" s="28">
        <v>14.51</v>
      </c>
      <c r="G14" s="28">
        <v>45.378999999999998</v>
      </c>
      <c r="H14" s="38">
        <v>0</v>
      </c>
      <c r="I14" s="38">
        <v>0</v>
      </c>
      <c r="J14" s="38">
        <v>0</v>
      </c>
      <c r="K14" s="38">
        <v>36.49</v>
      </c>
      <c r="L14" s="38">
        <v>45.378999999999998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1">
        <v>0</v>
      </c>
      <c r="V14" s="31">
        <v>0</v>
      </c>
      <c r="W14" s="31">
        <v>0</v>
      </c>
      <c r="X14" s="31">
        <v>36.49</v>
      </c>
      <c r="Y14" s="31">
        <v>45.378999999999998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8">
        <v>0</v>
      </c>
      <c r="AI14" s="38">
        <v>0</v>
      </c>
      <c r="AJ14" s="38">
        <v>0</v>
      </c>
      <c r="AK14" s="38">
        <v>529.94600000000003</v>
      </c>
      <c r="AL14" s="38">
        <v>885.36599999999999</v>
      </c>
      <c r="AM14" s="38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38">
        <v>0</v>
      </c>
      <c r="AU14" s="38">
        <f t="shared" si="0"/>
        <v>108.87015384615384</v>
      </c>
      <c r="AV14" s="31">
        <v>0</v>
      </c>
      <c r="AW14" s="31">
        <v>0</v>
      </c>
      <c r="AX14" s="31">
        <v>0</v>
      </c>
      <c r="AY14" s="31">
        <v>6369.0219999999999</v>
      </c>
      <c r="AZ14" s="31">
        <v>7332.1239999999998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f t="shared" si="1"/>
        <v>1053.9343076923078</v>
      </c>
      <c r="BJ14" s="28" t="s">
        <v>1981</v>
      </c>
      <c r="BK14" s="39"/>
      <c r="BL14" s="40"/>
    </row>
    <row r="15" spans="1:64" ht="15.75" customHeight="1">
      <c r="A15" s="28" t="s">
        <v>697</v>
      </c>
      <c r="B15" s="28" t="s">
        <v>2005</v>
      </c>
      <c r="C15" s="29" t="s">
        <v>2006</v>
      </c>
      <c r="D15" s="28" t="s">
        <v>1977</v>
      </c>
      <c r="E15" s="28">
        <v>24.606000000000002</v>
      </c>
      <c r="F15" s="28">
        <v>62.146000000000001</v>
      </c>
      <c r="G15" s="28">
        <v>86.751999999999995</v>
      </c>
      <c r="H15" s="38">
        <v>0</v>
      </c>
      <c r="I15" s="38">
        <v>86.751999999999995</v>
      </c>
      <c r="J15" s="38">
        <v>40.442</v>
      </c>
      <c r="K15" s="38">
        <v>7.1219999999999999</v>
      </c>
      <c r="L15" s="38">
        <v>50</v>
      </c>
      <c r="M15" s="38">
        <v>45.460999999999999</v>
      </c>
      <c r="N15" s="38">
        <v>38.707999999999998</v>
      </c>
      <c r="O15" s="38">
        <v>38.192</v>
      </c>
      <c r="P15" s="38">
        <v>15.018000000000001</v>
      </c>
      <c r="Q15" s="38">
        <v>9.4830000000000005</v>
      </c>
      <c r="R15" s="38">
        <v>35.793999999999997</v>
      </c>
      <c r="S15" s="38">
        <v>25.091999999999999</v>
      </c>
      <c r="T15" s="38">
        <v>0</v>
      </c>
      <c r="U15" s="31">
        <v>0</v>
      </c>
      <c r="V15" s="31">
        <v>86.751999999999995</v>
      </c>
      <c r="W15" s="31">
        <v>40.442</v>
      </c>
      <c r="X15" s="31">
        <v>7.1219999999999999</v>
      </c>
      <c r="Y15" s="31">
        <v>50</v>
      </c>
      <c r="Z15" s="31">
        <v>45.460999999999999</v>
      </c>
      <c r="AA15" s="31">
        <v>38.707999999999998</v>
      </c>
      <c r="AB15" s="31">
        <v>38.192</v>
      </c>
      <c r="AC15" s="31">
        <v>15.018000000000001</v>
      </c>
      <c r="AD15" s="31">
        <v>9.4830000000000005</v>
      </c>
      <c r="AE15" s="31">
        <v>35.793999999999997</v>
      </c>
      <c r="AF15" s="31">
        <v>25.091999999999999</v>
      </c>
      <c r="AG15" s="31">
        <v>0</v>
      </c>
      <c r="AH15" s="38">
        <v>0</v>
      </c>
      <c r="AI15" s="38">
        <v>1496.6089999999999</v>
      </c>
      <c r="AJ15" s="38">
        <v>372.08100000000002</v>
      </c>
      <c r="AK15" s="38">
        <v>99.352999999999994</v>
      </c>
      <c r="AL15" s="38">
        <v>1184.6379999999999</v>
      </c>
      <c r="AM15" s="38">
        <v>1130.7819999999999</v>
      </c>
      <c r="AN15" s="38">
        <v>502.16300000000001</v>
      </c>
      <c r="AO15" s="38">
        <v>440.48500000000001</v>
      </c>
      <c r="AP15" s="38">
        <v>212.12</v>
      </c>
      <c r="AQ15" s="38">
        <v>0</v>
      </c>
      <c r="AR15" s="38">
        <v>0</v>
      </c>
      <c r="AS15" s="38">
        <v>90.367999999999995</v>
      </c>
      <c r="AT15" s="38">
        <v>0</v>
      </c>
      <c r="AU15" s="38">
        <f t="shared" si="0"/>
        <v>425.27684615384618</v>
      </c>
      <c r="AV15" s="31">
        <v>0</v>
      </c>
      <c r="AW15" s="31">
        <v>10143.790999999999</v>
      </c>
      <c r="AX15" s="31">
        <v>2804.9259999999999</v>
      </c>
      <c r="AY15" s="31">
        <v>872.66700000000003</v>
      </c>
      <c r="AZ15" s="31">
        <v>8000.2520000000004</v>
      </c>
      <c r="BA15" s="31">
        <v>7016.2030000000004</v>
      </c>
      <c r="BB15" s="31">
        <v>3663.8290000000002</v>
      </c>
      <c r="BC15" s="31">
        <v>2879.261</v>
      </c>
      <c r="BD15" s="31">
        <v>1393.6120000000001</v>
      </c>
      <c r="BE15" s="31">
        <v>1018.495</v>
      </c>
      <c r="BF15" s="31">
        <v>1431.3420000000001</v>
      </c>
      <c r="BG15" s="31">
        <v>2022.0740000000001</v>
      </c>
      <c r="BH15" s="31">
        <v>0</v>
      </c>
      <c r="BI15" s="31">
        <f t="shared" si="1"/>
        <v>3172.8040000000005</v>
      </c>
      <c r="BJ15" s="28" t="s">
        <v>2007</v>
      </c>
      <c r="BK15" s="39"/>
      <c r="BL15" s="40"/>
    </row>
    <row r="16" spans="1:64" ht="15.75" customHeight="1">
      <c r="A16" s="28" t="s">
        <v>697</v>
      </c>
      <c r="B16" s="28" t="s">
        <v>2008</v>
      </c>
      <c r="C16" s="29" t="s">
        <v>2009</v>
      </c>
      <c r="D16" s="28" t="s">
        <v>1977</v>
      </c>
      <c r="E16" s="28">
        <v>62.68</v>
      </c>
      <c r="F16" s="28">
        <v>8.66</v>
      </c>
      <c r="G16" s="28">
        <v>76.456999999999994</v>
      </c>
      <c r="H16" s="38">
        <v>0</v>
      </c>
      <c r="I16" s="38">
        <v>0</v>
      </c>
      <c r="J16" s="38">
        <v>71.34</v>
      </c>
      <c r="K16" s="38">
        <v>76.456999999999994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1">
        <v>0</v>
      </c>
      <c r="V16" s="31">
        <v>0</v>
      </c>
      <c r="W16" s="31">
        <v>71.34</v>
      </c>
      <c r="X16" s="31">
        <v>76.456999999999994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8">
        <v>0</v>
      </c>
      <c r="AI16" s="38">
        <v>0</v>
      </c>
      <c r="AJ16" s="38">
        <v>1220.2829999999999</v>
      </c>
      <c r="AK16" s="38">
        <v>0</v>
      </c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f t="shared" si="0"/>
        <v>93.867923076923063</v>
      </c>
      <c r="AV16" s="31">
        <v>0</v>
      </c>
      <c r="AW16" s="31">
        <v>0</v>
      </c>
      <c r="AX16" s="31">
        <v>15195.075999999999</v>
      </c>
      <c r="AY16" s="31">
        <v>12623.81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f t="shared" si="1"/>
        <v>2139.9143076923074</v>
      </c>
      <c r="BJ16" s="28" t="s">
        <v>2010</v>
      </c>
      <c r="BK16" s="39"/>
      <c r="BL16" s="40"/>
    </row>
    <row r="17" spans="1:64" ht="15.75" customHeight="1">
      <c r="A17" s="28" t="s">
        <v>697</v>
      </c>
      <c r="B17" s="28" t="s">
        <v>2011</v>
      </c>
      <c r="C17" s="29" t="s">
        <v>2012</v>
      </c>
      <c r="D17" s="28" t="s">
        <v>1977</v>
      </c>
      <c r="E17" s="28">
        <v>92</v>
      </c>
      <c r="F17" s="28">
        <v>50.082000000000001</v>
      </c>
      <c r="G17" s="28">
        <v>53.579000000000001</v>
      </c>
      <c r="H17" s="38">
        <v>41.917999999999999</v>
      </c>
      <c r="I17" s="38">
        <v>33.750999999999998</v>
      </c>
      <c r="J17" s="38">
        <v>51.808</v>
      </c>
      <c r="K17" s="38">
        <v>50.43</v>
      </c>
      <c r="L17" s="38">
        <v>53.579000000000001</v>
      </c>
      <c r="M17" s="38">
        <v>51.561999999999998</v>
      </c>
      <c r="N17" s="38">
        <v>41.622999999999998</v>
      </c>
      <c r="O17" s="38">
        <v>26.076000000000001</v>
      </c>
      <c r="P17" s="38">
        <v>24.698</v>
      </c>
      <c r="Q17" s="38">
        <v>31.585999999999999</v>
      </c>
      <c r="R17" s="38">
        <v>50.183999999999997</v>
      </c>
      <c r="S17" s="38">
        <v>17.663</v>
      </c>
      <c r="T17" s="38">
        <v>0</v>
      </c>
      <c r="U17" s="31">
        <v>41.917999999999999</v>
      </c>
      <c r="V17" s="31">
        <v>33.750999999999998</v>
      </c>
      <c r="W17" s="31">
        <v>51.808</v>
      </c>
      <c r="X17" s="31">
        <v>50.43</v>
      </c>
      <c r="Y17" s="31">
        <v>53.579000000000001</v>
      </c>
      <c r="Z17" s="31">
        <v>51.561999999999998</v>
      </c>
      <c r="AA17" s="31">
        <v>41.622999999999998</v>
      </c>
      <c r="AB17" s="31">
        <v>26.076000000000001</v>
      </c>
      <c r="AC17" s="31">
        <v>24.698</v>
      </c>
      <c r="AD17" s="31">
        <v>31.585999999999999</v>
      </c>
      <c r="AE17" s="31">
        <v>50.183999999999997</v>
      </c>
      <c r="AF17" s="31">
        <v>17.663</v>
      </c>
      <c r="AG17" s="31">
        <v>0</v>
      </c>
      <c r="AH17" s="38">
        <v>0</v>
      </c>
      <c r="AI17" s="38">
        <v>0</v>
      </c>
      <c r="AJ17" s="38">
        <v>1016.7670000000001</v>
      </c>
      <c r="AK17" s="38">
        <v>1443.934</v>
      </c>
      <c r="AL17" s="38">
        <v>1750.856</v>
      </c>
      <c r="AM17" s="38">
        <v>1331.4380000000001</v>
      </c>
      <c r="AN17" s="38">
        <v>651.13699999999994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38">
        <v>0</v>
      </c>
      <c r="AU17" s="38">
        <f t="shared" si="0"/>
        <v>476.47169230769225</v>
      </c>
      <c r="AV17" s="31">
        <v>6240.8230000000003</v>
      </c>
      <c r="AW17" s="31">
        <v>7891.0280000000002</v>
      </c>
      <c r="AX17" s="31">
        <v>9344.3349999999991</v>
      </c>
      <c r="AY17" s="31">
        <v>13164.898999999999</v>
      </c>
      <c r="AZ17" s="31">
        <v>15301.913</v>
      </c>
      <c r="BA17" s="31">
        <v>14217.521000000001</v>
      </c>
      <c r="BB17" s="31">
        <v>6353.43</v>
      </c>
      <c r="BC17" s="31">
        <v>5168.8540000000003</v>
      </c>
      <c r="BD17" s="31">
        <v>4673.6930000000002</v>
      </c>
      <c r="BE17" s="31">
        <v>6004.5770000000002</v>
      </c>
      <c r="BF17" s="31">
        <v>5359.6880000000001</v>
      </c>
      <c r="BG17" s="31">
        <v>4338.8</v>
      </c>
      <c r="BH17" s="31">
        <v>0</v>
      </c>
      <c r="BI17" s="31">
        <f t="shared" si="1"/>
        <v>7543.0431538461544</v>
      </c>
      <c r="BJ17" s="28" t="s">
        <v>2013</v>
      </c>
      <c r="BK17" s="39"/>
      <c r="BL17" s="40"/>
    </row>
    <row r="18" spans="1:64" s="126" customFormat="1" ht="30">
      <c r="A18" s="127" t="s">
        <v>2100</v>
      </c>
      <c r="B18" s="127" t="s">
        <v>2099</v>
      </c>
      <c r="C18" s="132" t="s">
        <v>2098</v>
      </c>
      <c r="D18" s="132" t="s">
        <v>15</v>
      </c>
      <c r="E18" s="132">
        <v>180</v>
      </c>
      <c r="F18" s="131">
        <f>E18-G18</f>
        <v>12.22999999999999</v>
      </c>
      <c r="G18" s="130">
        <v>167.77</v>
      </c>
      <c r="H18" s="129">
        <v>157.13999999999999</v>
      </c>
      <c r="I18" s="129">
        <v>99.28</v>
      </c>
      <c r="J18" s="129">
        <v>75.37</v>
      </c>
      <c r="K18" s="129">
        <v>36.99</v>
      </c>
      <c r="L18" s="129">
        <v>36.21</v>
      </c>
      <c r="M18" s="129">
        <v>97.41</v>
      </c>
      <c r="N18" s="129">
        <v>107.64</v>
      </c>
      <c r="O18" s="129">
        <v>84.91</v>
      </c>
      <c r="P18" s="129">
        <v>29.22</v>
      </c>
      <c r="Q18" s="129">
        <v>31.09</v>
      </c>
      <c r="R18" s="129">
        <v>20.36</v>
      </c>
      <c r="S18" s="129">
        <v>65.53</v>
      </c>
      <c r="T18" s="129"/>
      <c r="U18" s="129">
        <v>167.77</v>
      </c>
      <c r="V18" s="129">
        <v>152.91</v>
      </c>
      <c r="W18" s="129">
        <v>162.26</v>
      </c>
      <c r="X18" s="129">
        <v>170.33</v>
      </c>
      <c r="Y18" s="129">
        <v>171.41</v>
      </c>
      <c r="Z18" s="129">
        <v>177.41</v>
      </c>
      <c r="AA18" s="129">
        <v>162.06</v>
      </c>
      <c r="AB18" s="129">
        <v>170.52</v>
      </c>
      <c r="AC18" s="129">
        <v>151.91999999999999</v>
      </c>
      <c r="AD18" s="129">
        <v>164.62</v>
      </c>
      <c r="AE18" s="129">
        <v>147</v>
      </c>
      <c r="AF18" s="129">
        <v>135.30000000000001</v>
      </c>
      <c r="AG18" s="129"/>
      <c r="AH18" s="129">
        <v>2130</v>
      </c>
      <c r="AI18" s="129">
        <v>1821</v>
      </c>
      <c r="AJ18" s="129">
        <v>1775</v>
      </c>
      <c r="AK18" s="129">
        <v>1789</v>
      </c>
      <c r="AL18" s="129">
        <v>1607</v>
      </c>
      <c r="AM18" s="129">
        <v>1755</v>
      </c>
      <c r="AN18" s="129">
        <v>1848</v>
      </c>
      <c r="AO18" s="129">
        <v>1876</v>
      </c>
      <c r="AP18" s="129">
        <v>1401</v>
      </c>
      <c r="AQ18" s="129">
        <v>682</v>
      </c>
      <c r="AR18" s="129">
        <v>158</v>
      </c>
      <c r="AS18" s="129">
        <v>224</v>
      </c>
      <c r="AT18" s="129"/>
      <c r="AU18" s="128">
        <f>AVERAGE(AH18:AT18)</f>
        <v>1422.1666666666667</v>
      </c>
      <c r="AV18" s="129">
        <v>29565</v>
      </c>
      <c r="AW18" s="129">
        <v>29384</v>
      </c>
      <c r="AX18" s="129">
        <v>28876</v>
      </c>
      <c r="AY18" s="129">
        <v>28394</v>
      </c>
      <c r="AZ18" s="129">
        <v>25545</v>
      </c>
      <c r="BA18" s="129">
        <v>27113</v>
      </c>
      <c r="BB18" s="129">
        <v>26213</v>
      </c>
      <c r="BC18" s="129">
        <v>28392</v>
      </c>
      <c r="BD18" s="129">
        <v>23018</v>
      </c>
      <c r="BE18" s="129">
        <v>22497</v>
      </c>
      <c r="BF18" s="129">
        <v>16647</v>
      </c>
      <c r="BG18" s="129">
        <v>20664</v>
      </c>
      <c r="BH18" s="129"/>
      <c r="BI18" s="128">
        <f>AVERAGE(AV18:BH18)</f>
        <v>25525.666666666668</v>
      </c>
      <c r="BJ18" s="127" t="s">
        <v>2097</v>
      </c>
    </row>
    <row r="19" spans="1:64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</row>
    <row r="20" spans="1:64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</row>
    <row r="21" spans="1:64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</row>
    <row r="22" spans="1:64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</row>
    <row r="23" spans="1:64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</row>
    <row r="24" spans="1:6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</row>
    <row r="25" spans="1:64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</row>
    <row r="26" spans="1:64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</row>
    <row r="27" spans="1:64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</row>
    <row r="28" spans="1:64">
      <c r="A28" s="33"/>
      <c r="B28" s="33"/>
      <c r="C28" s="33"/>
      <c r="D28" s="33"/>
      <c r="E28" s="45"/>
      <c r="F28" s="45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</row>
    <row r="29" spans="1:64">
      <c r="A29" s="33"/>
      <c r="B29" s="33"/>
      <c r="C29" s="33"/>
      <c r="D29" s="33"/>
      <c r="E29" s="45"/>
      <c r="F29" s="45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</row>
    <row r="30" spans="1:64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</row>
    <row r="31" spans="1:64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</row>
    <row r="32" spans="1:64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</row>
    <row r="33" spans="1:6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</row>
    <row r="34" spans="1:6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</row>
    <row r="35" spans="1:6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</row>
    <row r="36" spans="1:6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</row>
    <row r="37" spans="1:6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</row>
    <row r="38" spans="1:6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</row>
    <row r="39" spans="1:62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</row>
    <row r="40" spans="1:62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</row>
    <row r="41" spans="1:6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</row>
    <row r="42" spans="1:6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</row>
    <row r="43" spans="1:62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</row>
    <row r="44" spans="1:6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</row>
    <row r="45" spans="1:62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</row>
    <row r="46" spans="1:62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</row>
    <row r="47" spans="1:62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</row>
    <row r="48" spans="1:6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</row>
    <row r="49" spans="1:62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</row>
    <row r="50" spans="1:62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</row>
    <row r="51" spans="1:62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</row>
    <row r="52" spans="1:6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</row>
    <row r="53" spans="1:62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</row>
    <row r="54" spans="1:62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</row>
    <row r="55" spans="1:62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</row>
    <row r="56" spans="1:62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</row>
    <row r="57" spans="1:62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</row>
    <row r="58" spans="1:62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</row>
    <row r="59" spans="1:6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</row>
    <row r="60" spans="1:62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</row>
    <row r="61" spans="1:62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</row>
    <row r="62" spans="1: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</row>
    <row r="63" spans="1:6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</row>
    <row r="64" spans="1:62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</row>
    <row r="65" spans="1:64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</row>
    <row r="66" spans="1:64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</row>
    <row r="67" spans="1:64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</row>
    <row r="68" spans="1:64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</row>
    <row r="69" spans="1:64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</row>
    <row r="70" spans="1:64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</row>
    <row r="71" spans="1:64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</row>
    <row r="72" spans="1:64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</row>
    <row r="73" spans="1:64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</row>
    <row r="74" spans="1:6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</row>
    <row r="75" spans="1:64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</row>
    <row r="76" spans="1:64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</row>
    <row r="77" spans="1:64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</row>
    <row r="78" spans="1:64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</row>
    <row r="79" spans="1:64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</row>
    <row r="80" spans="1:64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</row>
    <row r="81" spans="1:64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</row>
    <row r="82" spans="1:64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</row>
    <row r="83" spans="1:64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</row>
    <row r="84" spans="1:6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</row>
    <row r="85" spans="1:64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</row>
    <row r="86" spans="1:64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</row>
    <row r="87" spans="1:64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</row>
    <row r="88" spans="1:64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</row>
    <row r="89" spans="1:64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</row>
    <row r="90" spans="1:64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</row>
    <row r="91" spans="1:64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</row>
    <row r="92" spans="1:64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</row>
    <row r="93" spans="1:64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</row>
    <row r="94" spans="1:6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</row>
    <row r="95" spans="1:64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</row>
    <row r="96" spans="1:64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</row>
    <row r="97" spans="1:64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</row>
    <row r="98" spans="1:64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</row>
    <row r="99" spans="1:64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</row>
    <row r="100" spans="1:64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</row>
    <row r="101" spans="1:64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</row>
    <row r="102" spans="1:64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</row>
    <row r="103" spans="1:64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</row>
    <row r="104" spans="1:6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</row>
    <row r="105" spans="1:64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</row>
    <row r="106" spans="1:64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</row>
    <row r="107" spans="1:64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</row>
    <row r="108" spans="1:64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</row>
    <row r="109" spans="1:64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</row>
    <row r="110" spans="1:64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</row>
    <row r="111" spans="1:64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</row>
    <row r="112" spans="1:64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</row>
    <row r="113" spans="1:64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</row>
    <row r="114" spans="1:6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</row>
    <row r="115" spans="1:64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</row>
    <row r="116" spans="1:64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</row>
    <row r="117" spans="1:64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</row>
    <row r="118" spans="1:64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</row>
    <row r="119" spans="1:64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</row>
    <row r="120" spans="1:64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</row>
    <row r="121" spans="1:64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</row>
    <row r="122" spans="1:64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</row>
    <row r="123" spans="1:64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</row>
    <row r="124" spans="1:6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</row>
    <row r="125" spans="1:64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</row>
    <row r="126" spans="1:64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</row>
    <row r="127" spans="1:64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</row>
    <row r="128" spans="1:64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</row>
    <row r="129" spans="1:64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</row>
    <row r="130" spans="1:64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</row>
    <row r="131" spans="1:64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</row>
    <row r="132" spans="1:64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</row>
    <row r="133" spans="1:64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</row>
    <row r="134" spans="1:6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</row>
    <row r="135" spans="1:64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</row>
    <row r="136" spans="1:64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</row>
    <row r="137" spans="1:64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</row>
    <row r="138" spans="1:64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</row>
    <row r="139" spans="1:64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</row>
    <row r="140" spans="1:64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</row>
    <row r="141" spans="1:64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</row>
    <row r="142" spans="1:64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</row>
    <row r="143" spans="1:64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</row>
    <row r="144" spans="1:6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</row>
    <row r="145" spans="1:64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</row>
    <row r="146" spans="1:64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</row>
    <row r="147" spans="1:64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</row>
    <row r="148" spans="1:64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</row>
    <row r="149" spans="1:64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</row>
    <row r="150" spans="1:64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</row>
    <row r="151" spans="1:64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</row>
    <row r="152" spans="1:64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</row>
    <row r="153" spans="1:64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</row>
    <row r="154" spans="1:6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</row>
    <row r="155" spans="1:64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</row>
    <row r="156" spans="1:64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</row>
    <row r="157" spans="1:64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</row>
    <row r="158" spans="1:64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</row>
    <row r="159" spans="1:64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</row>
    <row r="160" spans="1:64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</row>
    <row r="161" spans="1:64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</row>
    <row r="162" spans="1:64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</row>
    <row r="163" spans="1:64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</row>
    <row r="164" spans="1: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</row>
    <row r="165" spans="1:64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</row>
    <row r="166" spans="1:64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</row>
    <row r="167" spans="1:64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</row>
    <row r="168" spans="1:64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</row>
    <row r="169" spans="1:64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</row>
    <row r="170" spans="1:64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</row>
    <row r="171" spans="1:64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</row>
    <row r="172" spans="1:64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</row>
    <row r="173" spans="1:64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</row>
    <row r="174" spans="1:6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</row>
    <row r="175" spans="1:64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</row>
    <row r="176" spans="1:64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</row>
    <row r="177" spans="1:64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</row>
    <row r="178" spans="1:64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</row>
    <row r="179" spans="1:64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</row>
    <row r="180" spans="1:64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</row>
    <row r="181" spans="1:64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</row>
    <row r="182" spans="1:64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</row>
    <row r="183" spans="1:64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</row>
    <row r="184" spans="1:6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</row>
    <row r="185" spans="1:64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</row>
    <row r="186" spans="1:64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</row>
    <row r="187" spans="1:64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</row>
    <row r="188" spans="1:64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</row>
    <row r="189" spans="1:64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</row>
    <row r="190" spans="1:64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</row>
    <row r="191" spans="1:64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</row>
    <row r="192" spans="1:64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</row>
    <row r="193" spans="1:64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</row>
    <row r="194" spans="1:6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</row>
    <row r="195" spans="1:64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</row>
    <row r="196" spans="1:64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</row>
    <row r="197" spans="1:64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</row>
    <row r="198" spans="1:64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</row>
    <row r="199" spans="1:64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</row>
    <row r="200" spans="1:64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</row>
    <row r="201" spans="1:64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</row>
    <row r="202" spans="1:64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</row>
    <row r="203" spans="1:64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</row>
    <row r="204" spans="1:6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</row>
    <row r="205" spans="1:64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</row>
    <row r="206" spans="1:64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</row>
    <row r="207" spans="1:64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</row>
    <row r="208" spans="1:64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</row>
    <row r="209" spans="1:64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</row>
    <row r="210" spans="1:64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</row>
    <row r="211" spans="1:64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</row>
    <row r="212" spans="1:64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</row>
    <row r="213" spans="1:64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</row>
    <row r="214" spans="1:6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</row>
    <row r="215" spans="1:64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</row>
    <row r="216" spans="1:64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</row>
    <row r="217" spans="1:64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</row>
    <row r="218" spans="1:64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</row>
    <row r="219" spans="1:64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</row>
    <row r="220" spans="1:64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</row>
    <row r="221" spans="1:64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</row>
    <row r="222" spans="1:64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</row>
    <row r="223" spans="1:64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</row>
    <row r="224" spans="1:6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</row>
    <row r="225" spans="1:64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</row>
    <row r="226" spans="1:64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</row>
    <row r="227" spans="1:64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</row>
    <row r="228" spans="1:64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</row>
    <row r="229" spans="1:64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</row>
    <row r="230" spans="1:64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</row>
    <row r="231" spans="1:64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</row>
    <row r="232" spans="1:64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</row>
    <row r="233" spans="1:64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</row>
    <row r="234" spans="1:6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</row>
    <row r="235" spans="1:64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</row>
    <row r="236" spans="1:64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</row>
    <row r="237" spans="1:64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</row>
    <row r="238" spans="1:64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</row>
    <row r="239" spans="1:64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</row>
    <row r="240" spans="1:64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</row>
    <row r="241" spans="1:64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</row>
    <row r="242" spans="1:64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</row>
    <row r="243" spans="1:64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</row>
    <row r="244" spans="1:6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</row>
    <row r="245" spans="1:64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</row>
    <row r="246" spans="1:64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</row>
    <row r="247" spans="1:64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</row>
    <row r="248" spans="1:64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</row>
    <row r="249" spans="1:64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</row>
    <row r="250" spans="1:64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</row>
    <row r="251" spans="1:64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</row>
    <row r="252" spans="1:64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</row>
    <row r="253" spans="1:64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</row>
    <row r="254" spans="1:6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</row>
    <row r="255" spans="1:64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</row>
    <row r="256" spans="1:64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</row>
    <row r="257" spans="1:64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</row>
    <row r="258" spans="1:64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</row>
    <row r="259" spans="1:64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</row>
    <row r="260" spans="1:64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</row>
    <row r="261" spans="1:64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</row>
    <row r="262" spans="1:64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</row>
    <row r="263" spans="1:64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</row>
    <row r="264" spans="1: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</row>
    <row r="265" spans="1:64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</row>
    <row r="266" spans="1:64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</row>
    <row r="267" spans="1:64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</row>
    <row r="268" spans="1:64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</row>
    <row r="269" spans="1:64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</row>
    <row r="270" spans="1:64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</row>
    <row r="271" spans="1:64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</row>
    <row r="272" spans="1:64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</row>
    <row r="273" spans="1:64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</row>
    <row r="274" spans="1:6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</row>
    <row r="275" spans="1:64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</row>
    <row r="276" spans="1:64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</row>
    <row r="277" spans="1:64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</row>
    <row r="278" spans="1:64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</row>
    <row r="279" spans="1:64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</row>
    <row r="280" spans="1:64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</row>
    <row r="281" spans="1:64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</row>
    <row r="282" spans="1:64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</row>
    <row r="283" spans="1:64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</row>
    <row r="284" spans="1:6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</row>
    <row r="285" spans="1:64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</row>
    <row r="286" spans="1:64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</row>
    <row r="287" spans="1:64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</row>
    <row r="288" spans="1:64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</row>
    <row r="289" spans="1:64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</row>
    <row r="290" spans="1:64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</row>
    <row r="291" spans="1:64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</row>
    <row r="292" spans="1:64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</row>
    <row r="293" spans="1:64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</row>
    <row r="294" spans="1:6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</row>
    <row r="295" spans="1:64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</row>
    <row r="296" spans="1:64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</row>
    <row r="297" spans="1:64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</row>
    <row r="298" spans="1:64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</row>
    <row r="299" spans="1:64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</row>
    <row r="300" spans="1:64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</row>
    <row r="301" spans="1:64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</row>
    <row r="302" spans="1:64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</row>
    <row r="303" spans="1:64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</row>
    <row r="304" spans="1:6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</row>
    <row r="305" spans="1:64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</row>
    <row r="306" spans="1:64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</row>
    <row r="307" spans="1:64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</row>
    <row r="308" spans="1:64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</row>
    <row r="309" spans="1:64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</row>
    <row r="310" spans="1:64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</row>
    <row r="311" spans="1:64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</row>
    <row r="312" spans="1:64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</row>
    <row r="313" spans="1:64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</row>
    <row r="314" spans="1:6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</row>
    <row r="315" spans="1:64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</row>
    <row r="316" spans="1:64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</row>
    <row r="317" spans="1:64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</row>
    <row r="318" spans="1:64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</row>
    <row r="319" spans="1:64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</row>
    <row r="320" spans="1:64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</row>
    <row r="321" spans="1:64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</row>
    <row r="322" spans="1:64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</row>
    <row r="323" spans="1:64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</row>
    <row r="324" spans="1:6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</row>
    <row r="325" spans="1:64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</row>
    <row r="326" spans="1:64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</row>
    <row r="327" spans="1:64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</row>
    <row r="328" spans="1:64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</row>
    <row r="329" spans="1:64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</row>
    <row r="330" spans="1:64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</row>
    <row r="331" spans="1:64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</row>
    <row r="332" spans="1:64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</row>
    <row r="333" spans="1:64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</row>
    <row r="334" spans="1:6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</row>
    <row r="335" spans="1:64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</row>
    <row r="336" spans="1:64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</row>
    <row r="337" spans="1:64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</row>
    <row r="338" spans="1:64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</row>
    <row r="339" spans="1:64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</row>
    <row r="340" spans="1:64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</row>
    <row r="341" spans="1:64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</row>
    <row r="342" spans="1:64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</row>
    <row r="343" spans="1:64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</row>
    <row r="344" spans="1:6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</row>
    <row r="345" spans="1:64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</row>
    <row r="346" spans="1:64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</row>
    <row r="347" spans="1:64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</row>
    <row r="348" spans="1:64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</row>
    <row r="349" spans="1:64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</row>
    <row r="350" spans="1:64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</row>
    <row r="351" spans="1:64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</row>
    <row r="352" spans="1:64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</row>
    <row r="353" spans="1:64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</row>
    <row r="354" spans="1:6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</row>
    <row r="355" spans="1:64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</row>
    <row r="356" spans="1:64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</row>
    <row r="357" spans="1:64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</row>
    <row r="358" spans="1:64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</row>
    <row r="359" spans="1:64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</row>
    <row r="360" spans="1:64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</row>
    <row r="361" spans="1:64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</row>
    <row r="362" spans="1:64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</row>
    <row r="363" spans="1:64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</row>
    <row r="364" spans="1: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</row>
    <row r="365" spans="1:64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</row>
    <row r="366" spans="1:64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</row>
    <row r="367" spans="1:64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</row>
    <row r="368" spans="1:64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</row>
    <row r="369" spans="1:64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</row>
    <row r="370" spans="1:64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</row>
    <row r="371" spans="1:64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</row>
    <row r="372" spans="1:64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</row>
    <row r="373" spans="1:64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</row>
    <row r="374" spans="1:6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</row>
    <row r="375" spans="1:64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</row>
    <row r="376" spans="1:64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</row>
    <row r="377" spans="1:64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</row>
    <row r="378" spans="1:64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</row>
    <row r="379" spans="1:64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</row>
    <row r="380" spans="1:64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</row>
    <row r="381" spans="1:64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</row>
    <row r="382" spans="1:64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</row>
    <row r="383" spans="1:64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</row>
    <row r="384" spans="1:6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</row>
    <row r="385" spans="1:64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</row>
    <row r="386" spans="1:64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</row>
    <row r="387" spans="1:64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</row>
  </sheetData>
  <mergeCells count="13">
    <mergeCell ref="A1:BK2"/>
    <mergeCell ref="A3:A4"/>
    <mergeCell ref="B3:B4"/>
    <mergeCell ref="C3:C4"/>
    <mergeCell ref="D3:D4"/>
    <mergeCell ref="E3:E4"/>
    <mergeCell ref="F3:F4"/>
    <mergeCell ref="G3:G4"/>
    <mergeCell ref="H3:T3"/>
    <mergeCell ref="U3:AG3"/>
    <mergeCell ref="AH3:AU3"/>
    <mergeCell ref="AV3:BI3"/>
    <mergeCell ref="BJ3:BJ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50"/>
  <sheetViews>
    <sheetView showGridLines="0" zoomScale="90" zoomScaleNormal="90" workbookViewId="0">
      <selection activeCell="H6" sqref="H6"/>
    </sheetView>
  </sheetViews>
  <sheetFormatPr defaultColWidth="14.42578125" defaultRowHeight="15"/>
  <cols>
    <col min="1" max="1" width="22.5703125" style="11" customWidth="1"/>
    <col min="2" max="2" width="8" style="11" customWidth="1"/>
    <col min="3" max="3" width="38.28515625" style="11" customWidth="1"/>
    <col min="4" max="5" width="14.42578125" style="11"/>
    <col min="6" max="6" width="9.5703125" style="11" customWidth="1"/>
    <col min="7" max="7" width="8.7109375" style="11" customWidth="1"/>
    <col min="8" max="8" width="31" style="11" customWidth="1"/>
    <col min="9" max="12" width="14.42578125" style="11"/>
    <col min="13" max="13" width="19.85546875" style="11" customWidth="1"/>
    <col min="14" max="14" width="16.28515625" style="11" customWidth="1"/>
    <col min="15" max="17" width="14.42578125" style="11"/>
    <col min="18" max="18" width="27" style="11" customWidth="1"/>
    <col min="19" max="16384" width="14.42578125" style="11"/>
  </cols>
  <sheetData>
    <row r="1" spans="1:19">
      <c r="A1" s="46"/>
      <c r="B1" s="46"/>
    </row>
    <row r="2" spans="1:19">
      <c r="A2" s="46"/>
      <c r="B2" s="109" t="s">
        <v>2014</v>
      </c>
      <c r="C2" s="109"/>
      <c r="D2" s="109"/>
      <c r="E2" s="109"/>
      <c r="F2" s="109"/>
    </row>
    <row r="3" spans="1:19">
      <c r="A3" s="46"/>
      <c r="B3" s="47"/>
      <c r="F3" s="48"/>
      <c r="M3" s="110" t="s">
        <v>2015</v>
      </c>
      <c r="N3" s="110"/>
      <c r="O3" s="110"/>
    </row>
    <row r="4" spans="1:19" ht="28.35" customHeight="1">
      <c r="A4" s="50"/>
      <c r="B4" s="51"/>
      <c r="C4" s="111" t="s">
        <v>2016</v>
      </c>
      <c r="D4" s="111"/>
      <c r="E4" s="111"/>
      <c r="F4" s="48"/>
      <c r="H4" s="53" t="s">
        <v>2017</v>
      </c>
      <c r="I4" s="53">
        <f>0.39456+0.84322</f>
        <v>1.2377799999999999</v>
      </c>
      <c r="M4" s="52" t="s">
        <v>2016</v>
      </c>
      <c r="N4" s="52">
        <f>D9</f>
        <v>1632.9146291208735</v>
      </c>
      <c r="O4" s="52" t="s">
        <v>2018</v>
      </c>
    </row>
    <row r="5" spans="1:19" ht="45">
      <c r="A5" s="50"/>
      <c r="B5" s="51"/>
      <c r="C5" s="52" t="s">
        <v>2019</v>
      </c>
      <c r="D5" s="54">
        <f>'B3'!G410</f>
        <v>192030.76038461475</v>
      </c>
      <c r="E5" s="55" t="s">
        <v>2020</v>
      </c>
      <c r="F5" s="48"/>
      <c r="H5" s="53" t="s">
        <v>2021</v>
      </c>
      <c r="I5" s="56">
        <f>I4*D5</f>
        <v>237691.83458886843</v>
      </c>
      <c r="M5" s="52" t="s">
        <v>2022</v>
      </c>
      <c r="N5" s="49">
        <f>D17</f>
        <v>1433.5539599686028</v>
      </c>
      <c r="O5" s="52" t="s">
        <v>2018</v>
      </c>
    </row>
    <row r="6" spans="1:19" ht="45">
      <c r="A6" s="50"/>
      <c r="B6" s="51"/>
      <c r="C6" s="52" t="s">
        <v>2023</v>
      </c>
      <c r="D6" s="55">
        <v>4.9000000000000004</v>
      </c>
      <c r="E6" s="55" t="s">
        <v>2024</v>
      </c>
      <c r="F6" s="48"/>
      <c r="H6" s="11">
        <f>D5*12</f>
        <v>2304369.1246153768</v>
      </c>
      <c r="M6" s="52" t="s">
        <v>2025</v>
      </c>
      <c r="N6" s="52" t="e">
        <f>D29</f>
        <v>#REF!</v>
      </c>
      <c r="O6" s="52" t="s">
        <v>2018</v>
      </c>
    </row>
    <row r="7" spans="1:19" ht="45">
      <c r="A7" s="50"/>
      <c r="B7" s="51"/>
      <c r="C7" s="52" t="s">
        <v>2026</v>
      </c>
      <c r="D7" s="55">
        <v>0.8</v>
      </c>
      <c r="E7" s="55" t="s">
        <v>2027</v>
      </c>
      <c r="F7" s="48"/>
      <c r="M7" s="52" t="s">
        <v>2028</v>
      </c>
      <c r="N7" s="52" t="e">
        <f>D36</f>
        <v>#REF!</v>
      </c>
      <c r="O7" s="52" t="s">
        <v>2018</v>
      </c>
      <c r="R7" s="57"/>
    </row>
    <row r="8" spans="1:19" ht="30">
      <c r="A8" s="50"/>
      <c r="B8" s="51"/>
      <c r="C8" s="52" t="s">
        <v>2029</v>
      </c>
      <c r="D8" s="55">
        <v>30</v>
      </c>
      <c r="E8" s="55" t="s">
        <v>2030</v>
      </c>
      <c r="F8" s="48"/>
      <c r="M8" s="52" t="s">
        <v>2031</v>
      </c>
      <c r="N8" s="52" t="e">
        <f>SUM(N4:N7)</f>
        <v>#REF!</v>
      </c>
      <c r="O8" s="52" t="s">
        <v>2018</v>
      </c>
      <c r="Q8" s="57"/>
      <c r="R8" s="57"/>
    </row>
    <row r="9" spans="1:19">
      <c r="A9" s="50"/>
      <c r="B9" s="51"/>
      <c r="C9" s="52" t="s">
        <v>2032</v>
      </c>
      <c r="D9" s="55">
        <f>D5/(D6*D7*D8)</f>
        <v>1632.9146291208735</v>
      </c>
      <c r="E9" s="55" t="s">
        <v>2018</v>
      </c>
      <c r="F9" s="48"/>
    </row>
    <row r="10" spans="1:19">
      <c r="A10" s="46"/>
      <c r="B10" s="47"/>
      <c r="F10" s="48"/>
    </row>
    <row r="11" spans="1:19">
      <c r="A11" s="46"/>
      <c r="B11" s="47"/>
      <c r="F11" s="48"/>
      <c r="M11" s="110" t="s">
        <v>2033</v>
      </c>
      <c r="N11" s="110"/>
      <c r="O11" s="110"/>
    </row>
    <row r="12" spans="1:19" ht="15" customHeight="1">
      <c r="A12" s="50"/>
      <c r="B12" s="51"/>
      <c r="C12" s="111" t="s">
        <v>2022</v>
      </c>
      <c r="D12" s="111"/>
      <c r="E12" s="111"/>
      <c r="F12" s="48"/>
      <c r="H12" s="53" t="s">
        <v>2017</v>
      </c>
      <c r="I12" s="53">
        <f>0.21314+0.4059</f>
        <v>0.61904000000000003</v>
      </c>
      <c r="M12" s="52" t="s">
        <v>2034</v>
      </c>
      <c r="N12" s="112">
        <f>I5</f>
        <v>237691.83458886843</v>
      </c>
      <c r="O12" s="112"/>
    </row>
    <row r="13" spans="1:19" ht="45">
      <c r="A13" s="50"/>
      <c r="B13" s="51"/>
      <c r="C13" s="52" t="s">
        <v>2019</v>
      </c>
      <c r="D13" s="58">
        <f>'B4A Ilum. Pública'!G47</f>
        <v>168585.94569230769</v>
      </c>
      <c r="E13" s="55" t="s">
        <v>2020</v>
      </c>
      <c r="F13" s="48"/>
      <c r="H13" s="53" t="s">
        <v>2021</v>
      </c>
      <c r="I13" s="56">
        <f>I12*D13</f>
        <v>104361.44382136616</v>
      </c>
      <c r="M13" s="52" t="s">
        <v>2035</v>
      </c>
      <c r="N13" s="113">
        <f>I13</f>
        <v>104361.44382136616</v>
      </c>
      <c r="O13" s="113"/>
    </row>
    <row r="14" spans="1:19" ht="30">
      <c r="A14" s="50"/>
      <c r="B14" s="51"/>
      <c r="C14" s="52" t="s">
        <v>2023</v>
      </c>
      <c r="D14" s="55">
        <v>4.9000000000000004</v>
      </c>
      <c r="E14" s="55" t="s">
        <v>2024</v>
      </c>
      <c r="F14" s="48"/>
      <c r="M14" s="52" t="s">
        <v>2036</v>
      </c>
      <c r="N14" s="112" t="e">
        <f>I24</f>
        <v>#REF!</v>
      </c>
      <c r="O14" s="112"/>
      <c r="S14" s="59"/>
    </row>
    <row r="15" spans="1:19" ht="30">
      <c r="A15" s="50"/>
      <c r="B15" s="51"/>
      <c r="C15" s="52" t="s">
        <v>2026</v>
      </c>
      <c r="D15" s="55">
        <v>0.8</v>
      </c>
      <c r="E15" s="55" t="s">
        <v>2027</v>
      </c>
      <c r="F15" s="48"/>
      <c r="M15" s="52" t="s">
        <v>2037</v>
      </c>
      <c r="N15" s="112" t="e">
        <f>I32</f>
        <v>#REF!</v>
      </c>
      <c r="O15" s="112"/>
    </row>
    <row r="16" spans="1:19" ht="30">
      <c r="A16" s="50"/>
      <c r="B16" s="51"/>
      <c r="C16" s="52" t="s">
        <v>2029</v>
      </c>
      <c r="D16" s="55">
        <v>30</v>
      </c>
      <c r="E16" s="55" t="s">
        <v>2030</v>
      </c>
      <c r="F16" s="48"/>
      <c r="M16" s="52" t="s">
        <v>2038</v>
      </c>
      <c r="N16" s="112" t="e">
        <f>SUM(N12:N15)</f>
        <v>#REF!</v>
      </c>
      <c r="O16" s="112"/>
    </row>
    <row r="17" spans="1:15">
      <c r="A17" s="50"/>
      <c r="B17" s="51"/>
      <c r="C17" s="52" t="s">
        <v>2032</v>
      </c>
      <c r="D17" s="55">
        <f>D13/(D14*D15*D16)</f>
        <v>1433.5539599686028</v>
      </c>
      <c r="E17" s="55" t="s">
        <v>2018</v>
      </c>
      <c r="F17" s="48"/>
    </row>
    <row r="18" spans="1:15">
      <c r="A18" s="46"/>
      <c r="B18" s="47"/>
      <c r="F18" s="48"/>
    </row>
    <row r="19" spans="1:15">
      <c r="A19" s="46"/>
      <c r="B19" s="60"/>
      <c r="C19" s="61"/>
      <c r="D19" s="61"/>
      <c r="E19" s="61"/>
      <c r="F19" s="62"/>
      <c r="M19" s="63" t="s">
        <v>2039</v>
      </c>
      <c r="N19" s="64">
        <v>4500</v>
      </c>
      <c r="O19" s="65" t="s">
        <v>2040</v>
      </c>
    </row>
    <row r="20" spans="1:15">
      <c r="A20" s="46"/>
      <c r="B20" s="46"/>
      <c r="M20" s="52" t="s">
        <v>2041</v>
      </c>
      <c r="N20" s="112">
        <f>N4*$N$19</f>
        <v>7348115.8310439307</v>
      </c>
      <c r="O20" s="112"/>
    </row>
    <row r="21" spans="1:15" ht="30">
      <c r="A21" s="46"/>
      <c r="B21" s="115" t="s">
        <v>2042</v>
      </c>
      <c r="C21" s="115"/>
      <c r="D21" s="115"/>
      <c r="E21" s="115"/>
      <c r="F21" s="115"/>
      <c r="M21" s="52" t="s">
        <v>2043</v>
      </c>
      <c r="N21" s="112">
        <f>N5*$N$19</f>
        <v>6450992.8198587131</v>
      </c>
      <c r="O21" s="112"/>
    </row>
    <row r="22" spans="1:15" ht="30">
      <c r="A22" s="50"/>
      <c r="B22" s="66"/>
      <c r="F22" s="48"/>
      <c r="M22" s="52" t="s">
        <v>2044</v>
      </c>
      <c r="N22" s="112" t="e">
        <f>N6*$N$19</f>
        <v>#REF!</v>
      </c>
      <c r="O22" s="112"/>
    </row>
    <row r="23" spans="1:15" ht="28.35" customHeight="1">
      <c r="A23" s="50"/>
      <c r="B23" s="51"/>
      <c r="C23" s="116" t="s">
        <v>2025</v>
      </c>
      <c r="D23" s="116"/>
      <c r="E23" s="116"/>
      <c r="F23" s="48"/>
      <c r="H23" s="53" t="s">
        <v>2017</v>
      </c>
      <c r="I23" s="56">
        <f>(0.58773+2.6065)</f>
        <v>3.1942300000000001</v>
      </c>
      <c r="M23" s="52" t="s">
        <v>2045</v>
      </c>
      <c r="N23" s="112" t="e">
        <f>N7*$N$19</f>
        <v>#REF!</v>
      </c>
      <c r="O23" s="112"/>
    </row>
    <row r="24" spans="1:15" ht="45">
      <c r="A24" s="50"/>
      <c r="B24" s="51"/>
      <c r="C24" s="67" t="s">
        <v>2019</v>
      </c>
      <c r="D24" s="68" t="e">
        <f>'A4 VERDE'!#REF!</f>
        <v>#REF!</v>
      </c>
      <c r="E24" s="68" t="s">
        <v>2020</v>
      </c>
      <c r="F24" s="48"/>
      <c r="H24" s="53" t="s">
        <v>2021</v>
      </c>
      <c r="I24" s="56" t="e">
        <f>I23*D24</f>
        <v>#REF!</v>
      </c>
      <c r="M24" s="52" t="s">
        <v>2046</v>
      </c>
      <c r="N24" s="112" t="e">
        <f>SUM(N20:O23)</f>
        <v>#REF!</v>
      </c>
      <c r="O24" s="112"/>
    </row>
    <row r="25" spans="1:15" ht="30">
      <c r="A25" s="50"/>
      <c r="B25" s="51"/>
      <c r="C25" s="67" t="s">
        <v>2047</v>
      </c>
      <c r="D25" s="68">
        <f>(0.58773+2.6065)/(0.37424+0.20375)</f>
        <v>5.5264450942057826</v>
      </c>
      <c r="E25" s="68" t="s">
        <v>2024</v>
      </c>
      <c r="F25" s="48"/>
      <c r="H25" s="11" t="e">
        <f>D24*12</f>
        <v>#REF!</v>
      </c>
    </row>
    <row r="26" spans="1:15" ht="30">
      <c r="A26" s="50"/>
      <c r="B26" s="51"/>
      <c r="C26" s="67" t="s">
        <v>2023</v>
      </c>
      <c r="D26" s="68">
        <v>4.9000000000000004</v>
      </c>
      <c r="E26" s="68" t="s">
        <v>2024</v>
      </c>
      <c r="F26" s="48"/>
      <c r="H26" s="11" t="e">
        <f>H25/1000</f>
        <v>#REF!</v>
      </c>
      <c r="M26" s="52" t="s">
        <v>2048</v>
      </c>
      <c r="N26" s="69" t="e">
        <f>N24/N16</f>
        <v>#REF!</v>
      </c>
      <c r="O26" s="52" t="s">
        <v>2049</v>
      </c>
    </row>
    <row r="27" spans="1:15" ht="30">
      <c r="A27" s="50"/>
      <c r="B27" s="51"/>
      <c r="C27" s="67" t="s">
        <v>2026</v>
      </c>
      <c r="D27" s="68">
        <v>0.8</v>
      </c>
      <c r="E27" s="68" t="s">
        <v>2027</v>
      </c>
      <c r="F27" s="48"/>
    </row>
    <row r="28" spans="1:15" ht="30">
      <c r="A28" s="50"/>
      <c r="B28" s="51"/>
      <c r="C28" s="67" t="s">
        <v>2029</v>
      </c>
      <c r="D28" s="68">
        <v>30</v>
      </c>
      <c r="E28" s="68" t="s">
        <v>2030</v>
      </c>
      <c r="F28" s="48"/>
    </row>
    <row r="29" spans="1:15">
      <c r="A29" s="50"/>
      <c r="B29" s="51"/>
      <c r="C29" s="67" t="s">
        <v>2032</v>
      </c>
      <c r="D29" s="68" t="e">
        <f>D24*D25/(D26*D27*D28)</f>
        <v>#REF!</v>
      </c>
      <c r="E29" s="68" t="s">
        <v>2018</v>
      </c>
      <c r="F29" s="48"/>
    </row>
    <row r="30" spans="1:15">
      <c r="A30" s="46"/>
      <c r="B30" s="47"/>
      <c r="F30" s="48"/>
    </row>
    <row r="31" spans="1:15" ht="15" customHeight="1">
      <c r="A31" s="50"/>
      <c r="B31" s="51"/>
      <c r="C31" s="114" t="s">
        <v>2028</v>
      </c>
      <c r="D31" s="114"/>
      <c r="E31" s="114"/>
      <c r="F31" s="48"/>
      <c r="H31" s="53" t="s">
        <v>2017</v>
      </c>
      <c r="I31" s="56">
        <f>(0.37424+0.20375)</f>
        <v>0.57799</v>
      </c>
    </row>
    <row r="32" spans="1:15" ht="45">
      <c r="A32" s="50"/>
      <c r="B32" s="51"/>
      <c r="C32" s="70" t="s">
        <v>2019</v>
      </c>
      <c r="D32" s="71" t="e">
        <f>'A4 VERDE'!#REF!</f>
        <v>#REF!</v>
      </c>
      <c r="E32" s="71" t="s">
        <v>2020</v>
      </c>
      <c r="F32" s="48"/>
      <c r="H32" s="53" t="s">
        <v>2050</v>
      </c>
      <c r="I32" s="56" t="e">
        <f>I31*D32</f>
        <v>#REF!</v>
      </c>
    </row>
    <row r="33" spans="1:8" ht="30">
      <c r="A33" s="50"/>
      <c r="B33" s="51"/>
      <c r="C33" s="70" t="s">
        <v>2023</v>
      </c>
      <c r="D33" s="71">
        <v>4.9000000000000004</v>
      </c>
      <c r="E33" s="71" t="s">
        <v>2024</v>
      </c>
      <c r="F33" s="48"/>
    </row>
    <row r="34" spans="1:8" ht="30">
      <c r="A34" s="50"/>
      <c r="B34" s="51"/>
      <c r="C34" s="70" t="s">
        <v>2026</v>
      </c>
      <c r="D34" s="71">
        <v>0.8</v>
      </c>
      <c r="E34" s="71" t="s">
        <v>2027</v>
      </c>
      <c r="F34" s="48"/>
      <c r="H34" s="11" t="e">
        <f>D32*12/1000</f>
        <v>#REF!</v>
      </c>
    </row>
    <row r="35" spans="1:8" ht="30">
      <c r="A35" s="50"/>
      <c r="B35" s="51"/>
      <c r="C35" s="70" t="s">
        <v>2029</v>
      </c>
      <c r="D35" s="71">
        <v>30</v>
      </c>
      <c r="E35" s="71" t="s">
        <v>2030</v>
      </c>
      <c r="F35" s="48"/>
    </row>
    <row r="36" spans="1:8">
      <c r="A36" s="50"/>
      <c r="B36" s="51"/>
      <c r="C36" s="70" t="s">
        <v>2032</v>
      </c>
      <c r="D36" s="71" t="e">
        <f>D32/(D33*D34*D35)</f>
        <v>#REF!</v>
      </c>
      <c r="E36" s="71" t="s">
        <v>2018</v>
      </c>
      <c r="F36" s="48"/>
    </row>
    <row r="37" spans="1:8">
      <c r="A37" s="46"/>
      <c r="B37" s="60"/>
      <c r="C37" s="61"/>
      <c r="D37" s="61"/>
      <c r="E37" s="61"/>
      <c r="F37" s="62"/>
    </row>
    <row r="38" spans="1:8">
      <c r="A38" s="46"/>
      <c r="B38" s="46"/>
    </row>
    <row r="39" spans="1:8">
      <c r="A39" s="46"/>
      <c r="B39" s="46"/>
    </row>
    <row r="40" spans="1:8">
      <c r="A40" s="46"/>
      <c r="B40" s="46"/>
    </row>
    <row r="41" spans="1:8">
      <c r="A41" s="46"/>
      <c r="B41" s="46"/>
    </row>
    <row r="42" spans="1:8">
      <c r="A42" s="46"/>
      <c r="B42" s="46"/>
      <c r="C42" s="110" t="s">
        <v>2051</v>
      </c>
      <c r="D42" s="110"/>
      <c r="E42" s="110"/>
    </row>
    <row r="43" spans="1:8">
      <c r="A43" s="46"/>
      <c r="B43" s="46"/>
      <c r="C43" s="52" t="s">
        <v>2052</v>
      </c>
      <c r="D43" s="72" t="s">
        <v>2053</v>
      </c>
      <c r="E43" s="71" t="s">
        <v>2054</v>
      </c>
    </row>
    <row r="44" spans="1:8">
      <c r="A44" s="46"/>
      <c r="B44" s="46"/>
      <c r="C44" s="52" t="s">
        <v>2055</v>
      </c>
      <c r="D44" s="72">
        <f>(D5*12)/1000</f>
        <v>2304.3691246153767</v>
      </c>
      <c r="E44" s="73" t="e">
        <f>D44/D48</f>
        <v>#REF!</v>
      </c>
    </row>
    <row r="45" spans="1:8">
      <c r="A45" s="46"/>
      <c r="B45" s="46"/>
      <c r="C45" s="52" t="s">
        <v>2056</v>
      </c>
      <c r="D45" s="72">
        <f>(D13*12)/1000</f>
        <v>2023.0313483076925</v>
      </c>
      <c r="E45" s="73" t="e">
        <f>D45/D48</f>
        <v>#REF!</v>
      </c>
    </row>
    <row r="46" spans="1:8">
      <c r="A46" s="46"/>
      <c r="B46" s="46"/>
      <c r="C46" s="52" t="s">
        <v>2057</v>
      </c>
      <c r="D46" s="72" t="e">
        <f>(D24*12)/1000</f>
        <v>#REF!</v>
      </c>
      <c r="E46" s="73" t="e">
        <f>D46/D48</f>
        <v>#REF!</v>
      </c>
    </row>
    <row r="47" spans="1:8">
      <c r="A47" s="46"/>
      <c r="B47" s="46"/>
      <c r="C47" s="52" t="s">
        <v>2058</v>
      </c>
      <c r="D47" s="72" t="e">
        <f>(D32*12)/1000</f>
        <v>#REF!</v>
      </c>
      <c r="E47" s="73" t="e">
        <f>D47/D48</f>
        <v>#REF!</v>
      </c>
    </row>
    <row r="48" spans="1:8">
      <c r="A48" s="46"/>
      <c r="B48" s="46"/>
      <c r="C48" s="52" t="s">
        <v>2059</v>
      </c>
      <c r="D48" s="72" t="e">
        <f>SUM(D44:D47)</f>
        <v>#REF!</v>
      </c>
      <c r="E48" s="73" t="e">
        <f>SUM(E44:E47)</f>
        <v>#REF!</v>
      </c>
    </row>
    <row r="49" spans="1:2">
      <c r="A49" s="46"/>
      <c r="B49" s="46"/>
    </row>
    <row r="50" spans="1:2">
      <c r="A50" s="46"/>
      <c r="B50" s="46"/>
    </row>
    <row r="51" spans="1:2">
      <c r="A51" s="46"/>
      <c r="B51" s="46"/>
    </row>
    <row r="52" spans="1:2">
      <c r="A52" s="46"/>
      <c r="B52" s="46"/>
    </row>
    <row r="53" spans="1:2">
      <c r="A53" s="46"/>
      <c r="B53" s="46"/>
    </row>
    <row r="54" spans="1:2">
      <c r="A54" s="46"/>
      <c r="B54" s="46"/>
    </row>
    <row r="55" spans="1:2">
      <c r="A55" s="46"/>
      <c r="B55" s="46"/>
    </row>
    <row r="56" spans="1:2">
      <c r="A56" s="46"/>
      <c r="B56" s="46"/>
    </row>
    <row r="57" spans="1:2">
      <c r="A57" s="46"/>
      <c r="B57" s="46"/>
    </row>
    <row r="58" spans="1:2">
      <c r="A58" s="46"/>
      <c r="B58" s="46"/>
    </row>
    <row r="59" spans="1:2">
      <c r="A59" s="46"/>
      <c r="B59" s="46"/>
    </row>
    <row r="60" spans="1:2">
      <c r="A60" s="46"/>
      <c r="B60" s="46"/>
    </row>
    <row r="61" spans="1:2">
      <c r="A61" s="46"/>
      <c r="B61" s="46"/>
    </row>
    <row r="62" spans="1:2">
      <c r="A62" s="46"/>
      <c r="B62" s="46"/>
    </row>
    <row r="63" spans="1:2">
      <c r="A63" s="46"/>
      <c r="B63" s="46"/>
    </row>
    <row r="64" spans="1:2">
      <c r="A64" s="46"/>
      <c r="B64" s="46"/>
    </row>
    <row r="65" spans="1:2">
      <c r="A65" s="46"/>
      <c r="B65" s="46"/>
    </row>
    <row r="66" spans="1:2">
      <c r="A66" s="46"/>
      <c r="B66" s="46"/>
    </row>
    <row r="67" spans="1:2">
      <c r="A67" s="46"/>
      <c r="B67" s="46"/>
    </row>
    <row r="68" spans="1:2">
      <c r="A68" s="46"/>
      <c r="B68" s="46"/>
    </row>
    <row r="69" spans="1:2">
      <c r="A69" s="46"/>
      <c r="B69" s="46"/>
    </row>
    <row r="70" spans="1:2">
      <c r="A70" s="46"/>
      <c r="B70" s="46"/>
    </row>
    <row r="71" spans="1:2">
      <c r="A71" s="46"/>
      <c r="B71" s="46"/>
    </row>
    <row r="72" spans="1:2">
      <c r="A72" s="46"/>
      <c r="B72" s="46"/>
    </row>
    <row r="73" spans="1:2">
      <c r="A73" s="46"/>
      <c r="B73" s="46"/>
    </row>
    <row r="74" spans="1:2">
      <c r="A74" s="46"/>
      <c r="B74" s="46"/>
    </row>
    <row r="75" spans="1:2">
      <c r="A75" s="46"/>
      <c r="B75" s="46"/>
    </row>
    <row r="76" spans="1:2">
      <c r="A76" s="46"/>
      <c r="B76" s="46"/>
    </row>
    <row r="77" spans="1:2">
      <c r="A77" s="46"/>
      <c r="B77" s="46"/>
    </row>
    <row r="78" spans="1:2">
      <c r="A78" s="46"/>
      <c r="B78" s="46"/>
    </row>
    <row r="79" spans="1:2">
      <c r="A79" s="46"/>
      <c r="B79" s="46"/>
    </row>
    <row r="80" spans="1:2">
      <c r="A80" s="46"/>
      <c r="B80" s="46"/>
    </row>
    <row r="81" spans="1:2">
      <c r="A81" s="46"/>
      <c r="B81" s="46"/>
    </row>
    <row r="82" spans="1:2">
      <c r="A82" s="46"/>
      <c r="B82" s="46"/>
    </row>
    <row r="83" spans="1:2">
      <c r="A83" s="46"/>
      <c r="B83" s="46"/>
    </row>
    <row r="84" spans="1:2">
      <c r="A84" s="46"/>
      <c r="B84" s="46"/>
    </row>
    <row r="85" spans="1:2">
      <c r="A85" s="46"/>
      <c r="B85" s="46"/>
    </row>
    <row r="86" spans="1:2">
      <c r="A86" s="46"/>
      <c r="B86" s="46"/>
    </row>
    <row r="87" spans="1:2">
      <c r="A87" s="46"/>
      <c r="B87" s="46"/>
    </row>
    <row r="88" spans="1:2">
      <c r="A88" s="46"/>
      <c r="B88" s="46"/>
    </row>
    <row r="89" spans="1:2">
      <c r="A89" s="46"/>
      <c r="B89" s="46"/>
    </row>
    <row r="90" spans="1:2">
      <c r="A90" s="46"/>
      <c r="B90" s="46"/>
    </row>
    <row r="91" spans="1:2">
      <c r="A91" s="46"/>
      <c r="B91" s="46"/>
    </row>
    <row r="92" spans="1:2">
      <c r="A92" s="46"/>
      <c r="B92" s="46"/>
    </row>
    <row r="93" spans="1:2">
      <c r="A93" s="46"/>
      <c r="B93" s="46"/>
    </row>
    <row r="94" spans="1:2">
      <c r="A94" s="46"/>
      <c r="B94" s="46"/>
    </row>
    <row r="95" spans="1:2">
      <c r="A95" s="46"/>
      <c r="B95" s="46"/>
    </row>
    <row r="96" spans="1:2">
      <c r="A96" s="46"/>
      <c r="B96" s="46"/>
    </row>
    <row r="97" spans="1:2">
      <c r="A97" s="46"/>
      <c r="B97" s="46"/>
    </row>
    <row r="98" spans="1:2">
      <c r="A98" s="46"/>
      <c r="B98" s="46"/>
    </row>
    <row r="99" spans="1:2">
      <c r="A99" s="46"/>
      <c r="B99" s="46"/>
    </row>
    <row r="100" spans="1:2">
      <c r="A100" s="46"/>
      <c r="B100" s="46"/>
    </row>
    <row r="101" spans="1:2">
      <c r="A101" s="46"/>
      <c r="B101" s="46"/>
    </row>
    <row r="102" spans="1:2">
      <c r="A102" s="46"/>
      <c r="B102" s="46"/>
    </row>
    <row r="103" spans="1:2">
      <c r="A103" s="46"/>
      <c r="B103" s="46"/>
    </row>
    <row r="104" spans="1:2">
      <c r="A104" s="46"/>
      <c r="B104" s="46"/>
    </row>
    <row r="105" spans="1:2">
      <c r="A105" s="46"/>
      <c r="B105" s="46"/>
    </row>
    <row r="106" spans="1:2">
      <c r="A106" s="46"/>
      <c r="B106" s="46"/>
    </row>
    <row r="107" spans="1:2">
      <c r="A107" s="46"/>
      <c r="B107" s="46"/>
    </row>
    <row r="108" spans="1:2">
      <c r="A108" s="46"/>
      <c r="B108" s="46"/>
    </row>
    <row r="109" spans="1:2">
      <c r="A109" s="46"/>
      <c r="B109" s="46"/>
    </row>
    <row r="110" spans="1:2">
      <c r="A110" s="46"/>
      <c r="B110" s="46"/>
    </row>
    <row r="111" spans="1:2">
      <c r="A111" s="46"/>
      <c r="B111" s="46"/>
    </row>
    <row r="112" spans="1:2">
      <c r="A112" s="46"/>
      <c r="B112" s="46"/>
    </row>
    <row r="113" spans="1:2">
      <c r="A113" s="46"/>
      <c r="B113" s="46"/>
    </row>
    <row r="114" spans="1:2">
      <c r="A114" s="46"/>
      <c r="B114" s="46"/>
    </row>
    <row r="115" spans="1:2">
      <c r="A115" s="46"/>
      <c r="B115" s="46"/>
    </row>
    <row r="116" spans="1:2">
      <c r="A116" s="46"/>
      <c r="B116" s="46"/>
    </row>
    <row r="117" spans="1:2">
      <c r="A117" s="46"/>
      <c r="B117" s="46"/>
    </row>
    <row r="118" spans="1:2">
      <c r="A118" s="46"/>
      <c r="B118" s="46"/>
    </row>
    <row r="119" spans="1:2">
      <c r="A119" s="46"/>
      <c r="B119" s="46"/>
    </row>
    <row r="120" spans="1:2">
      <c r="A120" s="46"/>
      <c r="B120" s="46"/>
    </row>
    <row r="121" spans="1:2">
      <c r="A121" s="46"/>
      <c r="B121" s="46"/>
    </row>
    <row r="122" spans="1:2">
      <c r="A122" s="46"/>
      <c r="B122" s="46"/>
    </row>
    <row r="123" spans="1:2">
      <c r="A123" s="46"/>
      <c r="B123" s="46"/>
    </row>
    <row r="124" spans="1:2">
      <c r="A124" s="46"/>
      <c r="B124" s="46"/>
    </row>
    <row r="125" spans="1:2">
      <c r="A125" s="46"/>
      <c r="B125" s="46"/>
    </row>
    <row r="126" spans="1:2">
      <c r="A126" s="46"/>
      <c r="B126" s="46"/>
    </row>
    <row r="127" spans="1:2">
      <c r="A127" s="46"/>
      <c r="B127" s="46"/>
    </row>
    <row r="128" spans="1:2">
      <c r="A128" s="46"/>
      <c r="B128" s="46"/>
    </row>
    <row r="129" spans="1:2">
      <c r="A129" s="46"/>
      <c r="B129" s="46"/>
    </row>
    <row r="130" spans="1:2">
      <c r="A130" s="46"/>
      <c r="B130" s="46"/>
    </row>
    <row r="131" spans="1:2">
      <c r="A131" s="46"/>
      <c r="B131" s="46"/>
    </row>
    <row r="132" spans="1:2">
      <c r="A132" s="46"/>
      <c r="B132" s="46"/>
    </row>
    <row r="133" spans="1:2">
      <c r="A133" s="46"/>
      <c r="B133" s="46"/>
    </row>
    <row r="134" spans="1:2">
      <c r="A134" s="46"/>
      <c r="B134" s="46"/>
    </row>
    <row r="135" spans="1:2">
      <c r="A135" s="46"/>
      <c r="B135" s="46"/>
    </row>
    <row r="136" spans="1:2">
      <c r="A136" s="46"/>
      <c r="B136" s="46"/>
    </row>
    <row r="137" spans="1:2">
      <c r="A137" s="46"/>
      <c r="B137" s="46"/>
    </row>
    <row r="138" spans="1:2">
      <c r="A138" s="46"/>
      <c r="B138" s="46"/>
    </row>
    <row r="139" spans="1:2">
      <c r="A139" s="46"/>
      <c r="B139" s="46"/>
    </row>
    <row r="140" spans="1:2">
      <c r="A140" s="46"/>
      <c r="B140" s="46"/>
    </row>
    <row r="141" spans="1:2">
      <c r="A141" s="46"/>
      <c r="B141" s="46"/>
    </row>
    <row r="142" spans="1:2">
      <c r="A142" s="46"/>
      <c r="B142" s="46"/>
    </row>
    <row r="143" spans="1:2">
      <c r="A143" s="46"/>
      <c r="B143" s="46"/>
    </row>
    <row r="144" spans="1:2">
      <c r="A144" s="46"/>
      <c r="B144" s="46"/>
    </row>
    <row r="145" spans="1:2">
      <c r="A145" s="46"/>
      <c r="B145" s="46"/>
    </row>
    <row r="146" spans="1:2">
      <c r="A146" s="46"/>
      <c r="B146" s="46"/>
    </row>
    <row r="147" spans="1:2">
      <c r="A147" s="46"/>
      <c r="B147" s="46"/>
    </row>
    <row r="148" spans="1:2">
      <c r="A148" s="46"/>
      <c r="B148" s="46"/>
    </row>
    <row r="149" spans="1:2">
      <c r="A149" s="46"/>
      <c r="B149" s="46"/>
    </row>
    <row r="150" spans="1:2">
      <c r="A150" s="46"/>
      <c r="B150" s="46"/>
    </row>
    <row r="151" spans="1:2">
      <c r="A151" s="46"/>
      <c r="B151" s="46"/>
    </row>
    <row r="152" spans="1:2">
      <c r="A152" s="46"/>
      <c r="B152" s="46"/>
    </row>
    <row r="153" spans="1:2">
      <c r="A153" s="46"/>
      <c r="B153" s="46"/>
    </row>
    <row r="154" spans="1:2">
      <c r="A154" s="46"/>
      <c r="B154" s="46"/>
    </row>
    <row r="155" spans="1:2">
      <c r="A155" s="46"/>
      <c r="B155" s="46"/>
    </row>
    <row r="156" spans="1:2">
      <c r="A156" s="46"/>
      <c r="B156" s="46"/>
    </row>
    <row r="157" spans="1:2">
      <c r="A157" s="46"/>
      <c r="B157" s="46"/>
    </row>
    <row r="158" spans="1:2">
      <c r="A158" s="46"/>
      <c r="B158" s="46"/>
    </row>
    <row r="159" spans="1:2">
      <c r="A159" s="46"/>
      <c r="B159" s="46"/>
    </row>
    <row r="160" spans="1:2">
      <c r="A160" s="46"/>
      <c r="B160" s="46"/>
    </row>
    <row r="161" spans="1:2">
      <c r="A161" s="46"/>
      <c r="B161" s="46"/>
    </row>
    <row r="162" spans="1:2">
      <c r="A162" s="46"/>
      <c r="B162" s="46"/>
    </row>
    <row r="163" spans="1:2">
      <c r="A163" s="46"/>
      <c r="B163" s="46"/>
    </row>
    <row r="164" spans="1:2">
      <c r="A164" s="46"/>
      <c r="B164" s="46"/>
    </row>
    <row r="165" spans="1:2">
      <c r="A165" s="46"/>
      <c r="B165" s="46"/>
    </row>
    <row r="166" spans="1:2">
      <c r="A166" s="46"/>
      <c r="B166" s="46"/>
    </row>
    <row r="167" spans="1:2">
      <c r="A167" s="46"/>
      <c r="B167" s="46"/>
    </row>
    <row r="168" spans="1:2">
      <c r="A168" s="46"/>
      <c r="B168" s="46"/>
    </row>
    <row r="169" spans="1:2">
      <c r="A169" s="46"/>
      <c r="B169" s="46"/>
    </row>
    <row r="170" spans="1:2">
      <c r="A170" s="46"/>
      <c r="B170" s="46"/>
    </row>
    <row r="171" spans="1:2">
      <c r="A171" s="46"/>
      <c r="B171" s="46"/>
    </row>
    <row r="172" spans="1:2">
      <c r="A172" s="46"/>
      <c r="B172" s="46"/>
    </row>
    <row r="173" spans="1:2">
      <c r="A173" s="46"/>
      <c r="B173" s="46"/>
    </row>
    <row r="174" spans="1:2">
      <c r="A174" s="46"/>
      <c r="B174" s="46"/>
    </row>
    <row r="175" spans="1:2">
      <c r="A175" s="46"/>
      <c r="B175" s="46"/>
    </row>
    <row r="176" spans="1:2">
      <c r="A176" s="46"/>
      <c r="B176" s="46"/>
    </row>
    <row r="177" spans="1:2">
      <c r="A177" s="46"/>
      <c r="B177" s="46"/>
    </row>
    <row r="178" spans="1:2">
      <c r="A178" s="46"/>
      <c r="B178" s="46"/>
    </row>
    <row r="179" spans="1:2">
      <c r="A179" s="46"/>
      <c r="B179" s="46"/>
    </row>
    <row r="180" spans="1:2">
      <c r="A180" s="46"/>
      <c r="B180" s="46"/>
    </row>
    <row r="181" spans="1:2">
      <c r="A181" s="46"/>
      <c r="B181" s="46"/>
    </row>
    <row r="182" spans="1:2">
      <c r="A182" s="46"/>
      <c r="B182" s="46"/>
    </row>
    <row r="183" spans="1:2">
      <c r="A183" s="46"/>
      <c r="B183" s="46"/>
    </row>
    <row r="184" spans="1:2">
      <c r="A184" s="46"/>
      <c r="B184" s="46"/>
    </row>
    <row r="185" spans="1:2">
      <c r="A185" s="46"/>
      <c r="B185" s="46"/>
    </row>
    <row r="186" spans="1:2">
      <c r="A186" s="46"/>
      <c r="B186" s="46"/>
    </row>
    <row r="187" spans="1:2">
      <c r="A187" s="46"/>
      <c r="B187" s="46"/>
    </row>
    <row r="188" spans="1:2">
      <c r="A188" s="46"/>
      <c r="B188" s="46"/>
    </row>
    <row r="189" spans="1:2">
      <c r="A189" s="46"/>
      <c r="B189" s="46"/>
    </row>
    <row r="190" spans="1:2">
      <c r="A190" s="46"/>
      <c r="B190" s="46"/>
    </row>
    <row r="191" spans="1:2">
      <c r="A191" s="46"/>
      <c r="B191" s="46"/>
    </row>
    <row r="192" spans="1:2">
      <c r="A192" s="46"/>
      <c r="B192" s="46"/>
    </row>
    <row r="193" spans="1:2">
      <c r="A193" s="46"/>
      <c r="B193" s="46"/>
    </row>
    <row r="194" spans="1:2">
      <c r="A194" s="46"/>
      <c r="B194" s="46"/>
    </row>
    <row r="195" spans="1:2">
      <c r="A195" s="46"/>
      <c r="B195" s="46"/>
    </row>
    <row r="196" spans="1:2">
      <c r="A196" s="46"/>
      <c r="B196" s="46"/>
    </row>
    <row r="197" spans="1:2">
      <c r="A197" s="46"/>
      <c r="B197" s="46"/>
    </row>
    <row r="198" spans="1:2">
      <c r="A198" s="46"/>
      <c r="B198" s="46"/>
    </row>
    <row r="199" spans="1:2">
      <c r="A199" s="46"/>
      <c r="B199" s="46"/>
    </row>
    <row r="200" spans="1:2">
      <c r="A200" s="46"/>
      <c r="B200" s="46"/>
    </row>
    <row r="201" spans="1:2">
      <c r="A201" s="46"/>
      <c r="B201" s="46"/>
    </row>
    <row r="202" spans="1:2">
      <c r="A202" s="46"/>
      <c r="B202" s="46"/>
    </row>
    <row r="203" spans="1:2">
      <c r="A203" s="46"/>
      <c r="B203" s="46"/>
    </row>
    <row r="204" spans="1:2">
      <c r="A204" s="46"/>
      <c r="B204" s="46"/>
    </row>
    <row r="205" spans="1:2">
      <c r="A205" s="46"/>
      <c r="B205" s="46"/>
    </row>
    <row r="206" spans="1:2">
      <c r="A206" s="46"/>
      <c r="B206" s="46"/>
    </row>
    <row r="207" spans="1:2">
      <c r="A207" s="46"/>
      <c r="B207" s="46"/>
    </row>
    <row r="208" spans="1:2">
      <c r="A208" s="46"/>
      <c r="B208" s="46"/>
    </row>
    <row r="209" spans="1:2">
      <c r="A209" s="46"/>
      <c r="B209" s="46"/>
    </row>
    <row r="210" spans="1:2">
      <c r="A210" s="46"/>
      <c r="B210" s="46"/>
    </row>
    <row r="211" spans="1:2">
      <c r="A211" s="46"/>
      <c r="B211" s="46"/>
    </row>
    <row r="212" spans="1:2">
      <c r="A212" s="46"/>
      <c r="B212" s="46"/>
    </row>
    <row r="213" spans="1:2">
      <c r="A213" s="46"/>
      <c r="B213" s="46"/>
    </row>
    <row r="214" spans="1:2">
      <c r="A214" s="46"/>
      <c r="B214" s="46"/>
    </row>
    <row r="215" spans="1:2">
      <c r="A215" s="46"/>
      <c r="B215" s="46"/>
    </row>
    <row r="216" spans="1:2">
      <c r="A216" s="46"/>
      <c r="B216" s="46"/>
    </row>
    <row r="217" spans="1:2">
      <c r="A217" s="46"/>
      <c r="B217" s="46"/>
    </row>
    <row r="218" spans="1:2">
      <c r="A218" s="46"/>
      <c r="B218" s="46"/>
    </row>
    <row r="219" spans="1:2">
      <c r="A219" s="46"/>
      <c r="B219" s="46"/>
    </row>
    <row r="220" spans="1:2">
      <c r="A220" s="46"/>
      <c r="B220" s="46"/>
    </row>
    <row r="221" spans="1:2">
      <c r="A221" s="46"/>
      <c r="B221" s="46"/>
    </row>
    <row r="222" spans="1:2">
      <c r="A222" s="46"/>
      <c r="B222" s="46"/>
    </row>
    <row r="223" spans="1:2">
      <c r="A223" s="46"/>
      <c r="B223" s="46"/>
    </row>
    <row r="224" spans="1:2">
      <c r="A224" s="46"/>
      <c r="B224" s="46"/>
    </row>
    <row r="225" spans="1:2">
      <c r="A225" s="46"/>
      <c r="B225" s="46"/>
    </row>
    <row r="226" spans="1:2">
      <c r="A226" s="46"/>
      <c r="B226" s="46"/>
    </row>
    <row r="227" spans="1:2">
      <c r="A227" s="46"/>
      <c r="B227" s="46"/>
    </row>
    <row r="228" spans="1:2">
      <c r="A228" s="46"/>
      <c r="B228" s="46"/>
    </row>
    <row r="229" spans="1:2">
      <c r="A229" s="46"/>
      <c r="B229" s="46"/>
    </row>
    <row r="230" spans="1:2">
      <c r="A230" s="46"/>
      <c r="B230" s="46"/>
    </row>
    <row r="231" spans="1:2">
      <c r="A231" s="46"/>
      <c r="B231" s="46"/>
    </row>
    <row r="232" spans="1:2">
      <c r="A232" s="46"/>
      <c r="B232" s="46"/>
    </row>
    <row r="233" spans="1:2">
      <c r="A233" s="46"/>
      <c r="B233" s="46"/>
    </row>
    <row r="234" spans="1:2">
      <c r="A234" s="46"/>
      <c r="B234" s="46"/>
    </row>
    <row r="235" spans="1:2">
      <c r="A235" s="46"/>
      <c r="B235" s="46"/>
    </row>
    <row r="236" spans="1:2">
      <c r="A236" s="46"/>
      <c r="B236" s="46"/>
    </row>
    <row r="237" spans="1:2">
      <c r="A237" s="46"/>
      <c r="B237" s="46"/>
    </row>
    <row r="238" spans="1:2">
      <c r="A238" s="46"/>
      <c r="B238" s="46"/>
    </row>
    <row r="239" spans="1:2">
      <c r="A239" s="46"/>
      <c r="B239" s="46"/>
    </row>
    <row r="240" spans="1:2">
      <c r="A240" s="46"/>
      <c r="B240" s="46"/>
    </row>
    <row r="241" spans="1:2">
      <c r="A241" s="46"/>
      <c r="B241" s="46"/>
    </row>
    <row r="242" spans="1:2">
      <c r="A242" s="46"/>
      <c r="B242" s="46"/>
    </row>
    <row r="243" spans="1:2">
      <c r="A243" s="46"/>
      <c r="B243" s="46"/>
    </row>
    <row r="244" spans="1:2">
      <c r="A244" s="46"/>
      <c r="B244" s="46"/>
    </row>
    <row r="245" spans="1:2">
      <c r="A245" s="46"/>
      <c r="B245" s="46"/>
    </row>
    <row r="246" spans="1:2">
      <c r="A246" s="46"/>
      <c r="B246" s="46"/>
    </row>
    <row r="247" spans="1:2">
      <c r="A247" s="46"/>
      <c r="B247" s="46"/>
    </row>
    <row r="248" spans="1:2">
      <c r="A248" s="46"/>
      <c r="B248" s="46"/>
    </row>
    <row r="249" spans="1:2">
      <c r="A249" s="46"/>
      <c r="B249" s="46"/>
    </row>
    <row r="250" spans="1:2">
      <c r="A250" s="46"/>
      <c r="B250" s="46"/>
    </row>
    <row r="251" spans="1:2">
      <c r="A251" s="46"/>
      <c r="B251" s="46"/>
    </row>
    <row r="252" spans="1:2">
      <c r="A252" s="46"/>
      <c r="B252" s="46"/>
    </row>
    <row r="253" spans="1:2">
      <c r="A253" s="46"/>
      <c r="B253" s="46"/>
    </row>
    <row r="254" spans="1:2">
      <c r="A254" s="46"/>
      <c r="B254" s="46"/>
    </row>
    <row r="255" spans="1:2">
      <c r="A255" s="46"/>
      <c r="B255" s="46"/>
    </row>
    <row r="256" spans="1:2">
      <c r="A256" s="46"/>
      <c r="B256" s="46"/>
    </row>
    <row r="257" spans="1:2">
      <c r="A257" s="46"/>
      <c r="B257" s="46"/>
    </row>
    <row r="258" spans="1:2">
      <c r="A258" s="46"/>
      <c r="B258" s="46"/>
    </row>
    <row r="259" spans="1:2">
      <c r="A259" s="46"/>
      <c r="B259" s="46"/>
    </row>
    <row r="260" spans="1:2">
      <c r="A260" s="46"/>
      <c r="B260" s="46"/>
    </row>
    <row r="261" spans="1:2">
      <c r="A261" s="46"/>
      <c r="B261" s="46"/>
    </row>
    <row r="262" spans="1:2">
      <c r="A262" s="46"/>
      <c r="B262" s="46"/>
    </row>
    <row r="263" spans="1:2">
      <c r="A263" s="46"/>
      <c r="B263" s="46"/>
    </row>
    <row r="264" spans="1:2">
      <c r="A264" s="46"/>
      <c r="B264" s="46"/>
    </row>
    <row r="265" spans="1:2">
      <c r="A265" s="46"/>
      <c r="B265" s="46"/>
    </row>
    <row r="266" spans="1:2">
      <c r="A266" s="46"/>
      <c r="B266" s="46"/>
    </row>
    <row r="267" spans="1:2">
      <c r="A267" s="46"/>
      <c r="B267" s="46"/>
    </row>
    <row r="268" spans="1:2">
      <c r="A268" s="46"/>
      <c r="B268" s="46"/>
    </row>
    <row r="269" spans="1:2">
      <c r="A269" s="46"/>
      <c r="B269" s="46"/>
    </row>
    <row r="270" spans="1:2">
      <c r="A270" s="46"/>
      <c r="B270" s="46"/>
    </row>
    <row r="271" spans="1:2">
      <c r="A271" s="46"/>
      <c r="B271" s="46"/>
    </row>
    <row r="272" spans="1:2">
      <c r="A272" s="46"/>
      <c r="B272" s="46"/>
    </row>
    <row r="273" spans="1:2">
      <c r="A273" s="46"/>
      <c r="B273" s="46"/>
    </row>
    <row r="274" spans="1:2">
      <c r="A274" s="46"/>
      <c r="B274" s="46"/>
    </row>
    <row r="275" spans="1:2">
      <c r="A275" s="46"/>
      <c r="B275" s="46"/>
    </row>
    <row r="276" spans="1:2">
      <c r="A276" s="46"/>
      <c r="B276" s="46"/>
    </row>
    <row r="277" spans="1:2">
      <c r="A277" s="46"/>
      <c r="B277" s="46"/>
    </row>
    <row r="278" spans="1:2">
      <c r="A278" s="46"/>
      <c r="B278" s="46"/>
    </row>
    <row r="279" spans="1:2">
      <c r="A279" s="46"/>
      <c r="B279" s="46"/>
    </row>
    <row r="280" spans="1:2">
      <c r="A280" s="46"/>
      <c r="B280" s="46"/>
    </row>
    <row r="281" spans="1:2">
      <c r="A281" s="46"/>
      <c r="B281" s="46"/>
    </row>
    <row r="282" spans="1:2">
      <c r="A282" s="46"/>
      <c r="B282" s="46"/>
    </row>
    <row r="283" spans="1:2">
      <c r="A283" s="46"/>
      <c r="B283" s="46"/>
    </row>
    <row r="284" spans="1:2">
      <c r="A284" s="46"/>
      <c r="B284" s="46"/>
    </row>
    <row r="285" spans="1:2">
      <c r="A285" s="46"/>
      <c r="B285" s="46"/>
    </row>
    <row r="286" spans="1:2">
      <c r="A286" s="46"/>
      <c r="B286" s="46"/>
    </row>
    <row r="287" spans="1:2">
      <c r="A287" s="46"/>
      <c r="B287" s="46"/>
    </row>
    <row r="288" spans="1:2">
      <c r="A288" s="46"/>
      <c r="B288" s="46"/>
    </row>
    <row r="289" spans="1:2">
      <c r="A289" s="46"/>
      <c r="B289" s="46"/>
    </row>
    <row r="290" spans="1:2">
      <c r="A290" s="46"/>
      <c r="B290" s="46"/>
    </row>
    <row r="291" spans="1:2">
      <c r="A291" s="46"/>
      <c r="B291" s="46"/>
    </row>
    <row r="292" spans="1:2">
      <c r="A292" s="46"/>
      <c r="B292" s="46"/>
    </row>
    <row r="293" spans="1:2">
      <c r="A293" s="46"/>
      <c r="B293" s="46"/>
    </row>
    <row r="294" spans="1:2">
      <c r="A294" s="46"/>
      <c r="B294" s="46"/>
    </row>
    <row r="295" spans="1:2">
      <c r="A295" s="46"/>
      <c r="B295" s="46"/>
    </row>
    <row r="296" spans="1:2">
      <c r="A296" s="46"/>
      <c r="B296" s="46"/>
    </row>
    <row r="297" spans="1:2">
      <c r="A297" s="46"/>
      <c r="B297" s="46"/>
    </row>
    <row r="298" spans="1:2">
      <c r="A298" s="46"/>
      <c r="B298" s="46"/>
    </row>
    <row r="299" spans="1:2">
      <c r="A299" s="46"/>
      <c r="B299" s="46"/>
    </row>
    <row r="300" spans="1:2">
      <c r="A300" s="46"/>
      <c r="B300" s="46"/>
    </row>
    <row r="301" spans="1:2">
      <c r="A301" s="46"/>
      <c r="B301" s="46"/>
    </row>
    <row r="302" spans="1:2">
      <c r="A302" s="46"/>
      <c r="B302" s="46"/>
    </row>
    <row r="303" spans="1:2">
      <c r="A303" s="46"/>
      <c r="B303" s="46"/>
    </row>
    <row r="304" spans="1:2">
      <c r="A304" s="46"/>
      <c r="B304" s="46"/>
    </row>
    <row r="305" spans="1:2">
      <c r="A305" s="46"/>
      <c r="B305" s="46"/>
    </row>
    <row r="306" spans="1:2">
      <c r="A306" s="46"/>
      <c r="B306" s="46"/>
    </row>
    <row r="307" spans="1:2">
      <c r="A307" s="46"/>
      <c r="B307" s="46"/>
    </row>
    <row r="308" spans="1:2">
      <c r="A308" s="46"/>
      <c r="B308" s="46"/>
    </row>
    <row r="309" spans="1:2">
      <c r="A309" s="46"/>
      <c r="B309" s="46"/>
    </row>
    <row r="310" spans="1:2">
      <c r="A310" s="46"/>
      <c r="B310" s="46"/>
    </row>
    <row r="311" spans="1:2">
      <c r="A311" s="46"/>
      <c r="B311" s="46"/>
    </row>
    <row r="312" spans="1:2">
      <c r="A312" s="46"/>
      <c r="B312" s="46"/>
    </row>
    <row r="313" spans="1:2">
      <c r="A313" s="46"/>
      <c r="B313" s="46"/>
    </row>
    <row r="314" spans="1:2">
      <c r="A314" s="46"/>
      <c r="B314" s="46"/>
    </row>
    <row r="315" spans="1:2">
      <c r="A315" s="46"/>
      <c r="B315" s="46"/>
    </row>
    <row r="316" spans="1:2">
      <c r="A316" s="46"/>
      <c r="B316" s="46"/>
    </row>
    <row r="317" spans="1:2">
      <c r="A317" s="46"/>
      <c r="B317" s="46"/>
    </row>
    <row r="318" spans="1:2">
      <c r="A318" s="46"/>
      <c r="B318" s="46"/>
    </row>
    <row r="319" spans="1:2">
      <c r="A319" s="46"/>
      <c r="B319" s="46"/>
    </row>
    <row r="320" spans="1:2">
      <c r="A320" s="46"/>
      <c r="B320" s="46"/>
    </row>
    <row r="321" spans="1:2">
      <c r="A321" s="46"/>
      <c r="B321" s="46"/>
    </row>
    <row r="322" spans="1:2">
      <c r="A322" s="46"/>
      <c r="B322" s="46"/>
    </row>
    <row r="323" spans="1:2">
      <c r="A323" s="46"/>
      <c r="B323" s="46"/>
    </row>
    <row r="324" spans="1:2">
      <c r="A324" s="46"/>
      <c r="B324" s="46"/>
    </row>
    <row r="325" spans="1:2">
      <c r="A325" s="46"/>
      <c r="B325" s="46"/>
    </row>
    <row r="326" spans="1:2">
      <c r="A326" s="46"/>
      <c r="B326" s="46"/>
    </row>
    <row r="327" spans="1:2">
      <c r="A327" s="46"/>
      <c r="B327" s="46"/>
    </row>
    <row r="328" spans="1:2">
      <c r="A328" s="46"/>
      <c r="B328" s="46"/>
    </row>
    <row r="329" spans="1:2">
      <c r="A329" s="46"/>
      <c r="B329" s="46"/>
    </row>
    <row r="330" spans="1:2">
      <c r="A330" s="46"/>
      <c r="B330" s="46"/>
    </row>
    <row r="331" spans="1:2">
      <c r="A331" s="46"/>
      <c r="B331" s="46"/>
    </row>
    <row r="332" spans="1:2">
      <c r="A332" s="46"/>
      <c r="B332" s="46"/>
    </row>
    <row r="333" spans="1:2">
      <c r="A333" s="46"/>
      <c r="B333" s="46"/>
    </row>
    <row r="334" spans="1:2">
      <c r="A334" s="46"/>
      <c r="B334" s="46"/>
    </row>
    <row r="335" spans="1:2">
      <c r="A335" s="46"/>
      <c r="B335" s="46"/>
    </row>
    <row r="336" spans="1:2">
      <c r="A336" s="46"/>
      <c r="B336" s="46"/>
    </row>
    <row r="337" spans="1:2">
      <c r="A337" s="46"/>
      <c r="B337" s="46"/>
    </row>
    <row r="338" spans="1:2">
      <c r="A338" s="46"/>
      <c r="B338" s="46"/>
    </row>
    <row r="339" spans="1:2">
      <c r="A339" s="46"/>
      <c r="B339" s="46"/>
    </row>
    <row r="340" spans="1:2">
      <c r="A340" s="46"/>
      <c r="B340" s="46"/>
    </row>
    <row r="341" spans="1:2">
      <c r="A341" s="46"/>
      <c r="B341" s="46"/>
    </row>
    <row r="342" spans="1:2">
      <c r="A342" s="46"/>
      <c r="B342" s="46"/>
    </row>
    <row r="343" spans="1:2">
      <c r="A343" s="46"/>
      <c r="B343" s="46"/>
    </row>
    <row r="344" spans="1:2">
      <c r="A344" s="46"/>
      <c r="B344" s="46"/>
    </row>
    <row r="345" spans="1:2">
      <c r="A345" s="46"/>
      <c r="B345" s="46"/>
    </row>
    <row r="346" spans="1:2">
      <c r="A346" s="46"/>
      <c r="B346" s="46"/>
    </row>
    <row r="347" spans="1:2">
      <c r="A347" s="46"/>
      <c r="B347" s="46"/>
    </row>
    <row r="348" spans="1:2">
      <c r="A348" s="46"/>
      <c r="B348" s="46"/>
    </row>
    <row r="349" spans="1:2">
      <c r="A349" s="46"/>
      <c r="B349" s="46"/>
    </row>
    <row r="350" spans="1:2">
      <c r="A350" s="46"/>
      <c r="B350" s="46"/>
    </row>
    <row r="351" spans="1:2">
      <c r="A351" s="46"/>
      <c r="B351" s="46"/>
    </row>
    <row r="352" spans="1:2">
      <c r="A352" s="46"/>
      <c r="B352" s="46"/>
    </row>
    <row r="353" spans="1:2">
      <c r="A353" s="46"/>
      <c r="B353" s="46"/>
    </row>
    <row r="354" spans="1:2">
      <c r="A354" s="46"/>
      <c r="B354" s="46"/>
    </row>
    <row r="355" spans="1:2">
      <c r="A355" s="46"/>
      <c r="B355" s="46"/>
    </row>
    <row r="356" spans="1:2">
      <c r="A356" s="46"/>
      <c r="B356" s="46"/>
    </row>
    <row r="357" spans="1:2">
      <c r="A357" s="46"/>
      <c r="B357" s="46"/>
    </row>
    <row r="358" spans="1:2">
      <c r="A358" s="46"/>
      <c r="B358" s="46"/>
    </row>
    <row r="359" spans="1:2">
      <c r="A359" s="46"/>
      <c r="B359" s="46"/>
    </row>
    <row r="360" spans="1:2">
      <c r="A360" s="46"/>
      <c r="B360" s="46"/>
    </row>
    <row r="361" spans="1:2">
      <c r="A361" s="46"/>
      <c r="B361" s="46"/>
    </row>
    <row r="362" spans="1:2">
      <c r="A362" s="46"/>
      <c r="B362" s="46"/>
    </row>
    <row r="363" spans="1:2">
      <c r="A363" s="46"/>
      <c r="B363" s="46"/>
    </row>
    <row r="364" spans="1:2">
      <c r="A364" s="46"/>
      <c r="B364" s="46"/>
    </row>
    <row r="365" spans="1:2">
      <c r="A365" s="46"/>
      <c r="B365" s="46"/>
    </row>
    <row r="366" spans="1:2">
      <c r="A366" s="46"/>
      <c r="B366" s="46"/>
    </row>
    <row r="367" spans="1:2">
      <c r="A367" s="46"/>
      <c r="B367" s="46"/>
    </row>
    <row r="368" spans="1:2">
      <c r="A368" s="46"/>
      <c r="B368" s="46"/>
    </row>
    <row r="369" spans="1:2">
      <c r="A369" s="46"/>
      <c r="B369" s="46"/>
    </row>
    <row r="370" spans="1:2">
      <c r="A370" s="46"/>
      <c r="B370" s="46"/>
    </row>
    <row r="371" spans="1:2">
      <c r="A371" s="46"/>
      <c r="B371" s="46"/>
    </row>
    <row r="372" spans="1:2">
      <c r="A372" s="46"/>
      <c r="B372" s="46"/>
    </row>
    <row r="373" spans="1:2">
      <c r="A373" s="46"/>
      <c r="B373" s="46"/>
    </row>
    <row r="374" spans="1:2">
      <c r="A374" s="46"/>
      <c r="B374" s="46"/>
    </row>
    <row r="375" spans="1:2">
      <c r="A375" s="46"/>
      <c r="B375" s="46"/>
    </row>
    <row r="376" spans="1:2">
      <c r="A376" s="46"/>
      <c r="B376" s="46"/>
    </row>
    <row r="377" spans="1:2">
      <c r="A377" s="46"/>
      <c r="B377" s="46"/>
    </row>
    <row r="378" spans="1:2">
      <c r="A378" s="46"/>
      <c r="B378" s="46"/>
    </row>
    <row r="379" spans="1:2">
      <c r="A379" s="46"/>
      <c r="B379" s="46"/>
    </row>
    <row r="380" spans="1:2">
      <c r="A380" s="46"/>
      <c r="B380" s="46"/>
    </row>
    <row r="381" spans="1:2">
      <c r="A381" s="46"/>
      <c r="B381" s="46"/>
    </row>
    <row r="382" spans="1:2">
      <c r="A382" s="46"/>
      <c r="B382" s="46"/>
    </row>
    <row r="383" spans="1:2">
      <c r="A383" s="46"/>
      <c r="B383" s="46"/>
    </row>
    <row r="384" spans="1:2">
      <c r="A384" s="46"/>
      <c r="B384" s="46"/>
    </row>
    <row r="385" spans="1:2">
      <c r="A385" s="46"/>
      <c r="B385" s="46"/>
    </row>
    <row r="386" spans="1:2">
      <c r="A386" s="46"/>
      <c r="B386" s="46"/>
    </row>
    <row r="387" spans="1:2">
      <c r="A387" s="46"/>
      <c r="B387" s="46"/>
    </row>
    <row r="388" spans="1:2">
      <c r="A388" s="46"/>
      <c r="B388" s="46"/>
    </row>
    <row r="389" spans="1:2">
      <c r="A389" s="46"/>
      <c r="B389" s="46"/>
    </row>
    <row r="390" spans="1:2">
      <c r="A390" s="46"/>
      <c r="B390" s="46"/>
    </row>
    <row r="391" spans="1:2">
      <c r="A391" s="46"/>
      <c r="B391" s="46"/>
    </row>
    <row r="392" spans="1:2">
      <c r="A392" s="46"/>
      <c r="B392" s="46"/>
    </row>
    <row r="393" spans="1:2">
      <c r="A393" s="46"/>
      <c r="B393" s="46"/>
    </row>
    <row r="394" spans="1:2">
      <c r="A394" s="46"/>
      <c r="B394" s="46"/>
    </row>
    <row r="395" spans="1:2">
      <c r="A395" s="46"/>
      <c r="B395" s="46"/>
    </row>
    <row r="396" spans="1:2">
      <c r="A396" s="46"/>
      <c r="B396" s="46"/>
    </row>
    <row r="397" spans="1:2">
      <c r="A397" s="46"/>
      <c r="B397" s="46"/>
    </row>
    <row r="398" spans="1:2">
      <c r="A398" s="46"/>
      <c r="B398" s="46"/>
    </row>
    <row r="399" spans="1:2">
      <c r="A399" s="46"/>
      <c r="B399" s="46"/>
    </row>
    <row r="400" spans="1:2">
      <c r="A400" s="46"/>
      <c r="B400" s="46"/>
    </row>
    <row r="401" spans="1:2">
      <c r="A401" s="46"/>
      <c r="B401" s="46"/>
    </row>
    <row r="402" spans="1:2">
      <c r="A402" s="46"/>
      <c r="B402" s="46"/>
    </row>
    <row r="403" spans="1:2">
      <c r="A403" s="46"/>
      <c r="B403" s="46"/>
    </row>
    <row r="404" spans="1:2">
      <c r="A404" s="46"/>
      <c r="B404" s="46"/>
    </row>
    <row r="405" spans="1:2">
      <c r="A405" s="46"/>
      <c r="B405" s="46"/>
    </row>
    <row r="406" spans="1:2">
      <c r="A406" s="46"/>
      <c r="B406" s="46"/>
    </row>
    <row r="407" spans="1:2">
      <c r="A407" s="46"/>
      <c r="B407" s="46"/>
    </row>
    <row r="408" spans="1:2">
      <c r="A408" s="46"/>
      <c r="B408" s="46"/>
    </row>
    <row r="409" spans="1:2">
      <c r="A409" s="46"/>
      <c r="B409" s="46"/>
    </row>
    <row r="410" spans="1:2">
      <c r="A410" s="46"/>
      <c r="B410" s="46"/>
    </row>
    <row r="411" spans="1:2">
      <c r="A411" s="46"/>
      <c r="B411" s="46"/>
    </row>
    <row r="412" spans="1:2">
      <c r="A412" s="46"/>
      <c r="B412" s="46"/>
    </row>
    <row r="413" spans="1:2">
      <c r="A413" s="46"/>
      <c r="B413" s="46"/>
    </row>
    <row r="414" spans="1:2">
      <c r="A414" s="46"/>
      <c r="B414" s="46"/>
    </row>
    <row r="415" spans="1:2">
      <c r="A415" s="46"/>
      <c r="B415" s="46"/>
    </row>
    <row r="416" spans="1:2">
      <c r="A416" s="46"/>
      <c r="B416" s="46"/>
    </row>
    <row r="417" spans="1:2">
      <c r="A417" s="46"/>
      <c r="B417" s="46"/>
    </row>
    <row r="418" spans="1:2">
      <c r="A418" s="46"/>
      <c r="B418" s="46"/>
    </row>
    <row r="419" spans="1:2">
      <c r="A419" s="46"/>
      <c r="B419" s="46"/>
    </row>
    <row r="420" spans="1:2">
      <c r="A420" s="46"/>
      <c r="B420" s="46"/>
    </row>
    <row r="421" spans="1:2">
      <c r="A421" s="46"/>
      <c r="B421" s="46"/>
    </row>
    <row r="422" spans="1:2">
      <c r="A422" s="46"/>
      <c r="B422" s="46"/>
    </row>
    <row r="423" spans="1:2">
      <c r="A423" s="46"/>
      <c r="B423" s="46"/>
    </row>
    <row r="424" spans="1:2">
      <c r="A424" s="46"/>
      <c r="B424" s="46"/>
    </row>
    <row r="425" spans="1:2">
      <c r="A425" s="46"/>
      <c r="B425" s="46"/>
    </row>
    <row r="426" spans="1:2">
      <c r="A426" s="46"/>
      <c r="B426" s="46"/>
    </row>
    <row r="427" spans="1:2">
      <c r="A427" s="46"/>
      <c r="B427" s="46"/>
    </row>
    <row r="428" spans="1:2">
      <c r="A428" s="46"/>
      <c r="B428" s="46"/>
    </row>
    <row r="429" spans="1:2">
      <c r="A429" s="46"/>
      <c r="B429" s="46"/>
    </row>
    <row r="430" spans="1:2">
      <c r="A430" s="46"/>
      <c r="B430" s="46"/>
    </row>
    <row r="431" spans="1:2">
      <c r="A431" s="46"/>
      <c r="B431" s="46"/>
    </row>
    <row r="432" spans="1:2">
      <c r="A432" s="46"/>
      <c r="B432" s="46"/>
    </row>
    <row r="433" spans="1:2">
      <c r="A433" s="46"/>
      <c r="B433" s="46"/>
    </row>
    <row r="434" spans="1:2">
      <c r="A434" s="46"/>
      <c r="B434" s="46"/>
    </row>
    <row r="435" spans="1:2">
      <c r="A435" s="46"/>
      <c r="B435" s="46"/>
    </row>
    <row r="436" spans="1:2">
      <c r="A436" s="46"/>
      <c r="B436" s="46"/>
    </row>
    <row r="437" spans="1:2">
      <c r="A437" s="46"/>
      <c r="B437" s="46"/>
    </row>
    <row r="438" spans="1:2">
      <c r="A438" s="46"/>
      <c r="B438" s="46"/>
    </row>
    <row r="439" spans="1:2">
      <c r="A439" s="46"/>
      <c r="B439" s="46"/>
    </row>
    <row r="440" spans="1:2">
      <c r="A440" s="46"/>
      <c r="B440" s="46"/>
    </row>
    <row r="441" spans="1:2">
      <c r="A441" s="46"/>
      <c r="B441" s="46"/>
    </row>
    <row r="442" spans="1:2">
      <c r="A442" s="46"/>
      <c r="B442" s="46"/>
    </row>
    <row r="443" spans="1:2">
      <c r="A443" s="46"/>
      <c r="B443" s="46"/>
    </row>
    <row r="444" spans="1:2">
      <c r="A444" s="46"/>
      <c r="B444" s="46"/>
    </row>
    <row r="445" spans="1:2">
      <c r="A445" s="46"/>
      <c r="B445" s="46"/>
    </row>
    <row r="446" spans="1:2">
      <c r="A446" s="46"/>
      <c r="B446" s="46"/>
    </row>
    <row r="447" spans="1:2">
      <c r="A447" s="46"/>
      <c r="B447" s="46"/>
    </row>
    <row r="448" spans="1:2">
      <c r="A448" s="46"/>
      <c r="B448" s="46"/>
    </row>
    <row r="449" spans="1:2">
      <c r="A449" s="46"/>
      <c r="B449" s="46"/>
    </row>
    <row r="450" spans="1:2">
      <c r="A450" s="46"/>
      <c r="B450" s="46"/>
    </row>
    <row r="451" spans="1:2">
      <c r="A451" s="46"/>
      <c r="B451" s="46"/>
    </row>
    <row r="452" spans="1:2">
      <c r="A452" s="46"/>
      <c r="B452" s="46"/>
    </row>
    <row r="453" spans="1:2">
      <c r="A453" s="46"/>
      <c r="B453" s="46"/>
    </row>
    <row r="454" spans="1:2">
      <c r="A454" s="46"/>
      <c r="B454" s="46"/>
    </row>
    <row r="455" spans="1:2">
      <c r="A455" s="46"/>
      <c r="B455" s="46"/>
    </row>
    <row r="456" spans="1:2">
      <c r="A456" s="46"/>
      <c r="B456" s="46"/>
    </row>
    <row r="457" spans="1:2">
      <c r="A457" s="46"/>
      <c r="B457" s="46"/>
    </row>
    <row r="458" spans="1:2">
      <c r="A458" s="46"/>
      <c r="B458" s="46"/>
    </row>
    <row r="459" spans="1:2">
      <c r="A459" s="46"/>
      <c r="B459" s="46"/>
    </row>
    <row r="460" spans="1:2">
      <c r="A460" s="46"/>
      <c r="B460" s="46"/>
    </row>
    <row r="461" spans="1:2">
      <c r="A461" s="46"/>
      <c r="B461" s="46"/>
    </row>
    <row r="462" spans="1:2">
      <c r="A462" s="46"/>
      <c r="B462" s="46"/>
    </row>
    <row r="463" spans="1:2">
      <c r="A463" s="46"/>
      <c r="B463" s="46"/>
    </row>
    <row r="464" spans="1:2">
      <c r="A464" s="46"/>
      <c r="B464" s="46"/>
    </row>
    <row r="465" spans="1:2">
      <c r="A465" s="46"/>
      <c r="B465" s="46"/>
    </row>
    <row r="466" spans="1:2">
      <c r="A466" s="46"/>
      <c r="B466" s="46"/>
    </row>
    <row r="467" spans="1:2">
      <c r="A467" s="46"/>
      <c r="B467" s="46"/>
    </row>
    <row r="468" spans="1:2">
      <c r="A468" s="46"/>
      <c r="B468" s="46"/>
    </row>
    <row r="469" spans="1:2">
      <c r="A469" s="46"/>
      <c r="B469" s="46"/>
    </row>
    <row r="470" spans="1:2">
      <c r="A470" s="46"/>
      <c r="B470" s="46"/>
    </row>
    <row r="471" spans="1:2">
      <c r="A471" s="46"/>
      <c r="B471" s="46"/>
    </row>
    <row r="472" spans="1:2">
      <c r="A472" s="46"/>
      <c r="B472" s="46"/>
    </row>
    <row r="473" spans="1:2">
      <c r="A473" s="46"/>
      <c r="B473" s="46"/>
    </row>
    <row r="474" spans="1:2">
      <c r="A474" s="46"/>
      <c r="B474" s="46"/>
    </row>
    <row r="475" spans="1:2">
      <c r="A475" s="46"/>
      <c r="B475" s="46"/>
    </row>
    <row r="476" spans="1:2">
      <c r="A476" s="46"/>
      <c r="B476" s="46"/>
    </row>
    <row r="477" spans="1:2">
      <c r="A477" s="46"/>
      <c r="B477" s="46"/>
    </row>
    <row r="478" spans="1:2">
      <c r="A478" s="46"/>
      <c r="B478" s="46"/>
    </row>
    <row r="479" spans="1:2">
      <c r="A479" s="46"/>
      <c r="B479" s="46"/>
    </row>
    <row r="480" spans="1:2">
      <c r="A480" s="46"/>
      <c r="B480" s="46"/>
    </row>
    <row r="481" spans="1:2">
      <c r="A481" s="46"/>
      <c r="B481" s="46"/>
    </row>
    <row r="482" spans="1:2">
      <c r="A482" s="46"/>
      <c r="B482" s="46"/>
    </row>
    <row r="483" spans="1:2">
      <c r="A483" s="46"/>
      <c r="B483" s="46"/>
    </row>
    <row r="484" spans="1:2">
      <c r="A484" s="46"/>
      <c r="B484" s="46"/>
    </row>
    <row r="485" spans="1:2">
      <c r="A485" s="46"/>
      <c r="B485" s="46"/>
    </row>
    <row r="486" spans="1:2">
      <c r="A486" s="46"/>
      <c r="B486" s="46"/>
    </row>
    <row r="487" spans="1:2">
      <c r="A487" s="46"/>
      <c r="B487" s="46"/>
    </row>
    <row r="488" spans="1:2">
      <c r="A488" s="46"/>
      <c r="B488" s="46"/>
    </row>
    <row r="489" spans="1:2">
      <c r="A489" s="46"/>
      <c r="B489" s="46"/>
    </row>
    <row r="490" spans="1:2">
      <c r="A490" s="46"/>
      <c r="B490" s="46"/>
    </row>
    <row r="491" spans="1:2">
      <c r="A491" s="46"/>
      <c r="B491" s="46"/>
    </row>
    <row r="492" spans="1:2">
      <c r="A492" s="46"/>
      <c r="B492" s="46"/>
    </row>
    <row r="493" spans="1:2">
      <c r="A493" s="46"/>
      <c r="B493" s="46"/>
    </row>
    <row r="494" spans="1:2">
      <c r="A494" s="46"/>
      <c r="B494" s="46"/>
    </row>
    <row r="495" spans="1:2">
      <c r="A495" s="46"/>
      <c r="B495" s="46"/>
    </row>
    <row r="496" spans="1:2">
      <c r="A496" s="46"/>
      <c r="B496" s="46"/>
    </row>
    <row r="497" spans="1:2">
      <c r="A497" s="46"/>
      <c r="B497" s="46"/>
    </row>
    <row r="498" spans="1:2">
      <c r="A498" s="46"/>
      <c r="B498" s="46"/>
    </row>
    <row r="499" spans="1:2">
      <c r="A499" s="46"/>
      <c r="B499" s="46"/>
    </row>
    <row r="500" spans="1:2">
      <c r="A500" s="46"/>
      <c r="B500" s="46"/>
    </row>
    <row r="501" spans="1:2">
      <c r="A501" s="46"/>
      <c r="B501" s="46"/>
    </row>
    <row r="502" spans="1:2">
      <c r="A502" s="46"/>
      <c r="B502" s="46"/>
    </row>
    <row r="503" spans="1:2">
      <c r="A503" s="46"/>
      <c r="B503" s="46"/>
    </row>
    <row r="504" spans="1:2">
      <c r="A504" s="46"/>
      <c r="B504" s="46"/>
    </row>
    <row r="505" spans="1:2">
      <c r="A505" s="46"/>
      <c r="B505" s="46"/>
    </row>
    <row r="506" spans="1:2">
      <c r="A506" s="46"/>
      <c r="B506" s="46"/>
    </row>
    <row r="507" spans="1:2">
      <c r="A507" s="46"/>
      <c r="B507" s="46"/>
    </row>
    <row r="508" spans="1:2">
      <c r="A508" s="46"/>
      <c r="B508" s="46"/>
    </row>
    <row r="509" spans="1:2">
      <c r="A509" s="46"/>
      <c r="B509" s="46"/>
    </row>
    <row r="510" spans="1:2">
      <c r="A510" s="46"/>
      <c r="B510" s="46"/>
    </row>
    <row r="511" spans="1:2">
      <c r="A511" s="46"/>
      <c r="B511" s="46"/>
    </row>
    <row r="512" spans="1:2">
      <c r="A512" s="46"/>
      <c r="B512" s="46"/>
    </row>
    <row r="513" spans="1:2">
      <c r="A513" s="46"/>
      <c r="B513" s="46"/>
    </row>
    <row r="514" spans="1:2">
      <c r="A514" s="46"/>
      <c r="B514" s="46"/>
    </row>
    <row r="515" spans="1:2">
      <c r="A515" s="46"/>
      <c r="B515" s="46"/>
    </row>
    <row r="516" spans="1:2">
      <c r="A516" s="46"/>
      <c r="B516" s="46"/>
    </row>
    <row r="517" spans="1:2">
      <c r="A517" s="46"/>
      <c r="B517" s="46"/>
    </row>
    <row r="518" spans="1:2">
      <c r="A518" s="46"/>
      <c r="B518" s="46"/>
    </row>
    <row r="519" spans="1:2">
      <c r="A519" s="46"/>
      <c r="B519" s="46"/>
    </row>
    <row r="520" spans="1:2">
      <c r="A520" s="46"/>
      <c r="B520" s="46"/>
    </row>
    <row r="521" spans="1:2">
      <c r="A521" s="46"/>
      <c r="B521" s="46"/>
    </row>
    <row r="522" spans="1:2">
      <c r="A522" s="46"/>
      <c r="B522" s="46"/>
    </row>
    <row r="523" spans="1:2">
      <c r="A523" s="46"/>
      <c r="B523" s="46"/>
    </row>
    <row r="524" spans="1:2">
      <c r="A524" s="46"/>
      <c r="B524" s="46"/>
    </row>
    <row r="525" spans="1:2">
      <c r="A525" s="46"/>
      <c r="B525" s="46"/>
    </row>
    <row r="526" spans="1:2">
      <c r="A526" s="46"/>
      <c r="B526" s="46"/>
    </row>
    <row r="527" spans="1:2">
      <c r="A527" s="46"/>
      <c r="B527" s="46"/>
    </row>
    <row r="528" spans="1:2">
      <c r="A528" s="46"/>
      <c r="B528" s="46"/>
    </row>
    <row r="529" spans="1:2">
      <c r="A529" s="46"/>
      <c r="B529" s="46"/>
    </row>
    <row r="530" spans="1:2">
      <c r="A530" s="46"/>
      <c r="B530" s="46"/>
    </row>
    <row r="531" spans="1:2">
      <c r="A531" s="46"/>
      <c r="B531" s="46"/>
    </row>
    <row r="532" spans="1:2">
      <c r="A532" s="46"/>
      <c r="B532" s="46"/>
    </row>
    <row r="533" spans="1:2">
      <c r="A533" s="46"/>
      <c r="B533" s="46"/>
    </row>
    <row r="534" spans="1:2">
      <c r="A534" s="46"/>
      <c r="B534" s="46"/>
    </row>
    <row r="535" spans="1:2">
      <c r="A535" s="46"/>
      <c r="B535" s="46"/>
    </row>
    <row r="536" spans="1:2">
      <c r="A536" s="46"/>
      <c r="B536" s="46"/>
    </row>
    <row r="537" spans="1:2">
      <c r="A537" s="46"/>
      <c r="B537" s="46"/>
    </row>
    <row r="538" spans="1:2">
      <c r="A538" s="46"/>
      <c r="B538" s="46"/>
    </row>
    <row r="539" spans="1:2">
      <c r="A539" s="46"/>
      <c r="B539" s="46"/>
    </row>
    <row r="540" spans="1:2">
      <c r="A540" s="46"/>
      <c r="B540" s="46"/>
    </row>
    <row r="541" spans="1:2">
      <c r="A541" s="46"/>
      <c r="B541" s="46"/>
    </row>
    <row r="542" spans="1:2">
      <c r="A542" s="46"/>
      <c r="B542" s="46"/>
    </row>
    <row r="543" spans="1:2">
      <c r="A543" s="46"/>
      <c r="B543" s="46"/>
    </row>
    <row r="544" spans="1:2">
      <c r="A544" s="46"/>
      <c r="B544" s="46"/>
    </row>
    <row r="545" spans="1:2">
      <c r="A545" s="46"/>
      <c r="B545" s="46"/>
    </row>
    <row r="546" spans="1:2">
      <c r="A546" s="46"/>
      <c r="B546" s="46"/>
    </row>
    <row r="547" spans="1:2">
      <c r="A547" s="46"/>
      <c r="B547" s="46"/>
    </row>
    <row r="548" spans="1:2">
      <c r="A548" s="46"/>
      <c r="B548" s="46"/>
    </row>
    <row r="549" spans="1:2">
      <c r="A549" s="46"/>
      <c r="B549" s="46"/>
    </row>
    <row r="550" spans="1:2">
      <c r="A550" s="46"/>
      <c r="B550" s="46"/>
    </row>
    <row r="551" spans="1:2">
      <c r="A551" s="46"/>
      <c r="B551" s="46"/>
    </row>
    <row r="552" spans="1:2">
      <c r="A552" s="46"/>
      <c r="B552" s="46"/>
    </row>
    <row r="553" spans="1:2">
      <c r="A553" s="46"/>
      <c r="B553" s="46"/>
    </row>
    <row r="554" spans="1:2">
      <c r="A554" s="46"/>
      <c r="B554" s="46"/>
    </row>
    <row r="555" spans="1:2">
      <c r="A555" s="46"/>
      <c r="B555" s="46"/>
    </row>
    <row r="556" spans="1:2">
      <c r="A556" s="46"/>
      <c r="B556" s="46"/>
    </row>
    <row r="557" spans="1:2">
      <c r="A557" s="46"/>
      <c r="B557" s="46"/>
    </row>
    <row r="558" spans="1:2">
      <c r="A558" s="46"/>
      <c r="B558" s="46"/>
    </row>
    <row r="559" spans="1:2">
      <c r="A559" s="46"/>
      <c r="B559" s="46"/>
    </row>
    <row r="560" spans="1:2">
      <c r="A560" s="46"/>
      <c r="B560" s="46"/>
    </row>
    <row r="561" spans="1:2">
      <c r="A561" s="46"/>
      <c r="B561" s="46"/>
    </row>
    <row r="562" spans="1:2">
      <c r="A562" s="46"/>
      <c r="B562" s="46"/>
    </row>
    <row r="563" spans="1:2">
      <c r="A563" s="46"/>
      <c r="B563" s="46"/>
    </row>
    <row r="564" spans="1:2">
      <c r="A564" s="46"/>
      <c r="B564" s="46"/>
    </row>
    <row r="565" spans="1:2">
      <c r="A565" s="46"/>
      <c r="B565" s="46"/>
    </row>
    <row r="566" spans="1:2">
      <c r="A566" s="46"/>
      <c r="B566" s="46"/>
    </row>
    <row r="567" spans="1:2">
      <c r="A567" s="46"/>
      <c r="B567" s="46"/>
    </row>
    <row r="568" spans="1:2">
      <c r="A568" s="46"/>
      <c r="B568" s="46"/>
    </row>
    <row r="569" spans="1:2">
      <c r="A569" s="46"/>
      <c r="B569" s="46"/>
    </row>
    <row r="570" spans="1:2">
      <c r="A570" s="46"/>
      <c r="B570" s="46"/>
    </row>
    <row r="571" spans="1:2">
      <c r="A571" s="46"/>
      <c r="B571" s="46"/>
    </row>
    <row r="572" spans="1:2">
      <c r="A572" s="46"/>
      <c r="B572" s="46"/>
    </row>
    <row r="573" spans="1:2">
      <c r="A573" s="46"/>
      <c r="B573" s="46"/>
    </row>
    <row r="574" spans="1:2">
      <c r="A574" s="46"/>
      <c r="B574" s="46"/>
    </row>
    <row r="575" spans="1:2">
      <c r="A575" s="46"/>
      <c r="B575" s="46"/>
    </row>
    <row r="576" spans="1:2">
      <c r="A576" s="46"/>
      <c r="B576" s="46"/>
    </row>
    <row r="577" spans="1:2">
      <c r="A577" s="46"/>
      <c r="B577" s="46"/>
    </row>
    <row r="578" spans="1:2">
      <c r="A578" s="46"/>
      <c r="B578" s="46"/>
    </row>
    <row r="579" spans="1:2">
      <c r="A579" s="46"/>
      <c r="B579" s="46"/>
    </row>
    <row r="580" spans="1:2">
      <c r="A580" s="46"/>
      <c r="B580" s="46"/>
    </row>
    <row r="581" spans="1:2">
      <c r="A581" s="46"/>
      <c r="B581" s="46"/>
    </row>
    <row r="582" spans="1:2">
      <c r="A582" s="46"/>
      <c r="B582" s="46"/>
    </row>
    <row r="583" spans="1:2">
      <c r="A583" s="46"/>
      <c r="B583" s="46"/>
    </row>
    <row r="584" spans="1:2">
      <c r="A584" s="46"/>
      <c r="B584" s="46"/>
    </row>
    <row r="585" spans="1:2">
      <c r="A585" s="46"/>
      <c r="B585" s="46"/>
    </row>
    <row r="586" spans="1:2">
      <c r="A586" s="46"/>
      <c r="B586" s="46"/>
    </row>
    <row r="587" spans="1:2">
      <c r="A587" s="46"/>
      <c r="B587" s="46"/>
    </row>
    <row r="588" spans="1:2">
      <c r="A588" s="46"/>
      <c r="B588" s="46"/>
    </row>
    <row r="589" spans="1:2">
      <c r="A589" s="46"/>
      <c r="B589" s="46"/>
    </row>
    <row r="590" spans="1:2">
      <c r="A590" s="46"/>
      <c r="B590" s="46"/>
    </row>
    <row r="591" spans="1:2">
      <c r="A591" s="46"/>
      <c r="B591" s="46"/>
    </row>
    <row r="592" spans="1:2">
      <c r="A592" s="46"/>
      <c r="B592" s="46"/>
    </row>
    <row r="593" spans="1:2">
      <c r="A593" s="46"/>
      <c r="B593" s="46"/>
    </row>
    <row r="594" spans="1:2">
      <c r="A594" s="46"/>
      <c r="B594" s="46"/>
    </row>
    <row r="595" spans="1:2">
      <c r="A595" s="46"/>
      <c r="B595" s="46"/>
    </row>
    <row r="596" spans="1:2">
      <c r="A596" s="46"/>
      <c r="B596" s="46"/>
    </row>
    <row r="597" spans="1:2">
      <c r="A597" s="46"/>
      <c r="B597" s="46"/>
    </row>
    <row r="598" spans="1:2">
      <c r="A598" s="46"/>
      <c r="B598" s="46"/>
    </row>
    <row r="599" spans="1:2">
      <c r="A599" s="46"/>
      <c r="B599" s="46"/>
    </row>
    <row r="600" spans="1:2">
      <c r="A600" s="46"/>
      <c r="B600" s="46"/>
    </row>
    <row r="601" spans="1:2">
      <c r="A601" s="46"/>
      <c r="B601" s="46"/>
    </row>
    <row r="602" spans="1:2">
      <c r="A602" s="46"/>
      <c r="B602" s="46"/>
    </row>
    <row r="603" spans="1:2">
      <c r="A603" s="46"/>
      <c r="B603" s="46"/>
    </row>
    <row r="604" spans="1:2">
      <c r="A604" s="46"/>
      <c r="B604" s="46"/>
    </row>
    <row r="605" spans="1:2">
      <c r="A605" s="46"/>
      <c r="B605" s="46"/>
    </row>
    <row r="606" spans="1:2">
      <c r="A606" s="46"/>
      <c r="B606" s="46"/>
    </row>
    <row r="607" spans="1:2">
      <c r="A607" s="46"/>
      <c r="B607" s="46"/>
    </row>
    <row r="608" spans="1:2">
      <c r="A608" s="46"/>
      <c r="B608" s="46"/>
    </row>
    <row r="609" spans="1:2">
      <c r="A609" s="46"/>
      <c r="B609" s="46"/>
    </row>
    <row r="610" spans="1:2">
      <c r="A610" s="46"/>
      <c r="B610" s="46"/>
    </row>
    <row r="611" spans="1:2">
      <c r="A611" s="46"/>
      <c r="B611" s="46"/>
    </row>
    <row r="612" spans="1:2">
      <c r="A612" s="46"/>
      <c r="B612" s="46"/>
    </row>
    <row r="613" spans="1:2">
      <c r="A613" s="46"/>
      <c r="B613" s="46"/>
    </row>
    <row r="614" spans="1:2">
      <c r="A614" s="46"/>
      <c r="B614" s="46"/>
    </row>
    <row r="615" spans="1:2">
      <c r="A615" s="46"/>
      <c r="B615" s="46"/>
    </row>
    <row r="616" spans="1:2">
      <c r="A616" s="46"/>
      <c r="B616" s="46"/>
    </row>
    <row r="617" spans="1:2">
      <c r="A617" s="46"/>
      <c r="B617" s="46"/>
    </row>
    <row r="618" spans="1:2">
      <c r="A618" s="46"/>
      <c r="B618" s="46"/>
    </row>
    <row r="619" spans="1:2">
      <c r="A619" s="46"/>
      <c r="B619" s="46"/>
    </row>
    <row r="620" spans="1:2">
      <c r="A620" s="46"/>
      <c r="B620" s="46"/>
    </row>
    <row r="621" spans="1:2">
      <c r="A621" s="46"/>
      <c r="B621" s="46"/>
    </row>
    <row r="622" spans="1:2">
      <c r="A622" s="46"/>
      <c r="B622" s="46"/>
    </row>
    <row r="623" spans="1:2">
      <c r="A623" s="46"/>
      <c r="B623" s="46"/>
    </row>
    <row r="624" spans="1:2">
      <c r="A624" s="46"/>
      <c r="B624" s="46"/>
    </row>
    <row r="625" spans="1:2">
      <c r="A625" s="46"/>
      <c r="B625" s="46"/>
    </row>
    <row r="626" spans="1:2">
      <c r="A626" s="46"/>
      <c r="B626" s="46"/>
    </row>
    <row r="627" spans="1:2">
      <c r="A627" s="46"/>
      <c r="B627" s="46"/>
    </row>
    <row r="628" spans="1:2">
      <c r="A628" s="46"/>
      <c r="B628" s="46"/>
    </row>
    <row r="629" spans="1:2">
      <c r="A629" s="46"/>
      <c r="B629" s="46"/>
    </row>
    <row r="630" spans="1:2">
      <c r="A630" s="46"/>
      <c r="B630" s="46"/>
    </row>
    <row r="631" spans="1:2">
      <c r="A631" s="46"/>
      <c r="B631" s="46"/>
    </row>
    <row r="632" spans="1:2">
      <c r="A632" s="46"/>
      <c r="B632" s="46"/>
    </row>
    <row r="633" spans="1:2">
      <c r="A633" s="46"/>
      <c r="B633" s="46"/>
    </row>
    <row r="634" spans="1:2">
      <c r="A634" s="46"/>
      <c r="B634" s="46"/>
    </row>
    <row r="635" spans="1:2">
      <c r="A635" s="46"/>
      <c r="B635" s="46"/>
    </row>
    <row r="636" spans="1:2">
      <c r="A636" s="46"/>
      <c r="B636" s="46"/>
    </row>
    <row r="637" spans="1:2">
      <c r="A637" s="46"/>
      <c r="B637" s="46"/>
    </row>
    <row r="638" spans="1:2">
      <c r="A638" s="46"/>
      <c r="B638" s="46"/>
    </row>
    <row r="639" spans="1:2">
      <c r="A639" s="46"/>
      <c r="B639" s="46"/>
    </row>
    <row r="640" spans="1:2">
      <c r="A640" s="46"/>
      <c r="B640" s="46"/>
    </row>
    <row r="641" spans="1:2">
      <c r="A641" s="46"/>
      <c r="B641" s="46"/>
    </row>
    <row r="642" spans="1:2">
      <c r="A642" s="46"/>
      <c r="B642" s="46"/>
    </row>
    <row r="643" spans="1:2">
      <c r="A643" s="46"/>
      <c r="B643" s="46"/>
    </row>
    <row r="644" spans="1:2">
      <c r="A644" s="46"/>
      <c r="B644" s="46"/>
    </row>
    <row r="645" spans="1:2">
      <c r="A645" s="46"/>
      <c r="B645" s="46"/>
    </row>
    <row r="646" spans="1:2">
      <c r="A646" s="46"/>
      <c r="B646" s="46"/>
    </row>
    <row r="647" spans="1:2">
      <c r="A647" s="46"/>
      <c r="B647" s="46"/>
    </row>
    <row r="648" spans="1:2">
      <c r="A648" s="46"/>
      <c r="B648" s="46"/>
    </row>
    <row r="649" spans="1:2">
      <c r="A649" s="46"/>
      <c r="B649" s="46"/>
    </row>
    <row r="650" spans="1:2">
      <c r="A650" s="46"/>
      <c r="B650" s="46"/>
    </row>
    <row r="651" spans="1:2">
      <c r="A651" s="46"/>
      <c r="B651" s="46"/>
    </row>
    <row r="652" spans="1:2">
      <c r="A652" s="46"/>
      <c r="B652" s="46"/>
    </row>
    <row r="653" spans="1:2">
      <c r="A653" s="46"/>
      <c r="B653" s="46"/>
    </row>
    <row r="654" spans="1:2">
      <c r="A654" s="46"/>
      <c r="B654" s="46"/>
    </row>
    <row r="655" spans="1:2">
      <c r="A655" s="46"/>
      <c r="B655" s="46"/>
    </row>
    <row r="656" spans="1:2">
      <c r="A656" s="46"/>
      <c r="B656" s="46"/>
    </row>
    <row r="657" spans="1:2">
      <c r="A657" s="46"/>
      <c r="B657" s="46"/>
    </row>
    <row r="658" spans="1:2">
      <c r="A658" s="46"/>
      <c r="B658" s="46"/>
    </row>
    <row r="659" spans="1:2">
      <c r="A659" s="46"/>
      <c r="B659" s="46"/>
    </row>
    <row r="660" spans="1:2">
      <c r="A660" s="46"/>
      <c r="B660" s="46"/>
    </row>
    <row r="661" spans="1:2">
      <c r="A661" s="46"/>
      <c r="B661" s="46"/>
    </row>
    <row r="662" spans="1:2">
      <c r="A662" s="46"/>
      <c r="B662" s="46"/>
    </row>
    <row r="663" spans="1:2">
      <c r="A663" s="46"/>
      <c r="B663" s="46"/>
    </row>
    <row r="664" spans="1:2">
      <c r="A664" s="46"/>
      <c r="B664" s="46"/>
    </row>
    <row r="665" spans="1:2">
      <c r="A665" s="46"/>
      <c r="B665" s="46"/>
    </row>
    <row r="666" spans="1:2">
      <c r="A666" s="46"/>
      <c r="B666" s="46"/>
    </row>
    <row r="667" spans="1:2">
      <c r="A667" s="46"/>
      <c r="B667" s="46"/>
    </row>
    <row r="668" spans="1:2">
      <c r="A668" s="46"/>
      <c r="B668" s="46"/>
    </row>
    <row r="669" spans="1:2">
      <c r="A669" s="46"/>
      <c r="B669" s="46"/>
    </row>
    <row r="670" spans="1:2">
      <c r="A670" s="46"/>
      <c r="B670" s="46"/>
    </row>
    <row r="671" spans="1:2">
      <c r="A671" s="46"/>
      <c r="B671" s="46"/>
    </row>
    <row r="672" spans="1:2">
      <c r="A672" s="46"/>
      <c r="B672" s="46"/>
    </row>
    <row r="673" spans="1:2">
      <c r="A673" s="46"/>
      <c r="B673" s="46"/>
    </row>
    <row r="674" spans="1:2">
      <c r="A674" s="46"/>
      <c r="B674" s="46"/>
    </row>
    <row r="675" spans="1:2">
      <c r="A675" s="46"/>
      <c r="B675" s="46"/>
    </row>
    <row r="676" spans="1:2">
      <c r="A676" s="46"/>
      <c r="B676" s="46"/>
    </row>
    <row r="677" spans="1:2">
      <c r="A677" s="46"/>
      <c r="B677" s="46"/>
    </row>
    <row r="678" spans="1:2">
      <c r="A678" s="46"/>
      <c r="B678" s="46"/>
    </row>
    <row r="679" spans="1:2">
      <c r="A679" s="46"/>
      <c r="B679" s="46"/>
    </row>
    <row r="680" spans="1:2">
      <c r="A680" s="46"/>
      <c r="B680" s="46"/>
    </row>
    <row r="681" spans="1:2">
      <c r="A681" s="46"/>
      <c r="B681" s="46"/>
    </row>
    <row r="682" spans="1:2">
      <c r="A682" s="46"/>
      <c r="B682" s="46"/>
    </row>
    <row r="683" spans="1:2">
      <c r="A683" s="46"/>
      <c r="B683" s="46"/>
    </row>
    <row r="684" spans="1:2">
      <c r="A684" s="46"/>
      <c r="B684" s="46"/>
    </row>
    <row r="685" spans="1:2">
      <c r="A685" s="46"/>
      <c r="B685" s="46"/>
    </row>
    <row r="686" spans="1:2">
      <c r="A686" s="46"/>
      <c r="B686" s="46"/>
    </row>
    <row r="687" spans="1:2">
      <c r="A687" s="46"/>
      <c r="B687" s="46"/>
    </row>
    <row r="688" spans="1:2">
      <c r="A688" s="46"/>
      <c r="B688" s="46"/>
    </row>
    <row r="689" spans="1:2">
      <c r="A689" s="46"/>
      <c r="B689" s="46"/>
    </row>
    <row r="690" spans="1:2">
      <c r="A690" s="46"/>
      <c r="B690" s="46"/>
    </row>
    <row r="691" spans="1:2">
      <c r="A691" s="46"/>
      <c r="B691" s="46"/>
    </row>
    <row r="692" spans="1:2">
      <c r="A692" s="46"/>
      <c r="B692" s="46"/>
    </row>
    <row r="693" spans="1:2">
      <c r="A693" s="46"/>
      <c r="B693" s="46"/>
    </row>
    <row r="694" spans="1:2">
      <c r="A694" s="46"/>
      <c r="B694" s="46"/>
    </row>
    <row r="695" spans="1:2">
      <c r="A695" s="46"/>
      <c r="B695" s="46"/>
    </row>
    <row r="696" spans="1:2">
      <c r="A696" s="46"/>
      <c r="B696" s="46"/>
    </row>
    <row r="697" spans="1:2">
      <c r="A697" s="46"/>
      <c r="B697" s="46"/>
    </row>
    <row r="698" spans="1:2">
      <c r="A698" s="46"/>
      <c r="B698" s="46"/>
    </row>
    <row r="699" spans="1:2">
      <c r="A699" s="46"/>
      <c r="B699" s="46"/>
    </row>
    <row r="700" spans="1:2">
      <c r="A700" s="46"/>
      <c r="B700" s="46"/>
    </row>
    <row r="701" spans="1:2">
      <c r="A701" s="46"/>
      <c r="B701" s="46"/>
    </row>
    <row r="702" spans="1:2">
      <c r="A702" s="46"/>
      <c r="B702" s="46"/>
    </row>
    <row r="703" spans="1:2">
      <c r="A703" s="46"/>
      <c r="B703" s="46"/>
    </row>
    <row r="704" spans="1:2">
      <c r="A704" s="46"/>
      <c r="B704" s="46"/>
    </row>
    <row r="705" spans="1:2">
      <c r="A705" s="46"/>
      <c r="B705" s="46"/>
    </row>
    <row r="706" spans="1:2">
      <c r="A706" s="46"/>
      <c r="B706" s="46"/>
    </row>
    <row r="707" spans="1:2">
      <c r="A707" s="46"/>
      <c r="B707" s="46"/>
    </row>
    <row r="708" spans="1:2">
      <c r="A708" s="46"/>
      <c r="B708" s="46"/>
    </row>
    <row r="709" spans="1:2">
      <c r="A709" s="46"/>
      <c r="B709" s="46"/>
    </row>
    <row r="710" spans="1:2">
      <c r="A710" s="46"/>
      <c r="B710" s="46"/>
    </row>
    <row r="711" spans="1:2">
      <c r="A711" s="46"/>
      <c r="B711" s="46"/>
    </row>
    <row r="712" spans="1:2">
      <c r="A712" s="46"/>
      <c r="B712" s="46"/>
    </row>
    <row r="713" spans="1:2">
      <c r="A713" s="46"/>
      <c r="B713" s="46"/>
    </row>
    <row r="714" spans="1:2">
      <c r="A714" s="46"/>
      <c r="B714" s="46"/>
    </row>
    <row r="715" spans="1:2">
      <c r="A715" s="46"/>
      <c r="B715" s="46"/>
    </row>
    <row r="716" spans="1:2">
      <c r="A716" s="46"/>
      <c r="B716" s="46"/>
    </row>
    <row r="717" spans="1:2">
      <c r="A717" s="46"/>
      <c r="B717" s="46"/>
    </row>
    <row r="718" spans="1:2">
      <c r="A718" s="46"/>
      <c r="B718" s="46"/>
    </row>
    <row r="719" spans="1:2">
      <c r="A719" s="46"/>
      <c r="B719" s="46"/>
    </row>
    <row r="720" spans="1:2">
      <c r="A720" s="46"/>
      <c r="B720" s="46"/>
    </row>
    <row r="721" spans="1:2">
      <c r="A721" s="46"/>
      <c r="B721" s="46"/>
    </row>
    <row r="722" spans="1:2">
      <c r="A722" s="46"/>
      <c r="B722" s="46"/>
    </row>
    <row r="723" spans="1:2">
      <c r="A723" s="46"/>
      <c r="B723" s="46"/>
    </row>
    <row r="724" spans="1:2">
      <c r="A724" s="46"/>
      <c r="B724" s="46"/>
    </row>
    <row r="725" spans="1:2">
      <c r="A725" s="46"/>
      <c r="B725" s="46"/>
    </row>
    <row r="726" spans="1:2">
      <c r="A726" s="46"/>
      <c r="B726" s="46"/>
    </row>
    <row r="727" spans="1:2">
      <c r="A727" s="46"/>
      <c r="B727" s="46"/>
    </row>
    <row r="728" spans="1:2">
      <c r="A728" s="46"/>
      <c r="B728" s="46"/>
    </row>
    <row r="729" spans="1:2">
      <c r="A729" s="46"/>
      <c r="B729" s="46"/>
    </row>
    <row r="730" spans="1:2">
      <c r="A730" s="46"/>
      <c r="B730" s="46"/>
    </row>
    <row r="731" spans="1:2">
      <c r="A731" s="46"/>
      <c r="B731" s="46"/>
    </row>
    <row r="732" spans="1:2">
      <c r="A732" s="46"/>
      <c r="B732" s="46"/>
    </row>
    <row r="733" spans="1:2">
      <c r="A733" s="46"/>
      <c r="B733" s="46"/>
    </row>
    <row r="734" spans="1:2">
      <c r="A734" s="46"/>
      <c r="B734" s="46"/>
    </row>
    <row r="735" spans="1:2">
      <c r="A735" s="46"/>
      <c r="B735" s="46"/>
    </row>
    <row r="736" spans="1:2">
      <c r="A736" s="46"/>
      <c r="B736" s="46"/>
    </row>
    <row r="737" spans="1:2">
      <c r="A737" s="46"/>
      <c r="B737" s="46"/>
    </row>
    <row r="738" spans="1:2">
      <c r="A738" s="46"/>
      <c r="B738" s="46"/>
    </row>
    <row r="739" spans="1:2">
      <c r="A739" s="46"/>
      <c r="B739" s="46"/>
    </row>
    <row r="740" spans="1:2">
      <c r="A740" s="46"/>
      <c r="B740" s="46"/>
    </row>
    <row r="741" spans="1:2">
      <c r="A741" s="46"/>
      <c r="B741" s="46"/>
    </row>
    <row r="742" spans="1:2">
      <c r="A742" s="46"/>
      <c r="B742" s="46"/>
    </row>
    <row r="743" spans="1:2">
      <c r="A743" s="46"/>
      <c r="B743" s="46"/>
    </row>
    <row r="744" spans="1:2">
      <c r="A744" s="46"/>
      <c r="B744" s="46"/>
    </row>
    <row r="745" spans="1:2">
      <c r="A745" s="46"/>
      <c r="B745" s="46"/>
    </row>
    <row r="746" spans="1:2">
      <c r="A746" s="46"/>
      <c r="B746" s="46"/>
    </row>
    <row r="747" spans="1:2">
      <c r="A747" s="46"/>
      <c r="B747" s="46"/>
    </row>
    <row r="748" spans="1:2">
      <c r="A748" s="46"/>
      <c r="B748" s="46"/>
    </row>
    <row r="749" spans="1:2">
      <c r="A749" s="46"/>
      <c r="B749" s="46"/>
    </row>
    <row r="750" spans="1:2">
      <c r="A750" s="46"/>
      <c r="B750" s="46"/>
    </row>
    <row r="751" spans="1:2">
      <c r="A751" s="46"/>
      <c r="B751" s="46"/>
    </row>
    <row r="752" spans="1:2">
      <c r="A752" s="46"/>
      <c r="B752" s="46"/>
    </row>
    <row r="753" spans="1:2">
      <c r="A753" s="46"/>
      <c r="B753" s="46"/>
    </row>
    <row r="754" spans="1:2">
      <c r="A754" s="46"/>
      <c r="B754" s="46"/>
    </row>
    <row r="755" spans="1:2">
      <c r="A755" s="46"/>
      <c r="B755" s="46"/>
    </row>
    <row r="756" spans="1:2">
      <c r="A756" s="46"/>
      <c r="B756" s="46"/>
    </row>
    <row r="757" spans="1:2">
      <c r="A757" s="46"/>
      <c r="B757" s="46"/>
    </row>
    <row r="758" spans="1:2">
      <c r="A758" s="46"/>
      <c r="B758" s="46"/>
    </row>
    <row r="759" spans="1:2">
      <c r="A759" s="46"/>
      <c r="B759" s="46"/>
    </row>
    <row r="760" spans="1:2">
      <c r="A760" s="46"/>
      <c r="B760" s="46"/>
    </row>
    <row r="761" spans="1:2">
      <c r="A761" s="46"/>
      <c r="B761" s="46"/>
    </row>
    <row r="762" spans="1:2">
      <c r="A762" s="46"/>
      <c r="B762" s="46"/>
    </row>
    <row r="763" spans="1:2">
      <c r="A763" s="46"/>
      <c r="B763" s="46"/>
    </row>
    <row r="764" spans="1:2">
      <c r="A764" s="46"/>
      <c r="B764" s="46"/>
    </row>
    <row r="765" spans="1:2">
      <c r="A765" s="46"/>
      <c r="B765" s="46"/>
    </row>
    <row r="766" spans="1:2">
      <c r="A766" s="46"/>
      <c r="B766" s="46"/>
    </row>
    <row r="767" spans="1:2">
      <c r="A767" s="46"/>
      <c r="B767" s="46"/>
    </row>
    <row r="768" spans="1:2">
      <c r="A768" s="46"/>
      <c r="B768" s="46"/>
    </row>
    <row r="769" spans="1:2">
      <c r="A769" s="46"/>
      <c r="B769" s="46"/>
    </row>
    <row r="770" spans="1:2">
      <c r="A770" s="46"/>
      <c r="B770" s="46"/>
    </row>
    <row r="771" spans="1:2">
      <c r="A771" s="46"/>
      <c r="B771" s="46"/>
    </row>
    <row r="772" spans="1:2">
      <c r="A772" s="46"/>
      <c r="B772" s="46"/>
    </row>
    <row r="773" spans="1:2">
      <c r="A773" s="46"/>
      <c r="B773" s="46"/>
    </row>
    <row r="774" spans="1:2">
      <c r="A774" s="46"/>
      <c r="B774" s="46"/>
    </row>
    <row r="775" spans="1:2">
      <c r="A775" s="46"/>
      <c r="B775" s="46"/>
    </row>
    <row r="776" spans="1:2">
      <c r="A776" s="46"/>
      <c r="B776" s="46"/>
    </row>
    <row r="777" spans="1:2">
      <c r="A777" s="46"/>
      <c r="B777" s="46"/>
    </row>
    <row r="778" spans="1:2">
      <c r="A778" s="46"/>
      <c r="B778" s="46"/>
    </row>
    <row r="779" spans="1:2">
      <c r="A779" s="46"/>
      <c r="B779" s="46"/>
    </row>
    <row r="780" spans="1:2">
      <c r="A780" s="46"/>
      <c r="B780" s="46"/>
    </row>
    <row r="781" spans="1:2">
      <c r="A781" s="46"/>
      <c r="B781" s="46"/>
    </row>
    <row r="782" spans="1:2">
      <c r="A782" s="46"/>
      <c r="B782" s="46"/>
    </row>
    <row r="783" spans="1:2">
      <c r="A783" s="46"/>
      <c r="B783" s="46"/>
    </row>
    <row r="784" spans="1:2">
      <c r="A784" s="46"/>
      <c r="B784" s="46"/>
    </row>
    <row r="785" spans="1:2">
      <c r="A785" s="46"/>
      <c r="B785" s="46"/>
    </row>
    <row r="786" spans="1:2">
      <c r="A786" s="46"/>
      <c r="B786" s="46"/>
    </row>
    <row r="787" spans="1:2">
      <c r="A787" s="46"/>
      <c r="B787" s="46"/>
    </row>
    <row r="788" spans="1:2">
      <c r="A788" s="46"/>
      <c r="B788" s="46"/>
    </row>
    <row r="789" spans="1:2">
      <c r="A789" s="46"/>
      <c r="B789" s="46"/>
    </row>
    <row r="790" spans="1:2">
      <c r="A790" s="46"/>
      <c r="B790" s="46"/>
    </row>
    <row r="791" spans="1:2">
      <c r="A791" s="46"/>
      <c r="B791" s="46"/>
    </row>
    <row r="792" spans="1:2">
      <c r="A792" s="46"/>
      <c r="B792" s="46"/>
    </row>
    <row r="793" spans="1:2">
      <c r="A793" s="46"/>
      <c r="B793" s="46"/>
    </row>
    <row r="794" spans="1:2">
      <c r="A794" s="46"/>
      <c r="B794" s="46"/>
    </row>
    <row r="795" spans="1:2">
      <c r="A795" s="46"/>
      <c r="B795" s="46"/>
    </row>
    <row r="796" spans="1:2">
      <c r="A796" s="46"/>
      <c r="B796" s="46"/>
    </row>
    <row r="797" spans="1:2">
      <c r="A797" s="46"/>
      <c r="B797" s="46"/>
    </row>
    <row r="798" spans="1:2">
      <c r="A798" s="46"/>
      <c r="B798" s="46"/>
    </row>
    <row r="799" spans="1:2">
      <c r="A799" s="46"/>
      <c r="B799" s="46"/>
    </row>
    <row r="800" spans="1:2">
      <c r="A800" s="46"/>
      <c r="B800" s="46"/>
    </row>
    <row r="801" spans="1:2">
      <c r="A801" s="46"/>
      <c r="B801" s="46"/>
    </row>
    <row r="802" spans="1:2">
      <c r="A802" s="46"/>
      <c r="B802" s="46"/>
    </row>
    <row r="803" spans="1:2">
      <c r="A803" s="46"/>
      <c r="B803" s="46"/>
    </row>
    <row r="804" spans="1:2">
      <c r="A804" s="46"/>
      <c r="B804" s="46"/>
    </row>
    <row r="805" spans="1:2">
      <c r="A805" s="46"/>
      <c r="B805" s="46"/>
    </row>
    <row r="806" spans="1:2">
      <c r="A806" s="46"/>
      <c r="B806" s="46"/>
    </row>
    <row r="807" spans="1:2">
      <c r="A807" s="46"/>
      <c r="B807" s="46"/>
    </row>
    <row r="808" spans="1:2">
      <c r="A808" s="46"/>
      <c r="B808" s="46"/>
    </row>
    <row r="809" spans="1:2">
      <c r="A809" s="46"/>
      <c r="B809" s="46"/>
    </row>
    <row r="810" spans="1:2">
      <c r="A810" s="46"/>
      <c r="B810" s="46"/>
    </row>
    <row r="811" spans="1:2">
      <c r="A811" s="46"/>
      <c r="B811" s="46"/>
    </row>
    <row r="812" spans="1:2">
      <c r="A812" s="46"/>
      <c r="B812" s="46"/>
    </row>
    <row r="813" spans="1:2">
      <c r="A813" s="46"/>
      <c r="B813" s="46"/>
    </row>
    <row r="814" spans="1:2">
      <c r="A814" s="46"/>
      <c r="B814" s="46"/>
    </row>
    <row r="815" spans="1:2">
      <c r="A815" s="46"/>
      <c r="B815" s="46"/>
    </row>
    <row r="816" spans="1:2">
      <c r="A816" s="46"/>
      <c r="B816" s="46"/>
    </row>
    <row r="817" spans="1:2">
      <c r="A817" s="46"/>
      <c r="B817" s="46"/>
    </row>
    <row r="818" spans="1:2">
      <c r="A818" s="46"/>
      <c r="B818" s="46"/>
    </row>
    <row r="819" spans="1:2">
      <c r="A819" s="46"/>
      <c r="B819" s="46"/>
    </row>
    <row r="820" spans="1:2">
      <c r="A820" s="46"/>
      <c r="B820" s="46"/>
    </row>
    <row r="821" spans="1:2">
      <c r="A821" s="46"/>
      <c r="B821" s="46"/>
    </row>
    <row r="822" spans="1:2">
      <c r="A822" s="46"/>
      <c r="B822" s="46"/>
    </row>
    <row r="823" spans="1:2">
      <c r="A823" s="46"/>
      <c r="B823" s="46"/>
    </row>
    <row r="824" spans="1:2">
      <c r="A824" s="46"/>
      <c r="B824" s="46"/>
    </row>
    <row r="825" spans="1:2">
      <c r="A825" s="46"/>
      <c r="B825" s="46"/>
    </row>
    <row r="826" spans="1:2">
      <c r="A826" s="46"/>
      <c r="B826" s="46"/>
    </row>
    <row r="827" spans="1:2">
      <c r="A827" s="46"/>
      <c r="B827" s="46"/>
    </row>
    <row r="828" spans="1:2">
      <c r="A828" s="46"/>
      <c r="B828" s="46"/>
    </row>
    <row r="829" spans="1:2">
      <c r="A829" s="46"/>
      <c r="B829" s="46"/>
    </row>
    <row r="830" spans="1:2">
      <c r="A830" s="46"/>
      <c r="B830" s="46"/>
    </row>
    <row r="831" spans="1:2">
      <c r="A831" s="46"/>
      <c r="B831" s="46"/>
    </row>
    <row r="832" spans="1:2">
      <c r="A832" s="46"/>
      <c r="B832" s="46"/>
    </row>
    <row r="833" spans="1:2">
      <c r="A833" s="46"/>
      <c r="B833" s="46"/>
    </row>
    <row r="834" spans="1:2">
      <c r="A834" s="46"/>
      <c r="B834" s="46"/>
    </row>
    <row r="835" spans="1:2">
      <c r="A835" s="46"/>
      <c r="B835" s="46"/>
    </row>
    <row r="836" spans="1:2">
      <c r="A836" s="46"/>
      <c r="B836" s="46"/>
    </row>
    <row r="837" spans="1:2">
      <c r="A837" s="46"/>
      <c r="B837" s="46"/>
    </row>
    <row r="838" spans="1:2">
      <c r="A838" s="46"/>
      <c r="B838" s="46"/>
    </row>
    <row r="839" spans="1:2">
      <c r="A839" s="46"/>
      <c r="B839" s="46"/>
    </row>
    <row r="840" spans="1:2">
      <c r="A840" s="46"/>
      <c r="B840" s="46"/>
    </row>
    <row r="841" spans="1:2">
      <c r="A841" s="46"/>
      <c r="B841" s="46"/>
    </row>
    <row r="842" spans="1:2">
      <c r="A842" s="46"/>
      <c r="B842" s="46"/>
    </row>
    <row r="843" spans="1:2">
      <c r="A843" s="46"/>
      <c r="B843" s="46"/>
    </row>
    <row r="844" spans="1:2">
      <c r="A844" s="46"/>
      <c r="B844" s="46"/>
    </row>
    <row r="845" spans="1:2">
      <c r="A845" s="46"/>
      <c r="B845" s="46"/>
    </row>
    <row r="846" spans="1:2">
      <c r="A846" s="46"/>
      <c r="B846" s="46"/>
    </row>
    <row r="847" spans="1:2">
      <c r="A847" s="46"/>
      <c r="B847" s="46"/>
    </row>
    <row r="848" spans="1:2">
      <c r="A848" s="46"/>
      <c r="B848" s="46"/>
    </row>
    <row r="849" spans="1:2">
      <c r="A849" s="46"/>
      <c r="B849" s="46"/>
    </row>
    <row r="850" spans="1:2">
      <c r="A850" s="46"/>
      <c r="B850" s="46"/>
    </row>
    <row r="851" spans="1:2">
      <c r="A851" s="46"/>
      <c r="B851" s="46"/>
    </row>
    <row r="852" spans="1:2">
      <c r="A852" s="46"/>
      <c r="B852" s="46"/>
    </row>
    <row r="853" spans="1:2">
      <c r="A853" s="46"/>
      <c r="B853" s="46"/>
    </row>
    <row r="854" spans="1:2">
      <c r="A854" s="46"/>
      <c r="B854" s="46"/>
    </row>
    <row r="855" spans="1:2">
      <c r="A855" s="46"/>
      <c r="B855" s="46"/>
    </row>
    <row r="856" spans="1:2">
      <c r="A856" s="46"/>
      <c r="B856" s="46"/>
    </row>
    <row r="857" spans="1:2">
      <c r="A857" s="46"/>
      <c r="B857" s="46"/>
    </row>
    <row r="858" spans="1:2">
      <c r="A858" s="46"/>
      <c r="B858" s="46"/>
    </row>
    <row r="859" spans="1:2">
      <c r="A859" s="46"/>
      <c r="B859" s="46"/>
    </row>
    <row r="860" spans="1:2">
      <c r="A860" s="46"/>
      <c r="B860" s="46"/>
    </row>
    <row r="861" spans="1:2">
      <c r="A861" s="46"/>
      <c r="B861" s="46"/>
    </row>
    <row r="862" spans="1:2">
      <c r="A862" s="46"/>
      <c r="B862" s="46"/>
    </row>
    <row r="863" spans="1:2">
      <c r="A863" s="46"/>
      <c r="B863" s="46"/>
    </row>
    <row r="864" spans="1:2">
      <c r="A864" s="46"/>
      <c r="B864" s="46"/>
    </row>
    <row r="865" spans="1:2">
      <c r="A865" s="46"/>
      <c r="B865" s="46"/>
    </row>
    <row r="866" spans="1:2">
      <c r="A866" s="46"/>
      <c r="B866" s="46"/>
    </row>
    <row r="867" spans="1:2">
      <c r="A867" s="46"/>
      <c r="B867" s="46"/>
    </row>
    <row r="868" spans="1:2">
      <c r="A868" s="46"/>
      <c r="B868" s="46"/>
    </row>
    <row r="869" spans="1:2">
      <c r="A869" s="46"/>
      <c r="B869" s="46"/>
    </row>
    <row r="870" spans="1:2">
      <c r="A870" s="46"/>
      <c r="B870" s="46"/>
    </row>
    <row r="871" spans="1:2">
      <c r="A871" s="46"/>
      <c r="B871" s="46"/>
    </row>
    <row r="872" spans="1:2">
      <c r="A872" s="46"/>
      <c r="B872" s="46"/>
    </row>
    <row r="873" spans="1:2">
      <c r="A873" s="46"/>
      <c r="B873" s="46"/>
    </row>
    <row r="874" spans="1:2">
      <c r="A874" s="46"/>
      <c r="B874" s="46"/>
    </row>
    <row r="875" spans="1:2">
      <c r="A875" s="46"/>
      <c r="B875" s="46"/>
    </row>
    <row r="876" spans="1:2">
      <c r="A876" s="46"/>
      <c r="B876" s="46"/>
    </row>
    <row r="877" spans="1:2">
      <c r="A877" s="46"/>
      <c r="B877" s="46"/>
    </row>
    <row r="878" spans="1:2">
      <c r="A878" s="46"/>
      <c r="B878" s="46"/>
    </row>
    <row r="879" spans="1:2">
      <c r="A879" s="46"/>
      <c r="B879" s="46"/>
    </row>
    <row r="880" spans="1:2">
      <c r="A880" s="46"/>
      <c r="B880" s="46"/>
    </row>
    <row r="881" spans="1:2">
      <c r="A881" s="46"/>
      <c r="B881" s="46"/>
    </row>
    <row r="882" spans="1:2">
      <c r="A882" s="46"/>
      <c r="B882" s="46"/>
    </row>
    <row r="883" spans="1:2">
      <c r="A883" s="46"/>
      <c r="B883" s="46"/>
    </row>
    <row r="884" spans="1:2">
      <c r="A884" s="46"/>
      <c r="B884" s="46"/>
    </row>
    <row r="885" spans="1:2">
      <c r="A885" s="46"/>
      <c r="B885" s="46"/>
    </row>
    <row r="886" spans="1:2">
      <c r="A886" s="46"/>
      <c r="B886" s="46"/>
    </row>
    <row r="887" spans="1:2">
      <c r="A887" s="46"/>
      <c r="B887" s="46"/>
    </row>
    <row r="888" spans="1:2">
      <c r="A888" s="46"/>
      <c r="B888" s="46"/>
    </row>
    <row r="889" spans="1:2">
      <c r="A889" s="46"/>
      <c r="B889" s="46"/>
    </row>
    <row r="890" spans="1:2">
      <c r="A890" s="46"/>
      <c r="B890" s="46"/>
    </row>
    <row r="891" spans="1:2">
      <c r="A891" s="46"/>
      <c r="B891" s="46"/>
    </row>
    <row r="892" spans="1:2">
      <c r="A892" s="46"/>
      <c r="B892" s="46"/>
    </row>
    <row r="893" spans="1:2">
      <c r="A893" s="46"/>
      <c r="B893" s="46"/>
    </row>
    <row r="894" spans="1:2">
      <c r="A894" s="46"/>
      <c r="B894" s="46"/>
    </row>
    <row r="895" spans="1:2">
      <c r="A895" s="46"/>
      <c r="B895" s="46"/>
    </row>
    <row r="896" spans="1:2">
      <c r="A896" s="46"/>
      <c r="B896" s="46"/>
    </row>
    <row r="897" spans="1:2">
      <c r="A897" s="46"/>
      <c r="B897" s="46"/>
    </row>
    <row r="898" spans="1:2">
      <c r="A898" s="46"/>
      <c r="B898" s="46"/>
    </row>
    <row r="899" spans="1:2">
      <c r="A899" s="46"/>
      <c r="B899" s="46"/>
    </row>
    <row r="900" spans="1:2">
      <c r="A900" s="46"/>
      <c r="B900" s="46"/>
    </row>
    <row r="901" spans="1:2">
      <c r="A901" s="46"/>
      <c r="B901" s="46"/>
    </row>
    <row r="902" spans="1:2">
      <c r="A902" s="46"/>
      <c r="B902" s="46"/>
    </row>
    <row r="903" spans="1:2">
      <c r="A903" s="46"/>
      <c r="B903" s="46"/>
    </row>
    <row r="904" spans="1:2">
      <c r="A904" s="46"/>
      <c r="B904" s="46"/>
    </row>
    <row r="905" spans="1:2">
      <c r="A905" s="46"/>
      <c r="B905" s="46"/>
    </row>
    <row r="906" spans="1:2">
      <c r="A906" s="46"/>
      <c r="B906" s="46"/>
    </row>
    <row r="907" spans="1:2">
      <c r="A907" s="46"/>
      <c r="B907" s="46"/>
    </row>
    <row r="908" spans="1:2">
      <c r="A908" s="46"/>
      <c r="B908" s="46"/>
    </row>
    <row r="909" spans="1:2">
      <c r="A909" s="46"/>
      <c r="B909" s="46"/>
    </row>
    <row r="910" spans="1:2">
      <c r="A910" s="46"/>
      <c r="B910" s="46"/>
    </row>
    <row r="911" spans="1:2">
      <c r="A911" s="46"/>
      <c r="B911" s="46"/>
    </row>
    <row r="912" spans="1:2">
      <c r="A912" s="46"/>
      <c r="B912" s="46"/>
    </row>
    <row r="913" spans="1:2">
      <c r="A913" s="46"/>
      <c r="B913" s="46"/>
    </row>
    <row r="914" spans="1:2">
      <c r="A914" s="46"/>
      <c r="B914" s="46"/>
    </row>
    <row r="915" spans="1:2">
      <c r="A915" s="46"/>
      <c r="B915" s="46"/>
    </row>
    <row r="916" spans="1:2">
      <c r="A916" s="46"/>
      <c r="B916" s="46"/>
    </row>
    <row r="917" spans="1:2">
      <c r="A917" s="46"/>
      <c r="B917" s="46"/>
    </row>
    <row r="918" spans="1:2">
      <c r="A918" s="46"/>
      <c r="B918" s="46"/>
    </row>
    <row r="919" spans="1:2">
      <c r="A919" s="46"/>
      <c r="B919" s="46"/>
    </row>
    <row r="920" spans="1:2">
      <c r="A920" s="46"/>
      <c r="B920" s="46"/>
    </row>
    <row r="921" spans="1:2">
      <c r="A921" s="46"/>
      <c r="B921" s="46"/>
    </row>
    <row r="922" spans="1:2">
      <c r="A922" s="46"/>
      <c r="B922" s="46"/>
    </row>
    <row r="923" spans="1:2">
      <c r="A923" s="46"/>
      <c r="B923" s="46"/>
    </row>
    <row r="924" spans="1:2">
      <c r="A924" s="46"/>
      <c r="B924" s="46"/>
    </row>
    <row r="925" spans="1:2">
      <c r="A925" s="46"/>
      <c r="B925" s="46"/>
    </row>
    <row r="926" spans="1:2">
      <c r="A926" s="46"/>
      <c r="B926" s="46"/>
    </row>
    <row r="927" spans="1:2">
      <c r="A927" s="46"/>
      <c r="B927" s="46"/>
    </row>
    <row r="928" spans="1:2">
      <c r="A928" s="46"/>
      <c r="B928" s="46"/>
    </row>
    <row r="929" spans="1:2">
      <c r="A929" s="46"/>
      <c r="B929" s="46"/>
    </row>
    <row r="930" spans="1:2">
      <c r="A930" s="46"/>
      <c r="B930" s="46"/>
    </row>
    <row r="931" spans="1:2">
      <c r="A931" s="46"/>
      <c r="B931" s="46"/>
    </row>
    <row r="932" spans="1:2">
      <c r="A932" s="46"/>
      <c r="B932" s="46"/>
    </row>
    <row r="933" spans="1:2">
      <c r="A933" s="46"/>
      <c r="B933" s="46"/>
    </row>
    <row r="934" spans="1:2">
      <c r="A934" s="46"/>
      <c r="B934" s="46"/>
    </row>
    <row r="935" spans="1:2">
      <c r="A935" s="46"/>
      <c r="B935" s="46"/>
    </row>
    <row r="936" spans="1:2">
      <c r="A936" s="46"/>
      <c r="B936" s="46"/>
    </row>
    <row r="937" spans="1:2">
      <c r="A937" s="46"/>
      <c r="B937" s="46"/>
    </row>
    <row r="938" spans="1:2">
      <c r="A938" s="46"/>
      <c r="B938" s="46"/>
    </row>
    <row r="939" spans="1:2">
      <c r="A939" s="46"/>
      <c r="B939" s="46"/>
    </row>
    <row r="940" spans="1:2">
      <c r="A940" s="46"/>
      <c r="B940" s="46"/>
    </row>
    <row r="941" spans="1:2">
      <c r="A941" s="46"/>
      <c r="B941" s="46"/>
    </row>
    <row r="942" spans="1:2">
      <c r="A942" s="46"/>
      <c r="B942" s="46"/>
    </row>
    <row r="943" spans="1:2">
      <c r="A943" s="46"/>
      <c r="B943" s="46"/>
    </row>
    <row r="944" spans="1:2">
      <c r="A944" s="46"/>
      <c r="B944" s="46"/>
    </row>
    <row r="945" spans="1:2">
      <c r="A945" s="46"/>
      <c r="B945" s="46"/>
    </row>
    <row r="946" spans="1:2">
      <c r="A946" s="46"/>
      <c r="B946" s="46"/>
    </row>
    <row r="947" spans="1:2">
      <c r="A947" s="46"/>
      <c r="B947" s="46"/>
    </row>
    <row r="948" spans="1:2">
      <c r="A948" s="46"/>
      <c r="B948" s="46"/>
    </row>
    <row r="949" spans="1:2">
      <c r="A949" s="46"/>
      <c r="B949" s="46"/>
    </row>
    <row r="950" spans="1:2">
      <c r="A950" s="46"/>
      <c r="B950" s="46"/>
    </row>
  </sheetData>
  <mergeCells count="19">
    <mergeCell ref="N24:O24"/>
    <mergeCell ref="C31:E31"/>
    <mergeCell ref="C42:E42"/>
    <mergeCell ref="B21:F21"/>
    <mergeCell ref="N21:O21"/>
    <mergeCell ref="N22:O22"/>
    <mergeCell ref="C23:E23"/>
    <mergeCell ref="N23:O23"/>
    <mergeCell ref="N13:O13"/>
    <mergeCell ref="N14:O14"/>
    <mergeCell ref="N15:O15"/>
    <mergeCell ref="N16:O16"/>
    <mergeCell ref="N20:O20"/>
    <mergeCell ref="B2:F2"/>
    <mergeCell ref="M3:O3"/>
    <mergeCell ref="C4:E4"/>
    <mergeCell ref="M11:O11"/>
    <mergeCell ref="C12:E12"/>
    <mergeCell ref="N12:O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9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4.42578125" defaultRowHeight="15"/>
  <cols>
    <col min="1" max="1" width="9.140625" customWidth="1"/>
    <col min="2" max="2" width="22.28515625" customWidth="1"/>
    <col min="3" max="3" width="14.7109375" customWidth="1"/>
    <col min="4" max="4" width="16" customWidth="1"/>
    <col min="5" max="5" width="12.7109375" customWidth="1"/>
    <col min="6" max="6" width="12.85546875" customWidth="1"/>
    <col min="7" max="21" width="9.140625" customWidth="1"/>
    <col min="22" max="22" width="41" customWidth="1"/>
    <col min="23" max="26" width="9.140625" customWidth="1"/>
  </cols>
  <sheetData>
    <row r="1" spans="1:26">
      <c r="A1" s="74"/>
      <c r="B1" s="74"/>
      <c r="C1" s="74"/>
      <c r="D1" s="74" t="s">
        <v>2060</v>
      </c>
      <c r="E1" s="75" t="s">
        <v>2061</v>
      </c>
      <c r="F1" s="74" t="s">
        <v>2062</v>
      </c>
      <c r="G1" s="74"/>
      <c r="H1" s="74"/>
      <c r="I1" s="76" t="s">
        <v>2063</v>
      </c>
      <c r="J1" s="76" t="s">
        <v>2064</v>
      </c>
      <c r="K1" s="74" t="s">
        <v>2065</v>
      </c>
      <c r="L1" s="74" t="s">
        <v>2066</v>
      </c>
      <c r="M1" s="74" t="s">
        <v>2067</v>
      </c>
      <c r="N1" s="74" t="s">
        <v>2068</v>
      </c>
      <c r="O1" s="74" t="s">
        <v>2069</v>
      </c>
      <c r="P1" s="74" t="s">
        <v>2070</v>
      </c>
      <c r="Q1" s="74" t="s">
        <v>2071</v>
      </c>
      <c r="R1" s="74" t="s">
        <v>2072</v>
      </c>
      <c r="S1" s="74" t="s">
        <v>2073</v>
      </c>
      <c r="T1" s="74" t="s">
        <v>2074</v>
      </c>
      <c r="U1" s="74" t="s">
        <v>2075</v>
      </c>
      <c r="V1" s="74"/>
      <c r="W1" s="74"/>
      <c r="X1" s="74"/>
      <c r="Y1" s="74"/>
      <c r="Z1" s="74"/>
    </row>
    <row r="2" spans="1:26">
      <c r="A2" s="74"/>
      <c r="B2" s="74" t="b">
        <f t="shared" ref="B2:B65" si="0">D2=C2</f>
        <v>1</v>
      </c>
      <c r="C2" s="77">
        <v>3760329</v>
      </c>
      <c r="D2" s="78">
        <v>3760329</v>
      </c>
      <c r="E2" s="21" t="s">
        <v>704</v>
      </c>
      <c r="F2" s="74" t="s">
        <v>25</v>
      </c>
      <c r="G2" s="74"/>
      <c r="H2" s="74"/>
      <c r="I2" s="76">
        <v>2156</v>
      </c>
      <c r="J2" s="76">
        <v>2423</v>
      </c>
      <c r="K2" s="74">
        <v>2144</v>
      </c>
      <c r="L2" s="74">
        <v>1984</v>
      </c>
      <c r="M2" s="74">
        <v>2313</v>
      </c>
      <c r="N2" s="74">
        <v>2113</v>
      </c>
      <c r="O2" s="74">
        <v>2160</v>
      </c>
      <c r="P2" s="74">
        <v>2185</v>
      </c>
      <c r="Q2" s="74">
        <v>2134</v>
      </c>
      <c r="R2" s="74">
        <v>2554</v>
      </c>
      <c r="S2" s="74">
        <v>2620</v>
      </c>
      <c r="T2" s="74">
        <v>2206</v>
      </c>
      <c r="U2" s="74">
        <v>2179</v>
      </c>
      <c r="V2" s="74"/>
      <c r="W2" s="74"/>
      <c r="X2" s="74"/>
      <c r="Y2" s="74"/>
      <c r="Z2" s="74"/>
    </row>
    <row r="3" spans="1:26">
      <c r="A3" s="74"/>
      <c r="B3" s="74" t="b">
        <f t="shared" si="0"/>
        <v>1</v>
      </c>
      <c r="C3" s="77">
        <v>2841412</v>
      </c>
      <c r="D3" s="78">
        <v>2841412</v>
      </c>
      <c r="E3" s="21" t="s">
        <v>704</v>
      </c>
      <c r="F3" s="74" t="s">
        <v>25</v>
      </c>
      <c r="G3" s="74"/>
      <c r="H3" s="74"/>
      <c r="I3" s="76">
        <v>100</v>
      </c>
      <c r="J3" s="76">
        <v>100</v>
      </c>
      <c r="K3" s="74">
        <v>100</v>
      </c>
      <c r="L3" s="74">
        <v>100</v>
      </c>
      <c r="M3" s="74">
        <v>100</v>
      </c>
      <c r="N3" s="74">
        <v>100</v>
      </c>
      <c r="O3" s="74">
        <v>228</v>
      </c>
      <c r="P3" s="74">
        <v>100</v>
      </c>
      <c r="Q3" s="74">
        <v>100</v>
      </c>
      <c r="R3" s="74">
        <v>100</v>
      </c>
      <c r="S3" s="74">
        <v>100</v>
      </c>
      <c r="T3" s="74">
        <v>100</v>
      </c>
      <c r="U3" s="74">
        <v>100</v>
      </c>
      <c r="V3" s="74"/>
      <c r="W3" s="74"/>
      <c r="X3" s="74"/>
      <c r="Y3" s="74"/>
      <c r="Z3" s="74"/>
    </row>
    <row r="4" spans="1:26">
      <c r="A4" s="74"/>
      <c r="B4" s="74" t="b">
        <f t="shared" si="0"/>
        <v>1</v>
      </c>
      <c r="C4" s="77">
        <v>3026539</v>
      </c>
      <c r="D4" s="78">
        <v>3026539</v>
      </c>
      <c r="E4" s="21" t="s">
        <v>732</v>
      </c>
      <c r="F4" s="74" t="s">
        <v>25</v>
      </c>
      <c r="G4" s="74"/>
      <c r="H4" s="74"/>
      <c r="I4" s="76">
        <v>873</v>
      </c>
      <c r="J4" s="76">
        <v>834</v>
      </c>
      <c r="K4" s="74">
        <v>742</v>
      </c>
      <c r="L4" s="74">
        <v>634</v>
      </c>
      <c r="M4" s="74">
        <v>676</v>
      </c>
      <c r="N4" s="74">
        <v>655</v>
      </c>
      <c r="O4" s="74">
        <v>603</v>
      </c>
      <c r="P4" s="74">
        <v>582</v>
      </c>
      <c r="Q4" s="74">
        <v>570</v>
      </c>
      <c r="R4" s="74">
        <v>673</v>
      </c>
      <c r="S4" s="74">
        <v>685</v>
      </c>
      <c r="T4" s="74">
        <v>754</v>
      </c>
      <c r="U4" s="74">
        <v>763</v>
      </c>
      <c r="V4" s="74"/>
      <c r="W4" s="74"/>
      <c r="X4" s="74"/>
      <c r="Y4" s="74"/>
      <c r="Z4" s="74"/>
    </row>
    <row r="5" spans="1:26">
      <c r="A5" s="74"/>
      <c r="B5" s="74" t="b">
        <f t="shared" si="0"/>
        <v>1</v>
      </c>
      <c r="C5" s="77">
        <v>4445575</v>
      </c>
      <c r="D5" s="78">
        <v>4445575</v>
      </c>
      <c r="E5" s="21" t="s">
        <v>700</v>
      </c>
      <c r="F5" s="74" t="s">
        <v>25</v>
      </c>
      <c r="G5" s="74"/>
      <c r="H5" s="74"/>
      <c r="I5" s="76">
        <v>812</v>
      </c>
      <c r="J5" s="76">
        <v>917</v>
      </c>
      <c r="K5" s="74">
        <v>686</v>
      </c>
      <c r="L5" s="74">
        <v>817</v>
      </c>
      <c r="M5" s="74">
        <v>486</v>
      </c>
      <c r="N5" s="74">
        <v>488</v>
      </c>
      <c r="O5" s="74">
        <v>367</v>
      </c>
      <c r="P5" s="74">
        <v>312</v>
      </c>
      <c r="Q5" s="74">
        <v>299</v>
      </c>
      <c r="R5" s="74">
        <v>303</v>
      </c>
      <c r="S5" s="74">
        <v>650</v>
      </c>
      <c r="T5" s="74">
        <v>639</v>
      </c>
      <c r="U5" s="74">
        <v>841</v>
      </c>
      <c r="V5" s="74"/>
      <c r="W5" s="74"/>
      <c r="X5" s="74"/>
      <c r="Y5" s="74"/>
      <c r="Z5" s="74"/>
    </row>
    <row r="6" spans="1:26">
      <c r="A6" s="74"/>
      <c r="B6" s="74" t="b">
        <f t="shared" si="0"/>
        <v>1</v>
      </c>
      <c r="C6" s="77">
        <v>25411</v>
      </c>
      <c r="D6" s="78">
        <v>25411</v>
      </c>
      <c r="E6" s="21" t="s">
        <v>704</v>
      </c>
      <c r="F6" s="74" t="s">
        <v>25</v>
      </c>
      <c r="G6" s="74"/>
      <c r="H6" s="74"/>
      <c r="I6" s="76">
        <v>331</v>
      </c>
      <c r="J6" s="76">
        <v>764</v>
      </c>
      <c r="K6" s="74">
        <v>1430</v>
      </c>
      <c r="L6" s="74">
        <v>324</v>
      </c>
      <c r="M6" s="74">
        <v>194</v>
      </c>
      <c r="N6" s="74">
        <v>149</v>
      </c>
      <c r="O6" s="74">
        <v>198</v>
      </c>
      <c r="P6" s="74">
        <v>231</v>
      </c>
      <c r="Q6" s="74">
        <v>226</v>
      </c>
      <c r="R6" s="74">
        <v>291</v>
      </c>
      <c r="S6" s="74">
        <v>577</v>
      </c>
      <c r="T6" s="74">
        <v>1416</v>
      </c>
      <c r="U6" s="74">
        <v>421</v>
      </c>
      <c r="V6" s="74"/>
      <c r="W6" s="74"/>
      <c r="X6" s="74"/>
      <c r="Y6" s="74"/>
      <c r="Z6" s="74"/>
    </row>
    <row r="7" spans="1:26">
      <c r="A7" s="74"/>
      <c r="B7" s="74" t="b">
        <f t="shared" si="0"/>
        <v>1</v>
      </c>
      <c r="C7" s="77">
        <v>7631344</v>
      </c>
      <c r="D7" s="78">
        <v>7631344</v>
      </c>
      <c r="E7" s="75" t="s">
        <v>704</v>
      </c>
      <c r="F7" s="74" t="s">
        <v>25</v>
      </c>
      <c r="G7" s="74"/>
      <c r="H7" s="74"/>
      <c r="I7" s="76">
        <v>100</v>
      </c>
      <c r="J7" s="76">
        <v>100</v>
      </c>
      <c r="K7" s="74">
        <v>100</v>
      </c>
      <c r="L7" s="74">
        <v>100</v>
      </c>
      <c r="M7" s="74">
        <v>100</v>
      </c>
      <c r="N7">
        <v>100</v>
      </c>
      <c r="O7" s="74">
        <v>100</v>
      </c>
      <c r="P7" s="74">
        <v>100</v>
      </c>
      <c r="Q7" s="74">
        <v>100</v>
      </c>
      <c r="R7" s="74">
        <v>100</v>
      </c>
      <c r="S7" s="74">
        <v>100</v>
      </c>
      <c r="T7" s="74">
        <v>100</v>
      </c>
      <c r="U7" s="74">
        <v>100</v>
      </c>
      <c r="V7" s="74"/>
      <c r="W7" s="74"/>
      <c r="X7" s="74"/>
      <c r="Y7" s="74"/>
      <c r="Z7" s="74"/>
    </row>
    <row r="8" spans="1:26">
      <c r="A8" s="74"/>
      <c r="B8" s="74" t="b">
        <f t="shared" si="0"/>
        <v>1</v>
      </c>
      <c r="C8" s="77">
        <v>3241825</v>
      </c>
      <c r="D8" s="74">
        <v>3241825</v>
      </c>
      <c r="E8" s="79" t="s">
        <v>704</v>
      </c>
      <c r="F8" s="74" t="s">
        <v>25</v>
      </c>
      <c r="G8" s="74"/>
      <c r="H8" s="74"/>
      <c r="I8" s="76">
        <v>4399</v>
      </c>
      <c r="J8" s="74">
        <v>4565</v>
      </c>
      <c r="K8" s="74">
        <v>4087</v>
      </c>
      <c r="L8" s="74">
        <v>4470</v>
      </c>
      <c r="M8" s="74">
        <v>4636</v>
      </c>
      <c r="N8" s="74">
        <v>3841</v>
      </c>
      <c r="O8" s="74">
        <v>3591</v>
      </c>
      <c r="P8" s="74">
        <v>2525</v>
      </c>
      <c r="Q8" s="74">
        <v>3706</v>
      </c>
      <c r="R8" s="74">
        <v>4201</v>
      </c>
      <c r="S8" s="74">
        <v>6344</v>
      </c>
      <c r="T8" s="74">
        <v>6427</v>
      </c>
      <c r="U8" s="74">
        <v>6388</v>
      </c>
      <c r="V8" s="74"/>
      <c r="W8" s="74"/>
      <c r="X8" s="74"/>
      <c r="Y8" s="74"/>
      <c r="Z8" s="74"/>
    </row>
    <row r="9" spans="1:26">
      <c r="A9" s="74"/>
      <c r="B9" s="74" t="b">
        <f t="shared" si="0"/>
        <v>1</v>
      </c>
      <c r="C9" s="77">
        <v>24998</v>
      </c>
      <c r="D9" s="74">
        <v>24998</v>
      </c>
      <c r="E9" s="79" t="s">
        <v>704</v>
      </c>
      <c r="F9" s="74" t="s">
        <v>25</v>
      </c>
      <c r="G9" s="74"/>
      <c r="H9" s="74"/>
      <c r="I9" s="76">
        <v>100</v>
      </c>
      <c r="J9" s="74">
        <v>100</v>
      </c>
      <c r="K9" s="74">
        <v>100</v>
      </c>
      <c r="L9" s="74">
        <v>100</v>
      </c>
      <c r="M9" s="74">
        <v>100</v>
      </c>
      <c r="N9" s="74">
        <v>100</v>
      </c>
      <c r="O9" s="74">
        <v>100</v>
      </c>
      <c r="P9" s="74">
        <v>100</v>
      </c>
      <c r="Q9" s="74">
        <v>100</v>
      </c>
      <c r="R9" s="74">
        <v>100</v>
      </c>
      <c r="S9" s="74">
        <v>100</v>
      </c>
      <c r="T9" s="74">
        <v>100</v>
      </c>
      <c r="U9" s="74">
        <v>100</v>
      </c>
      <c r="V9" s="74"/>
      <c r="W9" s="74"/>
      <c r="X9" s="74"/>
      <c r="Y9" s="74"/>
      <c r="Z9" s="74"/>
    </row>
    <row r="10" spans="1:26">
      <c r="A10" s="74"/>
      <c r="B10" s="74" t="b">
        <f t="shared" si="0"/>
        <v>1</v>
      </c>
      <c r="C10" s="77">
        <v>4178146</v>
      </c>
      <c r="D10" s="74">
        <v>4178146</v>
      </c>
      <c r="E10" s="79" t="s">
        <v>704</v>
      </c>
      <c r="F10" s="74" t="s">
        <v>25</v>
      </c>
      <c r="G10" s="74"/>
      <c r="H10" s="74"/>
      <c r="I10" s="76">
        <v>179</v>
      </c>
      <c r="J10" s="74">
        <v>200</v>
      </c>
      <c r="K10" s="74">
        <v>100</v>
      </c>
      <c r="L10" s="74">
        <v>100</v>
      </c>
      <c r="M10" s="74">
        <v>100</v>
      </c>
      <c r="N10" s="74">
        <v>100</v>
      </c>
      <c r="O10" s="74">
        <v>100</v>
      </c>
      <c r="P10" s="74">
        <v>100</v>
      </c>
      <c r="Q10" s="74">
        <v>100</v>
      </c>
      <c r="R10" s="74">
        <v>100</v>
      </c>
      <c r="S10" s="74">
        <v>388</v>
      </c>
      <c r="T10" s="74">
        <v>100</v>
      </c>
      <c r="U10" s="74">
        <v>100</v>
      </c>
      <c r="V10" s="74"/>
      <c r="W10" s="74"/>
      <c r="X10" s="74"/>
      <c r="Y10" s="74"/>
      <c r="Z10" s="74"/>
    </row>
    <row r="11" spans="1:26">
      <c r="A11" s="74"/>
      <c r="B11" s="74" t="b">
        <f t="shared" si="0"/>
        <v>1</v>
      </c>
      <c r="C11" s="77">
        <v>26025</v>
      </c>
      <c r="D11" s="74">
        <v>26025</v>
      </c>
      <c r="E11" s="79" t="s">
        <v>704</v>
      </c>
      <c r="F11" s="74" t="s">
        <v>25</v>
      </c>
      <c r="G11" s="74"/>
      <c r="H11" s="74"/>
      <c r="I11" s="76">
        <v>667</v>
      </c>
      <c r="J11" s="74">
        <v>620</v>
      </c>
      <c r="K11" s="74">
        <v>594</v>
      </c>
      <c r="L11" s="74">
        <v>485</v>
      </c>
      <c r="M11" s="74">
        <v>417</v>
      </c>
      <c r="N11" s="74">
        <v>404</v>
      </c>
      <c r="O11" s="74">
        <v>458</v>
      </c>
      <c r="P11" s="74">
        <v>596</v>
      </c>
      <c r="Q11" s="74">
        <v>655</v>
      </c>
      <c r="R11" s="74">
        <v>613</v>
      </c>
      <c r="S11" s="74">
        <v>581</v>
      </c>
      <c r="T11" s="74">
        <v>901</v>
      </c>
      <c r="U11" s="74">
        <v>742</v>
      </c>
      <c r="V11" s="74"/>
      <c r="W11" s="74"/>
      <c r="X11" s="74"/>
      <c r="Y11" s="74"/>
      <c r="Z11" s="74"/>
    </row>
    <row r="12" spans="1:26">
      <c r="A12" s="74"/>
      <c r="B12" s="74" t="b">
        <f t="shared" si="0"/>
        <v>1</v>
      </c>
      <c r="C12" s="77">
        <v>10250</v>
      </c>
      <c r="D12" s="74">
        <v>10250</v>
      </c>
      <c r="E12" s="79" t="s">
        <v>704</v>
      </c>
      <c r="F12" s="74" t="s">
        <v>25</v>
      </c>
      <c r="G12" s="74"/>
      <c r="H12" s="74"/>
      <c r="I12" s="76">
        <v>3298</v>
      </c>
      <c r="J12" s="74">
        <v>3461</v>
      </c>
      <c r="K12" s="74">
        <v>2406</v>
      </c>
      <c r="L12" s="74">
        <v>2888</v>
      </c>
      <c r="M12" s="74">
        <v>2557</v>
      </c>
      <c r="N12" s="74">
        <v>3002</v>
      </c>
      <c r="O12" s="74">
        <v>2668</v>
      </c>
      <c r="P12" s="74">
        <v>2102</v>
      </c>
      <c r="Q12" s="74">
        <v>2569</v>
      </c>
      <c r="R12" s="74">
        <v>2649</v>
      </c>
      <c r="S12" s="74">
        <v>2766</v>
      </c>
      <c r="T12" s="74">
        <v>2985</v>
      </c>
      <c r="U12" s="74">
        <v>3251</v>
      </c>
      <c r="V12" s="74"/>
      <c r="W12" s="74"/>
      <c r="X12" s="74"/>
      <c r="Y12" s="74"/>
      <c r="Z12" s="74"/>
    </row>
    <row r="13" spans="1:26">
      <c r="A13" s="74"/>
      <c r="B13" s="74" t="b">
        <f t="shared" si="0"/>
        <v>1</v>
      </c>
      <c r="C13" s="77">
        <v>8381632</v>
      </c>
      <c r="D13" s="74">
        <v>8381632</v>
      </c>
      <c r="E13" s="79" t="s">
        <v>732</v>
      </c>
      <c r="F13" s="74" t="s">
        <v>25</v>
      </c>
      <c r="G13" s="74"/>
      <c r="H13" s="74"/>
      <c r="I13" s="76">
        <v>830</v>
      </c>
      <c r="J13" s="74">
        <v>1071</v>
      </c>
      <c r="K13" s="74">
        <v>303</v>
      </c>
      <c r="L13" s="74">
        <v>892</v>
      </c>
      <c r="M13" s="74">
        <v>730</v>
      </c>
      <c r="N13" s="74">
        <v>641</v>
      </c>
      <c r="O13" s="74">
        <v>565</v>
      </c>
      <c r="P13" s="74">
        <v>381</v>
      </c>
      <c r="Q13" s="74">
        <v>627</v>
      </c>
      <c r="R13" s="74">
        <v>705</v>
      </c>
      <c r="S13" s="74">
        <v>1027</v>
      </c>
      <c r="T13" s="74">
        <v>1200</v>
      </c>
      <c r="U13" s="74">
        <v>1058</v>
      </c>
      <c r="V13" s="74"/>
      <c r="W13" s="74"/>
      <c r="X13" s="74"/>
      <c r="Y13" s="74"/>
      <c r="Z13" s="74"/>
    </row>
    <row r="14" spans="1:26">
      <c r="A14" s="74"/>
      <c r="B14" s="74" t="b">
        <f t="shared" si="0"/>
        <v>1</v>
      </c>
      <c r="C14" s="77">
        <v>7881552</v>
      </c>
      <c r="D14" s="74">
        <v>7881552</v>
      </c>
      <c r="E14" s="79" t="s">
        <v>704</v>
      </c>
      <c r="F14" s="74" t="s">
        <v>25</v>
      </c>
      <c r="G14" s="74"/>
      <c r="H14" s="74"/>
      <c r="I14" s="76">
        <v>1053</v>
      </c>
      <c r="J14" s="74">
        <v>1095</v>
      </c>
      <c r="K14" s="74">
        <v>727</v>
      </c>
      <c r="L14" s="74">
        <v>827</v>
      </c>
      <c r="M14" s="74">
        <v>691</v>
      </c>
      <c r="N14" s="74">
        <v>569</v>
      </c>
      <c r="O14" s="74">
        <v>540</v>
      </c>
      <c r="P14" s="74">
        <v>433</v>
      </c>
      <c r="Q14" s="74">
        <v>596</v>
      </c>
      <c r="R14" s="74">
        <v>716</v>
      </c>
      <c r="S14" s="74">
        <v>1055</v>
      </c>
      <c r="T14" s="74">
        <v>1094</v>
      </c>
      <c r="U14" s="74">
        <v>958</v>
      </c>
      <c r="V14" s="74"/>
      <c r="W14" s="74"/>
      <c r="X14" s="74"/>
      <c r="Y14" s="74"/>
      <c r="Z14" s="74"/>
    </row>
    <row r="15" spans="1:26">
      <c r="A15" s="74"/>
      <c r="B15" s="74" t="b">
        <f t="shared" si="0"/>
        <v>1</v>
      </c>
      <c r="C15" s="77">
        <v>4755270</v>
      </c>
      <c r="D15" s="74">
        <v>4755270</v>
      </c>
      <c r="E15" s="79" t="s">
        <v>700</v>
      </c>
      <c r="F15" s="74" t="s">
        <v>25</v>
      </c>
      <c r="G15" s="74"/>
      <c r="H15" s="74"/>
      <c r="I15" s="76">
        <v>78</v>
      </c>
      <c r="J15" s="74">
        <v>82</v>
      </c>
      <c r="K15" s="74">
        <v>49</v>
      </c>
      <c r="L15" s="74">
        <v>37</v>
      </c>
      <c r="M15" s="74">
        <v>30</v>
      </c>
      <c r="N15" s="74">
        <v>74</v>
      </c>
      <c r="O15" s="74">
        <v>60</v>
      </c>
      <c r="P15" s="74">
        <v>63</v>
      </c>
      <c r="Q15" s="74">
        <v>74</v>
      </c>
      <c r="R15" s="74">
        <v>62</v>
      </c>
      <c r="S15" s="74">
        <v>31</v>
      </c>
      <c r="T15" s="74">
        <v>30</v>
      </c>
      <c r="U15" s="74">
        <v>122</v>
      </c>
      <c r="V15" s="74"/>
      <c r="W15" s="74"/>
      <c r="X15" s="74"/>
      <c r="Y15" s="74"/>
      <c r="Z15" s="74"/>
    </row>
    <row r="16" spans="1:26">
      <c r="A16" s="74"/>
      <c r="B16" s="74" t="b">
        <f t="shared" si="0"/>
        <v>1</v>
      </c>
      <c r="C16" s="77">
        <v>1008978</v>
      </c>
      <c r="D16" s="74">
        <v>1008978</v>
      </c>
      <c r="E16" s="79" t="s">
        <v>704</v>
      </c>
      <c r="F16" s="74" t="s">
        <v>25</v>
      </c>
      <c r="G16" s="74"/>
      <c r="H16" s="74"/>
      <c r="I16" s="76">
        <v>1955</v>
      </c>
      <c r="J16" s="74">
        <v>1270</v>
      </c>
      <c r="K16" s="74">
        <v>2026</v>
      </c>
      <c r="L16" s="74">
        <v>1507</v>
      </c>
      <c r="M16" s="74">
        <v>1558</v>
      </c>
      <c r="N16" s="74">
        <v>1160</v>
      </c>
      <c r="O16" s="74">
        <v>1213</v>
      </c>
      <c r="P16" s="74">
        <v>932</v>
      </c>
      <c r="Q16" s="74">
        <v>1495</v>
      </c>
      <c r="R16" s="74">
        <v>1809</v>
      </c>
      <c r="S16" s="74">
        <v>1700</v>
      </c>
      <c r="T16" s="74">
        <v>1630</v>
      </c>
      <c r="U16" s="74">
        <v>1110</v>
      </c>
      <c r="V16" s="74"/>
      <c r="W16" s="74"/>
      <c r="X16" s="74"/>
      <c r="Y16" s="74"/>
      <c r="Z16" s="74"/>
    </row>
    <row r="17" spans="1:26">
      <c r="A17" s="74"/>
      <c r="B17" s="74" t="b">
        <f t="shared" si="0"/>
        <v>1</v>
      </c>
      <c r="C17" s="77">
        <v>1099797</v>
      </c>
      <c r="D17" s="74">
        <v>1099797</v>
      </c>
      <c r="E17" s="79" t="s">
        <v>704</v>
      </c>
      <c r="F17" s="74" t="s">
        <v>25</v>
      </c>
      <c r="G17" s="74"/>
      <c r="H17" s="74"/>
      <c r="I17" s="76">
        <v>360</v>
      </c>
      <c r="J17" s="74">
        <v>700</v>
      </c>
      <c r="K17" s="74">
        <v>580</v>
      </c>
      <c r="L17" s="74">
        <v>710</v>
      </c>
      <c r="M17" s="74">
        <v>560</v>
      </c>
      <c r="N17" s="74">
        <v>590</v>
      </c>
      <c r="O17" s="74">
        <v>350</v>
      </c>
      <c r="P17" s="74">
        <v>370</v>
      </c>
      <c r="Q17" s="74">
        <v>420</v>
      </c>
      <c r="R17" s="74">
        <v>500</v>
      </c>
      <c r="S17" s="74">
        <v>520</v>
      </c>
      <c r="T17" s="74">
        <v>730</v>
      </c>
      <c r="U17" s="74">
        <v>830</v>
      </c>
      <c r="V17" s="74"/>
      <c r="W17" s="74"/>
      <c r="X17" s="74"/>
      <c r="Y17" s="74"/>
      <c r="Z17" s="74"/>
    </row>
    <row r="18" spans="1:26">
      <c r="A18" s="74"/>
      <c r="B18" s="74" t="b">
        <f t="shared" si="0"/>
        <v>1</v>
      </c>
      <c r="C18" s="77">
        <v>2421064</v>
      </c>
      <c r="D18" s="74">
        <v>2421064</v>
      </c>
      <c r="E18" s="79" t="s">
        <v>700</v>
      </c>
      <c r="F18" s="74" t="s">
        <v>25</v>
      </c>
      <c r="G18" s="74"/>
      <c r="H18" s="74"/>
      <c r="I18" s="76">
        <v>30</v>
      </c>
      <c r="J18" s="74">
        <v>30</v>
      </c>
      <c r="K18" s="74">
        <v>30</v>
      </c>
      <c r="L18" s="74">
        <v>30</v>
      </c>
      <c r="M18" s="74">
        <v>30</v>
      </c>
      <c r="N18" s="74">
        <v>30</v>
      </c>
      <c r="O18" s="74">
        <v>30</v>
      </c>
      <c r="P18" s="74">
        <v>30</v>
      </c>
      <c r="Q18" s="74">
        <v>30</v>
      </c>
      <c r="R18" s="74">
        <v>30</v>
      </c>
      <c r="S18" s="74">
        <v>30</v>
      </c>
      <c r="T18" s="74">
        <v>30</v>
      </c>
      <c r="U18" s="74">
        <v>30</v>
      </c>
      <c r="V18" s="74"/>
      <c r="W18" s="74"/>
      <c r="X18" s="74"/>
      <c r="Y18" s="74"/>
      <c r="Z18" s="74"/>
    </row>
    <row r="19" spans="1:26">
      <c r="A19" s="74"/>
      <c r="B19" s="74" t="b">
        <f t="shared" si="0"/>
        <v>1</v>
      </c>
      <c r="C19" s="77">
        <v>26027</v>
      </c>
      <c r="D19" s="74">
        <v>26027</v>
      </c>
      <c r="E19" s="79" t="s">
        <v>704</v>
      </c>
      <c r="F19" s="74" t="s">
        <v>25</v>
      </c>
      <c r="G19" s="74"/>
      <c r="H19" s="74"/>
      <c r="I19" s="76">
        <v>1018</v>
      </c>
      <c r="J19" s="74">
        <v>1025</v>
      </c>
      <c r="K19" s="74">
        <v>1022</v>
      </c>
      <c r="L19" s="74">
        <v>1032</v>
      </c>
      <c r="M19" s="74">
        <v>1056</v>
      </c>
      <c r="N19" s="74">
        <v>1041</v>
      </c>
      <c r="O19" s="74">
        <v>1029</v>
      </c>
      <c r="P19" s="74">
        <v>1005</v>
      </c>
      <c r="Q19" s="74">
        <v>974</v>
      </c>
      <c r="R19" s="74">
        <v>937</v>
      </c>
      <c r="S19" s="74">
        <v>914</v>
      </c>
      <c r="T19" s="74">
        <v>1165</v>
      </c>
      <c r="U19" s="74">
        <v>1102</v>
      </c>
      <c r="V19" s="74"/>
      <c r="W19" s="74"/>
      <c r="X19" s="74"/>
      <c r="Y19" s="74"/>
      <c r="Z19" s="74"/>
    </row>
    <row r="20" spans="1:26">
      <c r="A20" s="74"/>
      <c r="B20" s="74" t="b">
        <f t="shared" si="0"/>
        <v>1</v>
      </c>
      <c r="C20" s="77">
        <v>514773</v>
      </c>
      <c r="D20" s="74">
        <v>514773</v>
      </c>
      <c r="E20" s="79" t="s">
        <v>700</v>
      </c>
      <c r="F20" s="74" t="s">
        <v>25</v>
      </c>
      <c r="G20" s="74"/>
      <c r="H20" s="74"/>
      <c r="I20" s="76">
        <v>146</v>
      </c>
      <c r="J20" s="74">
        <v>113</v>
      </c>
      <c r="K20" s="74">
        <v>102</v>
      </c>
      <c r="L20" s="74">
        <v>96</v>
      </c>
      <c r="M20" s="74">
        <v>103</v>
      </c>
      <c r="N20" s="74">
        <v>104</v>
      </c>
      <c r="O20" s="74">
        <v>131</v>
      </c>
      <c r="P20" s="74">
        <v>115</v>
      </c>
      <c r="Q20" s="74">
        <v>160</v>
      </c>
      <c r="R20" s="74">
        <v>141</v>
      </c>
      <c r="S20" s="74">
        <v>152</v>
      </c>
      <c r="T20" s="74">
        <v>62</v>
      </c>
      <c r="U20" s="74">
        <v>30</v>
      </c>
      <c r="V20" s="74"/>
      <c r="W20" s="74"/>
      <c r="X20" s="74"/>
      <c r="Y20" s="74"/>
      <c r="Z20" s="74"/>
    </row>
    <row r="21" spans="1:26" ht="15.75" customHeight="1">
      <c r="A21" s="74"/>
      <c r="B21" s="74" t="b">
        <f t="shared" si="0"/>
        <v>1</v>
      </c>
      <c r="C21" s="77">
        <v>25798</v>
      </c>
      <c r="D21" s="74">
        <v>25798</v>
      </c>
      <c r="E21" s="79" t="s">
        <v>704</v>
      </c>
      <c r="F21" s="74" t="s">
        <v>25</v>
      </c>
      <c r="G21" s="74"/>
      <c r="H21" s="74"/>
      <c r="I21" s="76">
        <v>2967</v>
      </c>
      <c r="J21" s="74">
        <v>2875</v>
      </c>
      <c r="K21" s="74">
        <v>2658</v>
      </c>
      <c r="L21" s="74">
        <v>2382</v>
      </c>
      <c r="M21" s="74">
        <v>2601</v>
      </c>
      <c r="N21" s="74">
        <v>2320</v>
      </c>
      <c r="O21" s="74">
        <v>2034</v>
      </c>
      <c r="P21" s="74">
        <v>1813</v>
      </c>
      <c r="Q21" s="74">
        <v>2058</v>
      </c>
      <c r="R21" s="74">
        <v>599</v>
      </c>
      <c r="S21" s="74">
        <v>1721</v>
      </c>
      <c r="T21" s="74">
        <v>1747</v>
      </c>
      <c r="U21" s="74">
        <v>1831</v>
      </c>
      <c r="V21" s="77"/>
      <c r="W21" s="74"/>
      <c r="X21" s="74"/>
      <c r="Y21" s="74"/>
      <c r="Z21" s="74"/>
    </row>
    <row r="22" spans="1:26" ht="15.75" customHeight="1">
      <c r="A22" s="74"/>
      <c r="B22" s="74" t="b">
        <f t="shared" si="0"/>
        <v>1</v>
      </c>
      <c r="C22" s="77">
        <v>2800547</v>
      </c>
      <c r="D22" s="74">
        <v>2800547</v>
      </c>
      <c r="E22" s="79" t="s">
        <v>704</v>
      </c>
      <c r="F22" s="74" t="s">
        <v>25</v>
      </c>
      <c r="G22" s="74"/>
      <c r="H22" s="74"/>
      <c r="I22" s="76">
        <v>1959</v>
      </c>
      <c r="J22" s="74">
        <v>262</v>
      </c>
      <c r="K22" s="74">
        <v>3469</v>
      </c>
      <c r="L22" s="74">
        <v>5418</v>
      </c>
      <c r="M22" s="74">
        <v>5302</v>
      </c>
      <c r="N22" s="74">
        <v>5491</v>
      </c>
      <c r="O22" s="74">
        <v>4511</v>
      </c>
      <c r="P22" s="74">
        <v>5271</v>
      </c>
      <c r="Q22" s="74">
        <v>4952</v>
      </c>
      <c r="R22" s="74">
        <v>5666</v>
      </c>
      <c r="S22" s="74">
        <v>4926</v>
      </c>
      <c r="T22" s="74">
        <v>5648</v>
      </c>
      <c r="U22" s="74">
        <v>5116</v>
      </c>
      <c r="V22" s="77"/>
      <c r="W22" s="74"/>
      <c r="X22" s="74"/>
      <c r="Y22" s="74"/>
      <c r="Z22" s="74"/>
    </row>
    <row r="23" spans="1:26" ht="15.75" customHeight="1">
      <c r="A23" s="74"/>
      <c r="B23" s="74" t="b">
        <f t="shared" si="0"/>
        <v>1</v>
      </c>
      <c r="C23" s="77">
        <v>8017527</v>
      </c>
      <c r="D23" s="74">
        <v>8017527</v>
      </c>
      <c r="E23" s="79" t="s">
        <v>732</v>
      </c>
      <c r="F23" s="74" t="s">
        <v>25</v>
      </c>
      <c r="G23" s="74"/>
      <c r="H23" s="74"/>
      <c r="I23" s="76">
        <v>1856</v>
      </c>
      <c r="J23" s="74">
        <v>1906</v>
      </c>
      <c r="K23" s="74">
        <v>1809</v>
      </c>
      <c r="L23" s="74">
        <v>1487</v>
      </c>
      <c r="M23" s="74">
        <v>1404</v>
      </c>
      <c r="N23" s="74">
        <v>1226</v>
      </c>
      <c r="O23" s="74">
        <v>934</v>
      </c>
      <c r="P23" s="74">
        <v>907</v>
      </c>
      <c r="Q23" s="74">
        <v>1022</v>
      </c>
      <c r="R23" s="74">
        <v>1392</v>
      </c>
      <c r="S23" s="74">
        <v>1728</v>
      </c>
      <c r="T23" s="74">
        <v>2015</v>
      </c>
      <c r="U23" s="74">
        <v>1728</v>
      </c>
      <c r="V23" s="77"/>
      <c r="W23" s="74"/>
      <c r="X23" s="74"/>
      <c r="Y23" s="74"/>
      <c r="Z23" s="74"/>
    </row>
    <row r="24" spans="1:26" ht="15.75" customHeight="1">
      <c r="A24" s="74"/>
      <c r="B24" s="74" t="b">
        <f t="shared" si="0"/>
        <v>1</v>
      </c>
      <c r="C24" s="77">
        <v>8108945</v>
      </c>
      <c r="D24" s="74">
        <v>8108945</v>
      </c>
      <c r="E24" s="79" t="s">
        <v>732</v>
      </c>
      <c r="F24" s="74" t="s">
        <v>25</v>
      </c>
      <c r="G24" s="74"/>
      <c r="H24" s="74"/>
      <c r="I24" s="76">
        <v>50</v>
      </c>
      <c r="J24" s="74">
        <v>50</v>
      </c>
      <c r="K24" s="74">
        <v>50</v>
      </c>
      <c r="L24" s="74">
        <v>50</v>
      </c>
      <c r="M24" s="74">
        <v>50</v>
      </c>
      <c r="N24" s="74">
        <v>50</v>
      </c>
      <c r="O24" s="74">
        <v>50</v>
      </c>
      <c r="P24" s="74">
        <v>50</v>
      </c>
      <c r="Q24" s="74">
        <v>50</v>
      </c>
      <c r="R24" s="74">
        <v>50</v>
      </c>
      <c r="S24" s="74">
        <v>50</v>
      </c>
      <c r="T24" s="74">
        <v>50</v>
      </c>
      <c r="U24" s="74">
        <v>50</v>
      </c>
      <c r="V24" s="77"/>
      <c r="W24" s="74"/>
      <c r="X24" s="74"/>
      <c r="Y24" s="74"/>
      <c r="Z24" s="74"/>
    </row>
    <row r="25" spans="1:26" ht="15.75" customHeight="1">
      <c r="A25" s="74"/>
      <c r="B25" s="74" t="b">
        <f t="shared" si="0"/>
        <v>1</v>
      </c>
      <c r="C25" s="77">
        <v>7806959</v>
      </c>
      <c r="D25" s="74">
        <v>7806959</v>
      </c>
      <c r="E25" s="79" t="s">
        <v>704</v>
      </c>
      <c r="F25" s="74" t="s">
        <v>25</v>
      </c>
      <c r="G25" s="74"/>
      <c r="H25" s="74"/>
      <c r="I25" s="76">
        <v>5162</v>
      </c>
      <c r="J25" s="74">
        <v>5476</v>
      </c>
      <c r="K25" s="74">
        <v>5781</v>
      </c>
      <c r="L25" s="74">
        <v>5570</v>
      </c>
      <c r="M25" s="74">
        <v>5625</v>
      </c>
      <c r="N25" s="74">
        <v>6226</v>
      </c>
      <c r="O25" s="74">
        <v>6709</v>
      </c>
      <c r="P25" s="74">
        <v>3816</v>
      </c>
      <c r="Q25" s="74">
        <v>3850</v>
      </c>
      <c r="R25" s="74">
        <v>2713</v>
      </c>
      <c r="S25" s="74">
        <v>2609</v>
      </c>
      <c r="T25" s="74">
        <v>4063</v>
      </c>
      <c r="U25" s="74">
        <v>3331</v>
      </c>
      <c r="V25" s="77"/>
      <c r="W25" s="74"/>
      <c r="X25" s="74"/>
      <c r="Y25" s="74"/>
      <c r="Z25" s="74"/>
    </row>
    <row r="26" spans="1:26" ht="15.75" customHeight="1">
      <c r="A26" s="74"/>
      <c r="B26" s="74" t="b">
        <f t="shared" si="0"/>
        <v>1</v>
      </c>
      <c r="C26" s="77">
        <v>3906035</v>
      </c>
      <c r="D26" s="74">
        <v>3906035</v>
      </c>
      <c r="E26" s="79" t="s">
        <v>704</v>
      </c>
      <c r="F26" s="74" t="s">
        <v>2076</v>
      </c>
      <c r="G26" s="74"/>
      <c r="H26" s="74"/>
      <c r="I26" s="76">
        <v>477</v>
      </c>
      <c r="J26" s="74">
        <v>225</v>
      </c>
      <c r="K26" s="74">
        <v>100</v>
      </c>
      <c r="L26" s="74">
        <v>100</v>
      </c>
      <c r="M26" s="74">
        <v>100</v>
      </c>
      <c r="N26" s="74">
        <v>142</v>
      </c>
      <c r="O26" s="74">
        <v>100</v>
      </c>
      <c r="P26" s="74">
        <v>119</v>
      </c>
      <c r="Q26" s="74">
        <v>100</v>
      </c>
      <c r="R26" s="74">
        <v>100</v>
      </c>
      <c r="S26" s="74">
        <v>100</v>
      </c>
      <c r="T26" s="74">
        <v>100</v>
      </c>
      <c r="U26" s="74">
        <v>100</v>
      </c>
      <c r="V26" s="77"/>
      <c r="W26" s="74"/>
      <c r="X26" s="74"/>
      <c r="Y26" s="74"/>
      <c r="Z26" s="74"/>
    </row>
    <row r="27" spans="1:26" ht="15.75" customHeight="1">
      <c r="A27" s="74"/>
      <c r="B27" s="74" t="b">
        <f t="shared" si="0"/>
        <v>1</v>
      </c>
      <c r="C27" s="77">
        <v>7585039</v>
      </c>
      <c r="D27" s="74">
        <v>7585039</v>
      </c>
      <c r="E27" s="79" t="s">
        <v>704</v>
      </c>
      <c r="F27" s="74" t="s">
        <v>25</v>
      </c>
      <c r="G27" s="74"/>
      <c r="H27" s="74"/>
      <c r="I27" s="76">
        <v>610</v>
      </c>
      <c r="J27" s="74">
        <v>770</v>
      </c>
      <c r="K27" s="74">
        <v>470</v>
      </c>
      <c r="L27" s="74">
        <v>520</v>
      </c>
      <c r="M27" s="74">
        <v>490</v>
      </c>
      <c r="N27" s="74">
        <v>440</v>
      </c>
      <c r="O27" s="74">
        <v>430</v>
      </c>
      <c r="P27" s="74">
        <v>380</v>
      </c>
      <c r="Q27" s="74">
        <v>430</v>
      </c>
      <c r="R27" s="74">
        <v>560</v>
      </c>
      <c r="S27" s="74">
        <v>680</v>
      </c>
      <c r="T27" s="74">
        <v>720</v>
      </c>
      <c r="U27" s="74">
        <v>610</v>
      </c>
      <c r="V27" s="77"/>
      <c r="W27" s="74"/>
      <c r="X27" s="74"/>
      <c r="Y27" s="74"/>
      <c r="Z27" s="74"/>
    </row>
    <row r="28" spans="1:26" ht="15.75" customHeight="1">
      <c r="A28" s="74"/>
      <c r="B28" s="74" t="b">
        <f t="shared" si="0"/>
        <v>1</v>
      </c>
      <c r="C28" s="77">
        <v>4928035</v>
      </c>
      <c r="D28" s="74">
        <v>4928035</v>
      </c>
      <c r="E28" s="79" t="s">
        <v>704</v>
      </c>
      <c r="F28" s="74" t="s">
        <v>25</v>
      </c>
      <c r="G28" s="74"/>
      <c r="H28" s="74"/>
      <c r="I28" s="76">
        <v>735</v>
      </c>
      <c r="J28" s="74">
        <v>721</v>
      </c>
      <c r="K28" s="74">
        <v>718</v>
      </c>
      <c r="L28" s="74">
        <v>673</v>
      </c>
      <c r="M28" s="74">
        <v>640</v>
      </c>
      <c r="N28" s="74">
        <v>597</v>
      </c>
      <c r="O28" s="74">
        <v>547</v>
      </c>
      <c r="P28" s="74">
        <v>411</v>
      </c>
      <c r="Q28" s="74">
        <v>556</v>
      </c>
      <c r="R28" s="74">
        <v>524</v>
      </c>
      <c r="S28" s="74">
        <v>669</v>
      </c>
      <c r="T28" s="74">
        <v>615</v>
      </c>
      <c r="U28" s="74">
        <v>580</v>
      </c>
      <c r="V28" s="77"/>
      <c r="W28" s="74"/>
      <c r="X28" s="74"/>
      <c r="Y28" s="74"/>
      <c r="Z28" s="74"/>
    </row>
    <row r="29" spans="1:26" ht="15.75" customHeight="1">
      <c r="A29" s="74"/>
      <c r="B29" s="74" t="b">
        <f t="shared" si="0"/>
        <v>1</v>
      </c>
      <c r="C29" s="77">
        <v>7881519</v>
      </c>
      <c r="D29" s="74">
        <v>7881519</v>
      </c>
      <c r="E29" s="79" t="s">
        <v>732</v>
      </c>
      <c r="F29" s="74" t="s">
        <v>25</v>
      </c>
      <c r="G29" s="74"/>
      <c r="H29" s="74"/>
      <c r="I29" s="76">
        <v>50</v>
      </c>
      <c r="J29" s="74">
        <v>50</v>
      </c>
      <c r="K29" s="74">
        <v>50</v>
      </c>
      <c r="L29" s="74">
        <v>50</v>
      </c>
      <c r="M29" s="74">
        <v>50</v>
      </c>
      <c r="N29" s="74">
        <v>50</v>
      </c>
      <c r="O29" s="74">
        <v>50</v>
      </c>
      <c r="P29" s="74">
        <v>50</v>
      </c>
      <c r="Q29" s="74">
        <v>50</v>
      </c>
      <c r="R29" s="74">
        <v>50</v>
      </c>
      <c r="S29" s="74">
        <v>50</v>
      </c>
      <c r="T29" s="74">
        <v>50</v>
      </c>
      <c r="U29" s="74">
        <v>50</v>
      </c>
      <c r="V29" s="77"/>
      <c r="W29" s="74"/>
      <c r="X29" s="74"/>
      <c r="Y29" s="74"/>
      <c r="Z29" s="74"/>
    </row>
    <row r="30" spans="1:26" ht="15.75" customHeight="1">
      <c r="A30" s="74"/>
      <c r="B30" s="74" t="b">
        <f t="shared" si="0"/>
        <v>1</v>
      </c>
      <c r="C30" s="77">
        <v>921697</v>
      </c>
      <c r="D30" s="74">
        <v>921697</v>
      </c>
      <c r="E30" s="79" t="s">
        <v>704</v>
      </c>
      <c r="F30" s="74" t="s">
        <v>25</v>
      </c>
      <c r="G30" s="74"/>
      <c r="H30" s="74"/>
      <c r="I30" s="76">
        <v>3030</v>
      </c>
      <c r="J30" s="74">
        <v>3490</v>
      </c>
      <c r="K30" s="74">
        <v>2480</v>
      </c>
      <c r="L30" s="74">
        <v>2360</v>
      </c>
      <c r="M30" s="74">
        <v>2310</v>
      </c>
      <c r="N30" s="74">
        <v>2220</v>
      </c>
      <c r="O30" s="74">
        <v>1970</v>
      </c>
      <c r="P30" s="74">
        <v>1240</v>
      </c>
      <c r="Q30" s="74">
        <v>1870</v>
      </c>
      <c r="R30" s="74">
        <v>1910</v>
      </c>
      <c r="S30" s="74">
        <v>3030</v>
      </c>
      <c r="T30" s="74">
        <v>3190</v>
      </c>
      <c r="U30" s="74">
        <v>3150</v>
      </c>
      <c r="V30" s="77"/>
      <c r="W30" s="74"/>
      <c r="X30" s="74"/>
      <c r="Y30" s="74"/>
      <c r="Z30" s="74"/>
    </row>
    <row r="31" spans="1:26" ht="15.75" customHeight="1">
      <c r="A31" s="74"/>
      <c r="B31" s="74" t="b">
        <f t="shared" si="0"/>
        <v>1</v>
      </c>
      <c r="C31" s="77">
        <v>6366350</v>
      </c>
      <c r="D31" s="74">
        <v>6366350</v>
      </c>
      <c r="E31" s="79" t="s">
        <v>732</v>
      </c>
      <c r="F31" s="74" t="s">
        <v>25</v>
      </c>
      <c r="G31" s="74"/>
      <c r="H31" s="74"/>
      <c r="I31" s="76">
        <v>1390</v>
      </c>
      <c r="J31" s="74">
        <v>1410</v>
      </c>
      <c r="K31" s="74">
        <v>1110</v>
      </c>
      <c r="L31" s="74">
        <v>1060</v>
      </c>
      <c r="M31" s="74">
        <v>960</v>
      </c>
      <c r="N31" s="74">
        <v>900</v>
      </c>
      <c r="O31" s="74">
        <v>770</v>
      </c>
      <c r="P31" s="74">
        <v>680</v>
      </c>
      <c r="Q31" s="74">
        <v>740</v>
      </c>
      <c r="R31" s="74">
        <v>780</v>
      </c>
      <c r="S31" s="74">
        <v>1120</v>
      </c>
      <c r="T31" s="74">
        <v>1070</v>
      </c>
      <c r="U31" s="74">
        <v>1050</v>
      </c>
      <c r="V31" s="77"/>
      <c r="W31" s="74"/>
      <c r="X31" s="74"/>
      <c r="Y31" s="74"/>
      <c r="Z31" s="74"/>
    </row>
    <row r="32" spans="1:26" ht="15.75" customHeight="1">
      <c r="A32" s="74"/>
      <c r="B32" s="74" t="b">
        <f t="shared" si="0"/>
        <v>1</v>
      </c>
      <c r="C32" s="77">
        <v>3798301</v>
      </c>
      <c r="D32" s="74">
        <v>3798301</v>
      </c>
      <c r="E32" s="79" t="s">
        <v>704</v>
      </c>
      <c r="F32" s="74" t="s">
        <v>25</v>
      </c>
      <c r="G32" s="74"/>
      <c r="H32" s="74"/>
      <c r="I32" s="76">
        <v>1164</v>
      </c>
      <c r="J32" s="74">
        <v>1124</v>
      </c>
      <c r="K32" s="74">
        <v>637</v>
      </c>
      <c r="L32" s="74">
        <v>818</v>
      </c>
      <c r="M32" s="74">
        <v>691</v>
      </c>
      <c r="N32" s="74">
        <v>674</v>
      </c>
      <c r="O32" s="74">
        <v>543</v>
      </c>
      <c r="P32" s="74">
        <v>418</v>
      </c>
      <c r="Q32" s="74">
        <v>515</v>
      </c>
      <c r="R32" s="74">
        <v>565</v>
      </c>
      <c r="S32" s="74">
        <v>782</v>
      </c>
      <c r="T32" s="74">
        <v>789</v>
      </c>
      <c r="U32" s="74">
        <v>871</v>
      </c>
      <c r="V32" s="77"/>
      <c r="W32" s="74"/>
      <c r="X32" s="74"/>
      <c r="Y32" s="74"/>
      <c r="Z32" s="74"/>
    </row>
    <row r="33" spans="1:26" ht="15.75" customHeight="1">
      <c r="A33" s="74"/>
      <c r="B33" s="74" t="b">
        <f t="shared" si="0"/>
        <v>1</v>
      </c>
      <c r="C33" s="77">
        <v>26208</v>
      </c>
      <c r="D33" s="74">
        <v>26208</v>
      </c>
      <c r="E33" s="79" t="s">
        <v>704</v>
      </c>
      <c r="F33" s="74" t="s">
        <v>25</v>
      </c>
      <c r="G33" s="74"/>
      <c r="H33" s="74"/>
      <c r="I33" s="76">
        <v>1005</v>
      </c>
      <c r="J33" s="74">
        <v>1308</v>
      </c>
      <c r="K33" s="74">
        <v>1035</v>
      </c>
      <c r="L33" s="74">
        <v>988</v>
      </c>
      <c r="M33" s="74">
        <v>1078</v>
      </c>
      <c r="N33" s="74">
        <v>979</v>
      </c>
      <c r="O33" s="74">
        <v>847</v>
      </c>
      <c r="P33" s="74">
        <v>703</v>
      </c>
      <c r="Q33" s="74">
        <v>912</v>
      </c>
      <c r="R33" s="74">
        <v>934</v>
      </c>
      <c r="S33" s="74">
        <v>954</v>
      </c>
      <c r="T33" s="74">
        <v>1025</v>
      </c>
      <c r="U33" s="74">
        <v>978</v>
      </c>
      <c r="V33" s="77"/>
      <c r="W33" s="74"/>
      <c r="X33" s="74"/>
      <c r="Y33" s="74"/>
      <c r="Z33" s="74"/>
    </row>
    <row r="34" spans="1:26" ht="15.75" customHeight="1">
      <c r="A34" s="74"/>
      <c r="B34" s="74" t="b">
        <f t="shared" si="0"/>
        <v>1</v>
      </c>
      <c r="C34" s="77">
        <v>3708816</v>
      </c>
      <c r="D34" s="74">
        <v>3708816</v>
      </c>
      <c r="E34" s="79" t="s">
        <v>732</v>
      </c>
      <c r="F34" s="74" t="s">
        <v>25</v>
      </c>
      <c r="G34" s="74"/>
      <c r="H34" s="74"/>
      <c r="I34" s="76">
        <v>924</v>
      </c>
      <c r="J34" s="74">
        <v>739</v>
      </c>
      <c r="K34" s="74">
        <v>674</v>
      </c>
      <c r="L34" s="74">
        <v>597</v>
      </c>
      <c r="M34" s="74">
        <v>589</v>
      </c>
      <c r="N34" s="74">
        <v>525</v>
      </c>
      <c r="O34" s="74">
        <v>380</v>
      </c>
      <c r="P34" s="74">
        <v>342</v>
      </c>
      <c r="Q34" s="74">
        <v>359</v>
      </c>
      <c r="R34" s="74">
        <v>444</v>
      </c>
      <c r="S34" s="74">
        <v>670</v>
      </c>
      <c r="T34" s="74">
        <v>650</v>
      </c>
      <c r="U34" s="74">
        <v>545</v>
      </c>
      <c r="V34" s="77"/>
      <c r="W34" s="74"/>
      <c r="X34" s="74"/>
      <c r="Y34" s="74"/>
      <c r="Z34" s="74"/>
    </row>
    <row r="35" spans="1:26" ht="15.75" customHeight="1">
      <c r="A35" s="74"/>
      <c r="B35" s="74" t="b">
        <f t="shared" si="0"/>
        <v>1</v>
      </c>
      <c r="C35" s="77">
        <v>7881505</v>
      </c>
      <c r="D35" s="74">
        <v>7881505</v>
      </c>
      <c r="E35" s="79" t="s">
        <v>700</v>
      </c>
      <c r="F35" s="74" t="s">
        <v>25</v>
      </c>
      <c r="G35" s="74"/>
      <c r="H35" s="74"/>
      <c r="I35" s="76">
        <v>372</v>
      </c>
      <c r="J35" s="74">
        <v>310</v>
      </c>
      <c r="K35" s="74">
        <v>351</v>
      </c>
      <c r="L35" s="74">
        <v>311</v>
      </c>
      <c r="M35" s="74">
        <v>309</v>
      </c>
      <c r="N35" s="74">
        <v>304</v>
      </c>
      <c r="O35" s="74">
        <v>275</v>
      </c>
      <c r="P35" s="74">
        <v>181</v>
      </c>
      <c r="Q35" s="74">
        <v>213</v>
      </c>
      <c r="R35" s="74">
        <v>218</v>
      </c>
      <c r="S35" s="74">
        <v>287</v>
      </c>
      <c r="T35" s="74">
        <v>304</v>
      </c>
      <c r="U35" s="74">
        <v>329</v>
      </c>
      <c r="V35" s="77"/>
      <c r="W35" s="74"/>
      <c r="X35" s="74"/>
      <c r="Y35" s="74"/>
      <c r="Z35" s="74"/>
    </row>
    <row r="36" spans="1:26" ht="15.75" customHeight="1">
      <c r="A36" s="74"/>
      <c r="B36" s="74" t="b">
        <f t="shared" si="0"/>
        <v>1</v>
      </c>
      <c r="C36" s="77">
        <v>7881509</v>
      </c>
      <c r="D36" s="74">
        <v>7881509</v>
      </c>
      <c r="E36" s="79" t="s">
        <v>732</v>
      </c>
      <c r="F36" s="74" t="s">
        <v>25</v>
      </c>
      <c r="G36" s="74"/>
      <c r="H36" s="74"/>
      <c r="I36" s="76">
        <v>631</v>
      </c>
      <c r="J36" s="74">
        <v>518</v>
      </c>
      <c r="K36" s="74">
        <v>563</v>
      </c>
      <c r="L36" s="74">
        <v>468</v>
      </c>
      <c r="M36" s="74">
        <v>472</v>
      </c>
      <c r="N36" s="74">
        <v>436</v>
      </c>
      <c r="O36" s="74">
        <v>436</v>
      </c>
      <c r="P36" s="74">
        <v>343</v>
      </c>
      <c r="Q36" s="74">
        <v>419</v>
      </c>
      <c r="R36" s="74">
        <v>455</v>
      </c>
      <c r="S36" s="74">
        <v>517</v>
      </c>
      <c r="T36" s="74">
        <v>544</v>
      </c>
      <c r="U36" s="74">
        <v>574</v>
      </c>
      <c r="V36" s="77"/>
      <c r="W36" s="74"/>
      <c r="X36" s="74"/>
      <c r="Y36" s="74"/>
      <c r="Z36" s="74"/>
    </row>
    <row r="37" spans="1:26" ht="15.75" customHeight="1">
      <c r="A37" s="74"/>
      <c r="B37" s="74" t="b">
        <f t="shared" si="0"/>
        <v>1</v>
      </c>
      <c r="C37" s="77">
        <v>7875519</v>
      </c>
      <c r="D37" s="74">
        <v>7875519</v>
      </c>
      <c r="E37" s="79" t="s">
        <v>704</v>
      </c>
      <c r="F37" s="74" t="s">
        <v>25</v>
      </c>
      <c r="G37" s="74"/>
      <c r="H37" s="74"/>
      <c r="I37" s="76">
        <v>6994</v>
      </c>
      <c r="J37" s="74">
        <v>7112</v>
      </c>
      <c r="K37" s="74">
        <v>5027</v>
      </c>
      <c r="L37" s="74">
        <v>5106</v>
      </c>
      <c r="M37" s="74">
        <v>4698</v>
      </c>
      <c r="N37" s="74">
        <v>4157</v>
      </c>
      <c r="O37" s="74">
        <v>3924</v>
      </c>
      <c r="P37" s="74">
        <v>2591</v>
      </c>
      <c r="Q37" s="74">
        <v>3738</v>
      </c>
      <c r="R37" s="74">
        <v>3804</v>
      </c>
      <c r="S37" s="74">
        <v>5409</v>
      </c>
      <c r="T37" s="74">
        <v>5386</v>
      </c>
      <c r="U37" s="74">
        <v>4994</v>
      </c>
      <c r="V37" s="77"/>
      <c r="W37" s="74"/>
      <c r="X37" s="74"/>
      <c r="Y37" s="74"/>
      <c r="Z37" s="74"/>
    </row>
    <row r="38" spans="1:26" ht="15.75" customHeight="1">
      <c r="A38" s="74"/>
      <c r="B38" s="74" t="b">
        <f t="shared" si="0"/>
        <v>1</v>
      </c>
      <c r="C38" s="77">
        <v>6028837</v>
      </c>
      <c r="D38" s="74">
        <v>6028837</v>
      </c>
      <c r="E38" s="79" t="s">
        <v>732</v>
      </c>
      <c r="F38" s="74" t="s">
        <v>25</v>
      </c>
      <c r="G38" s="74"/>
      <c r="H38" s="74"/>
      <c r="I38" s="76">
        <v>262</v>
      </c>
      <c r="J38" s="74">
        <v>50</v>
      </c>
      <c r="K38" s="74">
        <v>255</v>
      </c>
      <c r="L38" s="74">
        <v>326</v>
      </c>
      <c r="M38" s="74">
        <v>61</v>
      </c>
      <c r="N38" s="74">
        <v>50</v>
      </c>
      <c r="O38" s="74">
        <v>50</v>
      </c>
      <c r="P38" s="74">
        <v>50</v>
      </c>
      <c r="Q38" s="74">
        <v>50</v>
      </c>
      <c r="R38" s="74">
        <v>50</v>
      </c>
      <c r="S38" s="74">
        <v>50</v>
      </c>
      <c r="T38" s="74">
        <v>50</v>
      </c>
      <c r="U38" s="74">
        <v>50</v>
      </c>
      <c r="V38" s="77"/>
      <c r="W38" s="74"/>
      <c r="X38" s="74"/>
      <c r="Y38" s="74"/>
      <c r="Z38" s="74"/>
    </row>
    <row r="39" spans="1:26" ht="15.75" customHeight="1">
      <c r="A39" s="74"/>
      <c r="B39" s="74" t="b">
        <f t="shared" si="0"/>
        <v>1</v>
      </c>
      <c r="C39" s="77">
        <v>4203342</v>
      </c>
      <c r="D39" s="74">
        <v>4203342</v>
      </c>
      <c r="E39" s="79" t="s">
        <v>704</v>
      </c>
      <c r="F39" s="74" t="s">
        <v>25</v>
      </c>
      <c r="G39" s="74"/>
      <c r="H39" s="74"/>
      <c r="I39" s="76">
        <v>100</v>
      </c>
      <c r="J39" s="74">
        <v>100</v>
      </c>
      <c r="K39" s="74">
        <v>100</v>
      </c>
      <c r="L39" s="74">
        <v>100</v>
      </c>
      <c r="M39" s="74">
        <v>100</v>
      </c>
      <c r="N39" s="74">
        <v>100</v>
      </c>
      <c r="O39" s="74">
        <v>100</v>
      </c>
      <c r="P39" s="74">
        <v>100</v>
      </c>
      <c r="Q39" s="74">
        <v>100</v>
      </c>
      <c r="R39" s="74">
        <v>100</v>
      </c>
      <c r="S39" s="74">
        <v>100</v>
      </c>
      <c r="T39" s="74">
        <v>100</v>
      </c>
      <c r="U39" s="74">
        <v>100</v>
      </c>
      <c r="V39" s="77"/>
      <c r="W39" s="74"/>
      <c r="X39" s="74"/>
      <c r="Y39" s="74"/>
      <c r="Z39" s="74"/>
    </row>
    <row r="40" spans="1:26" ht="15.75" customHeight="1">
      <c r="A40" s="74"/>
      <c r="B40" s="74" t="b">
        <f t="shared" si="0"/>
        <v>1</v>
      </c>
      <c r="C40" s="77">
        <v>55319944</v>
      </c>
      <c r="D40" s="74">
        <v>55319944</v>
      </c>
      <c r="E40" s="79" t="s">
        <v>732</v>
      </c>
      <c r="F40" s="74" t="s">
        <v>25</v>
      </c>
      <c r="G40" s="74"/>
      <c r="H40" s="74"/>
      <c r="I40" s="76">
        <v>237</v>
      </c>
      <c r="J40" s="74">
        <v>274</v>
      </c>
      <c r="K40" s="74">
        <v>233</v>
      </c>
      <c r="L40" s="74">
        <v>183</v>
      </c>
      <c r="M40" s="74">
        <v>169</v>
      </c>
      <c r="N40" s="74">
        <v>147</v>
      </c>
      <c r="O40" s="74">
        <v>148</v>
      </c>
      <c r="P40" s="74">
        <v>116</v>
      </c>
      <c r="Q40" s="74">
        <v>156</v>
      </c>
      <c r="R40" s="74">
        <v>176</v>
      </c>
      <c r="S40" s="74">
        <v>192</v>
      </c>
      <c r="T40" s="74">
        <v>145</v>
      </c>
      <c r="U40" s="74">
        <v>143</v>
      </c>
      <c r="V40" s="77"/>
      <c r="W40" s="74"/>
      <c r="X40" s="74"/>
      <c r="Y40" s="74"/>
      <c r="Z40" s="74"/>
    </row>
    <row r="41" spans="1:26" ht="15.75" customHeight="1">
      <c r="A41" s="74"/>
      <c r="B41" s="74" t="b">
        <f t="shared" si="0"/>
        <v>1</v>
      </c>
      <c r="C41" s="77">
        <v>55320136</v>
      </c>
      <c r="D41" s="74">
        <v>55320136</v>
      </c>
      <c r="E41" s="79" t="s">
        <v>732</v>
      </c>
      <c r="F41" s="74" t="s">
        <v>25</v>
      </c>
      <c r="G41" s="74"/>
      <c r="H41" s="74"/>
      <c r="I41" s="76">
        <v>150</v>
      </c>
      <c r="J41" s="74">
        <v>196</v>
      </c>
      <c r="K41" s="74">
        <v>150</v>
      </c>
      <c r="L41" s="74">
        <v>182</v>
      </c>
      <c r="M41" s="74">
        <v>172</v>
      </c>
      <c r="N41" s="74">
        <v>156</v>
      </c>
      <c r="O41" s="74">
        <v>144</v>
      </c>
      <c r="P41" s="74">
        <v>83</v>
      </c>
      <c r="Q41" s="74">
        <v>180</v>
      </c>
      <c r="R41" s="74">
        <v>90</v>
      </c>
      <c r="S41" s="74">
        <v>158</v>
      </c>
      <c r="T41" s="74">
        <v>150</v>
      </c>
      <c r="U41" s="74">
        <v>139</v>
      </c>
      <c r="V41" s="77"/>
      <c r="W41" s="74"/>
      <c r="X41" s="74"/>
      <c r="Y41" s="74"/>
      <c r="Z41" s="74"/>
    </row>
    <row r="42" spans="1:26" ht="15.75" customHeight="1">
      <c r="A42" s="74"/>
      <c r="B42" s="74" t="b">
        <f t="shared" si="0"/>
        <v>1</v>
      </c>
      <c r="C42" s="77">
        <v>3324892</v>
      </c>
      <c r="D42" s="74">
        <v>3324892</v>
      </c>
      <c r="E42" s="79" t="s">
        <v>704</v>
      </c>
      <c r="F42" s="74" t="s">
        <v>25</v>
      </c>
      <c r="G42" s="74"/>
      <c r="H42" s="74"/>
      <c r="I42" s="76">
        <v>2995</v>
      </c>
      <c r="J42" s="74">
        <v>3088</v>
      </c>
      <c r="K42" s="74">
        <v>3319</v>
      </c>
      <c r="L42" s="74">
        <v>2814</v>
      </c>
      <c r="M42" s="74">
        <v>2986</v>
      </c>
      <c r="N42" s="74">
        <v>2866</v>
      </c>
      <c r="O42" s="74">
        <v>2511</v>
      </c>
      <c r="P42" s="74">
        <v>2493</v>
      </c>
      <c r="Q42" s="74">
        <v>2315</v>
      </c>
      <c r="R42" s="74">
        <v>2594</v>
      </c>
      <c r="S42" s="74">
        <v>3038</v>
      </c>
      <c r="T42" s="74">
        <v>3167</v>
      </c>
      <c r="U42" s="74">
        <v>2333</v>
      </c>
      <c r="V42" s="77"/>
      <c r="W42" s="74"/>
      <c r="X42" s="74"/>
      <c r="Y42" s="74"/>
      <c r="Z42" s="74"/>
    </row>
    <row r="43" spans="1:26" ht="15.75" customHeight="1">
      <c r="A43" s="74"/>
      <c r="B43" s="74" t="b">
        <f t="shared" si="0"/>
        <v>1</v>
      </c>
      <c r="C43" s="77">
        <v>1273724</v>
      </c>
      <c r="D43" s="74">
        <v>1273724</v>
      </c>
      <c r="E43" s="79" t="s">
        <v>704</v>
      </c>
      <c r="F43" s="74" t="s">
        <v>25</v>
      </c>
      <c r="G43" s="74"/>
      <c r="H43" s="74"/>
      <c r="I43" s="76">
        <v>604</v>
      </c>
      <c r="J43" s="74">
        <v>687</v>
      </c>
      <c r="K43" s="74">
        <v>579</v>
      </c>
      <c r="L43" s="74">
        <v>554</v>
      </c>
      <c r="M43" s="74">
        <v>533</v>
      </c>
      <c r="N43" s="74">
        <v>525</v>
      </c>
      <c r="O43" s="74">
        <v>536</v>
      </c>
      <c r="P43" s="74">
        <v>447</v>
      </c>
      <c r="Q43" s="74">
        <v>524</v>
      </c>
      <c r="R43" s="74">
        <v>622</v>
      </c>
      <c r="S43" s="74">
        <v>571</v>
      </c>
      <c r="T43" s="74">
        <v>532</v>
      </c>
      <c r="U43" s="74">
        <v>554</v>
      </c>
      <c r="V43" s="77"/>
      <c r="W43" s="74"/>
      <c r="X43" s="74"/>
      <c r="Y43" s="74"/>
      <c r="Z43" s="74"/>
    </row>
    <row r="44" spans="1:26" ht="15.75" customHeight="1">
      <c r="A44" s="74"/>
      <c r="B44" s="74" t="b">
        <f t="shared" si="0"/>
        <v>1</v>
      </c>
      <c r="C44" s="77">
        <v>2474699</v>
      </c>
      <c r="D44" s="74">
        <v>2474699</v>
      </c>
      <c r="E44" s="79" t="s">
        <v>732</v>
      </c>
      <c r="F44" s="74" t="s">
        <v>25</v>
      </c>
      <c r="G44" s="74"/>
      <c r="H44" s="74"/>
      <c r="I44" s="76">
        <v>1569</v>
      </c>
      <c r="J44" s="74">
        <v>2095</v>
      </c>
      <c r="K44" s="74">
        <v>1561</v>
      </c>
      <c r="L44" s="74">
        <v>1754</v>
      </c>
      <c r="M44" s="74">
        <v>1519</v>
      </c>
      <c r="N44" s="74">
        <v>1471</v>
      </c>
      <c r="O44" s="74">
        <v>1209</v>
      </c>
      <c r="P44" s="74">
        <v>1115</v>
      </c>
      <c r="Q44" s="74">
        <v>1189</v>
      </c>
      <c r="R44" s="74">
        <v>1352</v>
      </c>
      <c r="S44" s="74">
        <v>1660</v>
      </c>
      <c r="T44" s="74">
        <v>1519</v>
      </c>
      <c r="U44" s="74">
        <v>1887</v>
      </c>
      <c r="V44" s="77"/>
      <c r="W44" s="74"/>
      <c r="X44" s="74"/>
      <c r="Y44" s="74"/>
      <c r="Z44" s="74"/>
    </row>
    <row r="45" spans="1:26" ht="15.75" customHeight="1">
      <c r="A45" s="74"/>
      <c r="B45" s="74" t="b">
        <f t="shared" si="0"/>
        <v>1</v>
      </c>
      <c r="C45" s="77">
        <v>10226</v>
      </c>
      <c r="D45" s="74">
        <v>10226</v>
      </c>
      <c r="E45" s="79" t="s">
        <v>704</v>
      </c>
      <c r="F45" s="74" t="s">
        <v>25</v>
      </c>
      <c r="G45" s="74"/>
      <c r="H45" s="74"/>
      <c r="I45" s="76">
        <v>1225</v>
      </c>
      <c r="J45" s="74">
        <v>1187</v>
      </c>
      <c r="K45" s="74">
        <v>619</v>
      </c>
      <c r="L45" s="74">
        <v>989</v>
      </c>
      <c r="M45" s="74">
        <v>1164</v>
      </c>
      <c r="N45" s="74">
        <v>1116</v>
      </c>
      <c r="O45" s="74">
        <v>1129</v>
      </c>
      <c r="P45" s="74">
        <v>1017</v>
      </c>
      <c r="Q45" s="74">
        <v>810</v>
      </c>
      <c r="R45" s="74">
        <v>1188</v>
      </c>
      <c r="S45" s="74">
        <v>1242</v>
      </c>
      <c r="T45" s="74">
        <v>1208</v>
      </c>
      <c r="U45" s="74">
        <v>1315</v>
      </c>
      <c r="V45" s="77"/>
      <c r="W45" s="74"/>
      <c r="X45" s="74"/>
      <c r="Y45" s="74"/>
      <c r="Z45" s="74"/>
    </row>
    <row r="46" spans="1:26" ht="15.75" customHeight="1">
      <c r="A46" s="74"/>
      <c r="B46" s="74" t="b">
        <f t="shared" si="0"/>
        <v>1</v>
      </c>
      <c r="C46" s="77">
        <v>10219</v>
      </c>
      <c r="D46" s="74">
        <v>10219</v>
      </c>
      <c r="E46" s="79" t="s">
        <v>732</v>
      </c>
      <c r="F46" s="74" t="s">
        <v>25</v>
      </c>
      <c r="G46" s="74"/>
      <c r="H46" s="74"/>
      <c r="I46" s="76">
        <v>2001</v>
      </c>
      <c r="J46" s="74">
        <v>1847</v>
      </c>
      <c r="K46" s="74">
        <v>1423</v>
      </c>
      <c r="L46" s="74">
        <v>1445</v>
      </c>
      <c r="M46" s="74">
        <v>1456</v>
      </c>
      <c r="N46" s="74">
        <v>1301</v>
      </c>
      <c r="O46" s="74">
        <v>994</v>
      </c>
      <c r="P46" s="74">
        <v>889</v>
      </c>
      <c r="Q46" s="74">
        <v>1045</v>
      </c>
      <c r="R46" s="74">
        <v>998</v>
      </c>
      <c r="S46" s="74">
        <v>1394</v>
      </c>
      <c r="T46" s="74">
        <v>1257</v>
      </c>
      <c r="U46" s="74">
        <v>1429</v>
      </c>
      <c r="V46" s="77"/>
      <c r="W46" s="74"/>
      <c r="X46" s="74"/>
      <c r="Y46" s="74"/>
      <c r="Z46" s="74"/>
    </row>
    <row r="47" spans="1:26" ht="15.75" customHeight="1">
      <c r="A47" s="74"/>
      <c r="B47" s="74" t="b">
        <f t="shared" si="0"/>
        <v>1</v>
      </c>
      <c r="C47" s="77">
        <v>10379</v>
      </c>
      <c r="D47" s="74">
        <v>10379</v>
      </c>
      <c r="E47" s="79" t="s">
        <v>704</v>
      </c>
      <c r="F47" s="74" t="s">
        <v>25</v>
      </c>
      <c r="G47" s="74"/>
      <c r="H47" s="74"/>
      <c r="I47" s="76">
        <v>3598</v>
      </c>
      <c r="J47" s="74">
        <v>5903</v>
      </c>
      <c r="K47" s="74">
        <v>3851</v>
      </c>
      <c r="L47" s="74">
        <v>4201</v>
      </c>
      <c r="M47" s="74">
        <v>3686</v>
      </c>
      <c r="N47" s="74">
        <v>3698</v>
      </c>
      <c r="O47" s="74">
        <v>2991</v>
      </c>
      <c r="P47" s="74">
        <v>2076</v>
      </c>
      <c r="Q47" s="74">
        <v>2554</v>
      </c>
      <c r="R47" s="74">
        <v>2787</v>
      </c>
      <c r="S47" s="74">
        <v>3748</v>
      </c>
      <c r="T47" s="74">
        <v>3797</v>
      </c>
      <c r="U47" s="74">
        <v>3892</v>
      </c>
      <c r="V47" s="77"/>
      <c r="W47" s="74"/>
      <c r="X47" s="74"/>
      <c r="Y47" s="74"/>
      <c r="Z47" s="74"/>
    </row>
    <row r="48" spans="1:26" ht="15.75" customHeight="1">
      <c r="A48" s="74"/>
      <c r="B48" s="74" t="b">
        <f t="shared" si="0"/>
        <v>1</v>
      </c>
      <c r="C48" s="77">
        <v>6827591</v>
      </c>
      <c r="D48" s="74">
        <v>6827591</v>
      </c>
      <c r="E48" s="79" t="s">
        <v>704</v>
      </c>
      <c r="F48" s="74" t="s">
        <v>25</v>
      </c>
      <c r="G48" s="74"/>
      <c r="H48" s="74"/>
      <c r="I48" s="76">
        <v>1121</v>
      </c>
      <c r="J48" s="74">
        <v>1298</v>
      </c>
      <c r="K48" s="74">
        <v>716</v>
      </c>
      <c r="L48" s="74">
        <v>1065</v>
      </c>
      <c r="M48" s="74">
        <v>755</v>
      </c>
      <c r="N48" s="74">
        <v>542</v>
      </c>
      <c r="O48" s="74">
        <v>610</v>
      </c>
      <c r="P48" s="74">
        <v>540</v>
      </c>
      <c r="Q48" s="74">
        <v>887</v>
      </c>
      <c r="R48" s="74">
        <v>913</v>
      </c>
      <c r="S48" s="74">
        <v>2395</v>
      </c>
      <c r="T48" s="74">
        <v>805</v>
      </c>
      <c r="U48" s="74">
        <v>1600</v>
      </c>
      <c r="V48" s="77"/>
      <c r="W48" s="74"/>
      <c r="X48" s="74"/>
      <c r="Y48" s="74"/>
      <c r="Z48" s="74"/>
    </row>
    <row r="49" spans="1:26" ht="15.75" customHeight="1">
      <c r="A49" s="74"/>
      <c r="B49" s="74" t="b">
        <f t="shared" si="0"/>
        <v>1</v>
      </c>
      <c r="C49" s="77">
        <v>2914520</v>
      </c>
      <c r="D49" s="74">
        <v>2914520</v>
      </c>
      <c r="E49" s="79" t="s">
        <v>732</v>
      </c>
      <c r="F49" s="74" t="s">
        <v>25</v>
      </c>
      <c r="G49" s="74"/>
      <c r="H49" s="74"/>
      <c r="I49" s="76">
        <v>50</v>
      </c>
      <c r="J49" s="74">
        <v>50</v>
      </c>
      <c r="K49" s="74">
        <v>50</v>
      </c>
      <c r="L49" s="74">
        <v>50</v>
      </c>
      <c r="M49" s="74">
        <v>50</v>
      </c>
      <c r="N49" s="74">
        <v>50</v>
      </c>
      <c r="O49" s="74">
        <v>50</v>
      </c>
      <c r="P49" s="74">
        <v>50</v>
      </c>
      <c r="Q49" s="74">
        <v>50</v>
      </c>
      <c r="R49" s="74">
        <v>50</v>
      </c>
      <c r="S49" s="74">
        <v>50</v>
      </c>
      <c r="T49" s="74">
        <v>50</v>
      </c>
      <c r="U49" s="74">
        <v>50</v>
      </c>
      <c r="V49" s="77"/>
      <c r="W49" s="74"/>
      <c r="X49" s="74"/>
      <c r="Y49" s="74"/>
      <c r="Z49" s="74"/>
    </row>
    <row r="50" spans="1:26" ht="15.75" customHeight="1">
      <c r="A50" s="74"/>
      <c r="B50" s="74" t="b">
        <f t="shared" si="0"/>
        <v>1</v>
      </c>
      <c r="C50" s="77">
        <v>10375</v>
      </c>
      <c r="D50" s="74">
        <v>10375</v>
      </c>
      <c r="E50" s="79" t="s">
        <v>704</v>
      </c>
      <c r="F50" s="74" t="s">
        <v>25</v>
      </c>
      <c r="G50" s="74"/>
      <c r="H50" s="74"/>
      <c r="I50" s="76">
        <v>2242</v>
      </c>
      <c r="J50" s="74">
        <v>2436</v>
      </c>
      <c r="K50" s="74">
        <v>1848</v>
      </c>
      <c r="L50" s="74">
        <v>1918</v>
      </c>
      <c r="M50" s="74">
        <v>1717</v>
      </c>
      <c r="N50" s="74">
        <v>1224</v>
      </c>
      <c r="O50" s="74">
        <v>1157</v>
      </c>
      <c r="P50" s="74">
        <v>981</v>
      </c>
      <c r="Q50" s="74">
        <v>1204</v>
      </c>
      <c r="R50" s="74">
        <v>1495</v>
      </c>
      <c r="S50" s="74">
        <v>1994</v>
      </c>
      <c r="T50" s="74">
        <v>2018</v>
      </c>
      <c r="U50" s="74">
        <v>1950</v>
      </c>
      <c r="V50" s="77"/>
      <c r="W50" s="74"/>
      <c r="X50" s="74"/>
      <c r="Y50" s="74"/>
      <c r="Z50" s="74"/>
    </row>
    <row r="51" spans="1:26" ht="15.75" customHeight="1">
      <c r="A51" s="74"/>
      <c r="B51" s="74" t="b">
        <f t="shared" si="0"/>
        <v>1</v>
      </c>
      <c r="C51" s="77">
        <v>841751</v>
      </c>
      <c r="D51" s="74">
        <v>841751</v>
      </c>
      <c r="E51" s="79" t="s">
        <v>704</v>
      </c>
      <c r="F51" s="74" t="s">
        <v>25</v>
      </c>
      <c r="G51" s="74"/>
      <c r="H51" s="74"/>
      <c r="I51" s="76">
        <v>1571</v>
      </c>
      <c r="J51" s="74">
        <v>1769</v>
      </c>
      <c r="K51" s="74">
        <v>1181</v>
      </c>
      <c r="L51" s="74">
        <v>1214</v>
      </c>
      <c r="M51" s="74">
        <v>935</v>
      </c>
      <c r="N51" s="74">
        <v>852</v>
      </c>
      <c r="O51" s="74">
        <v>751</v>
      </c>
      <c r="P51" s="74">
        <v>613</v>
      </c>
      <c r="Q51" s="74">
        <v>754</v>
      </c>
      <c r="R51" s="74">
        <v>931</v>
      </c>
      <c r="S51" s="74">
        <v>1271</v>
      </c>
      <c r="T51" s="74">
        <v>1413</v>
      </c>
      <c r="U51" s="74">
        <v>1553</v>
      </c>
      <c r="V51" s="77"/>
      <c r="W51" s="74"/>
      <c r="X51" s="74"/>
      <c r="Y51" s="74"/>
      <c r="Z51" s="74"/>
    </row>
    <row r="52" spans="1:26" ht="15.75" customHeight="1">
      <c r="A52" s="74"/>
      <c r="B52" s="74" t="b">
        <f t="shared" si="0"/>
        <v>1</v>
      </c>
      <c r="C52" s="77">
        <v>25502</v>
      </c>
      <c r="D52" s="74">
        <v>25502</v>
      </c>
      <c r="E52" s="79" t="s">
        <v>704</v>
      </c>
      <c r="F52" s="74" t="s">
        <v>25</v>
      </c>
      <c r="G52" s="74"/>
      <c r="H52" s="74"/>
      <c r="I52" s="76">
        <v>7780</v>
      </c>
      <c r="J52" s="74">
        <v>8820</v>
      </c>
      <c r="K52" s="74">
        <v>6400</v>
      </c>
      <c r="L52" s="74">
        <v>6760</v>
      </c>
      <c r="M52" s="74">
        <v>6540</v>
      </c>
      <c r="N52" s="74">
        <v>5940</v>
      </c>
      <c r="O52" s="74">
        <v>5480</v>
      </c>
      <c r="P52" s="74">
        <v>4640</v>
      </c>
      <c r="Q52" s="74">
        <v>5400</v>
      </c>
      <c r="R52" s="74">
        <v>6020</v>
      </c>
      <c r="S52" s="74">
        <v>7100</v>
      </c>
      <c r="T52" s="74">
        <v>7280</v>
      </c>
      <c r="U52" s="74">
        <v>7140</v>
      </c>
      <c r="V52" s="77"/>
      <c r="W52" s="74"/>
      <c r="X52" s="74"/>
      <c r="Y52" s="74"/>
      <c r="Z52" s="74"/>
    </row>
    <row r="53" spans="1:26" ht="15.75" customHeight="1">
      <c r="A53" s="74"/>
      <c r="B53" s="74" t="b">
        <f t="shared" si="0"/>
        <v>1</v>
      </c>
      <c r="C53" s="77">
        <v>2864501</v>
      </c>
      <c r="D53" s="74">
        <v>2864501</v>
      </c>
      <c r="E53" s="79" t="s">
        <v>704</v>
      </c>
      <c r="F53" s="74" t="s">
        <v>25</v>
      </c>
      <c r="G53" s="74"/>
      <c r="H53" s="74"/>
      <c r="I53" s="76">
        <v>5000</v>
      </c>
      <c r="J53" s="74">
        <v>6200</v>
      </c>
      <c r="K53" s="74">
        <v>4720</v>
      </c>
      <c r="L53" s="74">
        <v>4720</v>
      </c>
      <c r="M53" s="74">
        <v>4600</v>
      </c>
      <c r="N53" s="74">
        <v>4080</v>
      </c>
      <c r="O53" s="74">
        <v>3600</v>
      </c>
      <c r="P53" s="74">
        <v>3040</v>
      </c>
      <c r="Q53" s="74">
        <v>3680</v>
      </c>
      <c r="R53" s="74">
        <v>4200</v>
      </c>
      <c r="S53" s="74">
        <v>4880</v>
      </c>
      <c r="T53" s="74">
        <v>5320</v>
      </c>
      <c r="U53" s="74">
        <v>4960</v>
      </c>
      <c r="V53" s="77"/>
      <c r="W53" s="74"/>
      <c r="X53" s="74"/>
      <c r="Y53" s="74"/>
      <c r="Z53" s="74"/>
    </row>
    <row r="54" spans="1:26" ht="15.75" customHeight="1">
      <c r="A54" s="74"/>
      <c r="B54" s="74" t="b">
        <f t="shared" si="0"/>
        <v>1</v>
      </c>
      <c r="C54" s="77">
        <v>6796696</v>
      </c>
      <c r="D54" s="74">
        <v>6796696</v>
      </c>
      <c r="E54" s="79" t="s">
        <v>704</v>
      </c>
      <c r="F54" s="74" t="s">
        <v>25</v>
      </c>
      <c r="G54" s="74"/>
      <c r="H54" s="74"/>
      <c r="I54" s="76">
        <v>2460</v>
      </c>
      <c r="J54" s="74">
        <v>2800</v>
      </c>
      <c r="K54" s="74">
        <v>2291</v>
      </c>
      <c r="L54" s="74">
        <v>2066</v>
      </c>
      <c r="M54" s="74">
        <v>1366</v>
      </c>
      <c r="N54" s="74">
        <v>1907</v>
      </c>
      <c r="O54" s="74">
        <v>1300</v>
      </c>
      <c r="P54" s="74">
        <v>900</v>
      </c>
      <c r="Q54" s="74">
        <v>900</v>
      </c>
      <c r="R54" s="74">
        <v>1110</v>
      </c>
      <c r="S54" s="74">
        <v>1281</v>
      </c>
      <c r="T54" s="74">
        <v>1349</v>
      </c>
      <c r="U54" s="74">
        <v>623</v>
      </c>
      <c r="V54" s="77"/>
      <c r="W54" s="74"/>
      <c r="X54" s="74"/>
      <c r="Y54" s="74"/>
      <c r="Z54" s="74"/>
    </row>
    <row r="55" spans="1:26" ht="15.75" customHeight="1">
      <c r="A55" s="74"/>
      <c r="B55" s="74" t="b">
        <f t="shared" si="0"/>
        <v>1</v>
      </c>
      <c r="C55" s="77">
        <v>2521014</v>
      </c>
      <c r="D55" s="74">
        <v>2521014</v>
      </c>
      <c r="E55" s="79" t="s">
        <v>704</v>
      </c>
      <c r="F55" s="74" t="s">
        <v>25</v>
      </c>
      <c r="G55" s="74"/>
      <c r="H55" s="74"/>
      <c r="I55" s="76">
        <v>100</v>
      </c>
      <c r="J55" s="74">
        <v>100</v>
      </c>
      <c r="K55" s="74">
        <v>100</v>
      </c>
      <c r="L55" s="74">
        <v>100</v>
      </c>
      <c r="M55" s="74">
        <v>100</v>
      </c>
      <c r="N55" s="74">
        <v>100</v>
      </c>
      <c r="O55" s="74">
        <v>100</v>
      </c>
      <c r="P55" s="74">
        <v>100</v>
      </c>
      <c r="Q55" s="74">
        <v>100</v>
      </c>
      <c r="R55" s="74">
        <v>100</v>
      </c>
      <c r="S55" s="74">
        <v>100</v>
      </c>
      <c r="T55" s="74">
        <v>100</v>
      </c>
      <c r="U55" s="74">
        <v>100</v>
      </c>
      <c r="V55" s="77"/>
      <c r="W55" s="74"/>
      <c r="X55" s="74"/>
      <c r="Y55" s="74"/>
      <c r="Z55" s="74"/>
    </row>
    <row r="56" spans="1:26" ht="15.75" customHeight="1">
      <c r="A56" s="74"/>
      <c r="B56" s="74" t="b">
        <f t="shared" si="0"/>
        <v>1</v>
      </c>
      <c r="C56" s="77">
        <v>2622506</v>
      </c>
      <c r="D56" s="74">
        <v>2622506</v>
      </c>
      <c r="E56" s="79" t="s">
        <v>704</v>
      </c>
      <c r="F56" s="74" t="s">
        <v>25</v>
      </c>
      <c r="G56" s="74"/>
      <c r="H56" s="74"/>
      <c r="I56" s="76">
        <v>1388</v>
      </c>
      <c r="J56" s="74">
        <v>1483</v>
      </c>
      <c r="K56" s="74">
        <v>1287</v>
      </c>
      <c r="L56" s="74">
        <v>1157</v>
      </c>
      <c r="M56" s="74">
        <v>1213</v>
      </c>
      <c r="N56" s="74">
        <v>1101</v>
      </c>
      <c r="O56" s="74">
        <v>1140</v>
      </c>
      <c r="P56" s="74">
        <v>1051</v>
      </c>
      <c r="Q56" s="74">
        <v>1199</v>
      </c>
      <c r="R56" s="74">
        <v>1176</v>
      </c>
      <c r="S56" s="74">
        <v>1434</v>
      </c>
      <c r="T56" s="74">
        <v>1297</v>
      </c>
      <c r="U56" s="74">
        <v>1155</v>
      </c>
      <c r="V56" s="77"/>
      <c r="W56" s="74"/>
      <c r="X56" s="74"/>
      <c r="Y56" s="74"/>
      <c r="Z56" s="74"/>
    </row>
    <row r="57" spans="1:26" ht="15.75" customHeight="1">
      <c r="A57" s="74"/>
      <c r="B57" s="74" t="b">
        <f t="shared" si="0"/>
        <v>1</v>
      </c>
      <c r="C57" s="77">
        <v>6361390</v>
      </c>
      <c r="D57" s="74">
        <v>6361390</v>
      </c>
      <c r="E57" s="79" t="s">
        <v>704</v>
      </c>
      <c r="F57" s="74" t="s">
        <v>25</v>
      </c>
      <c r="G57" s="74"/>
      <c r="H57" s="74"/>
      <c r="I57" s="76">
        <v>6837</v>
      </c>
      <c r="J57" s="74">
        <v>6725</v>
      </c>
      <c r="K57" s="74">
        <v>5238</v>
      </c>
      <c r="L57" s="74">
        <v>5279</v>
      </c>
      <c r="M57" s="74">
        <v>4307</v>
      </c>
      <c r="N57" s="74">
        <v>3870</v>
      </c>
      <c r="O57" s="74">
        <v>3400</v>
      </c>
      <c r="P57" s="74">
        <v>3375</v>
      </c>
      <c r="Q57" s="74">
        <v>4272</v>
      </c>
      <c r="R57" s="74">
        <v>715</v>
      </c>
      <c r="S57" s="74">
        <v>6341</v>
      </c>
      <c r="T57" s="74">
        <v>3349</v>
      </c>
      <c r="U57" s="74">
        <v>1613</v>
      </c>
      <c r="V57" s="77"/>
      <c r="W57" s="74"/>
      <c r="X57" s="74"/>
      <c r="Y57" s="74"/>
      <c r="Z57" s="74"/>
    </row>
    <row r="58" spans="1:26" ht="15.75" customHeight="1">
      <c r="A58" s="74"/>
      <c r="B58" s="74" t="b">
        <f t="shared" si="0"/>
        <v>1</v>
      </c>
      <c r="C58" s="77">
        <v>7612871</v>
      </c>
      <c r="D58" s="74">
        <v>7612871</v>
      </c>
      <c r="E58" s="79" t="s">
        <v>704</v>
      </c>
      <c r="F58" s="74" t="s">
        <v>25</v>
      </c>
      <c r="G58" s="74"/>
      <c r="H58" s="74"/>
      <c r="I58" s="76">
        <v>100</v>
      </c>
      <c r="J58" s="74">
        <v>100</v>
      </c>
      <c r="K58" s="74">
        <v>100</v>
      </c>
      <c r="L58" s="74">
        <v>100</v>
      </c>
      <c r="M58" s="74">
        <v>100</v>
      </c>
      <c r="N58" s="74">
        <v>100</v>
      </c>
      <c r="O58" s="74">
        <v>100</v>
      </c>
      <c r="P58" s="74">
        <v>100</v>
      </c>
      <c r="Q58" s="74">
        <v>100</v>
      </c>
      <c r="R58" s="74">
        <v>100</v>
      </c>
      <c r="S58" s="74">
        <v>100</v>
      </c>
      <c r="T58" s="74">
        <v>100</v>
      </c>
      <c r="U58" s="74">
        <v>100</v>
      </c>
      <c r="V58" s="77"/>
      <c r="W58" s="74"/>
      <c r="X58" s="74"/>
      <c r="Y58" s="74"/>
      <c r="Z58" s="74"/>
    </row>
    <row r="59" spans="1:26" ht="15.75" customHeight="1">
      <c r="A59" s="74"/>
      <c r="B59" s="74" t="b">
        <f t="shared" si="0"/>
        <v>1</v>
      </c>
      <c r="C59" s="77">
        <v>2915248</v>
      </c>
      <c r="D59" s="74">
        <v>2915248</v>
      </c>
      <c r="E59" s="79" t="s">
        <v>704</v>
      </c>
      <c r="F59" s="74" t="s">
        <v>25</v>
      </c>
      <c r="G59" s="74"/>
      <c r="H59" s="74"/>
      <c r="I59" s="76">
        <v>1091</v>
      </c>
      <c r="J59" s="74">
        <v>1295</v>
      </c>
      <c r="K59" s="74">
        <v>1075</v>
      </c>
      <c r="L59" s="74">
        <v>1082</v>
      </c>
      <c r="M59" s="74">
        <v>1034</v>
      </c>
      <c r="N59" s="74">
        <v>808</v>
      </c>
      <c r="O59" s="74">
        <v>812</v>
      </c>
      <c r="P59" s="74">
        <v>605</v>
      </c>
      <c r="Q59" s="74">
        <v>796</v>
      </c>
      <c r="R59" s="74">
        <v>653</v>
      </c>
      <c r="S59" s="74">
        <v>711</v>
      </c>
      <c r="T59" s="74">
        <v>880</v>
      </c>
      <c r="U59" s="74">
        <v>1039</v>
      </c>
      <c r="V59" s="77"/>
      <c r="W59" s="74"/>
      <c r="X59" s="74"/>
      <c r="Y59" s="74"/>
      <c r="Z59" s="74"/>
    </row>
    <row r="60" spans="1:26" ht="15.75" customHeight="1">
      <c r="A60" s="74"/>
      <c r="B60" s="74" t="b">
        <f t="shared" si="0"/>
        <v>1</v>
      </c>
      <c r="C60" s="77">
        <v>4656885</v>
      </c>
      <c r="D60" s="74">
        <v>4656885</v>
      </c>
      <c r="E60" s="79" t="s">
        <v>704</v>
      </c>
      <c r="F60" s="74" t="s">
        <v>25</v>
      </c>
      <c r="G60" s="74"/>
      <c r="H60" s="74"/>
      <c r="I60" s="76">
        <v>1273</v>
      </c>
      <c r="J60" s="74">
        <v>1498</v>
      </c>
      <c r="K60" s="74">
        <v>1333</v>
      </c>
      <c r="L60" s="74">
        <v>1202</v>
      </c>
      <c r="M60" s="74">
        <v>1132</v>
      </c>
      <c r="N60" s="74">
        <v>903</v>
      </c>
      <c r="O60" s="74">
        <v>951</v>
      </c>
      <c r="P60" s="74">
        <v>888</v>
      </c>
      <c r="Q60" s="74">
        <v>1014</v>
      </c>
      <c r="R60" s="74">
        <v>964</v>
      </c>
      <c r="S60" s="74">
        <v>1212</v>
      </c>
      <c r="T60" s="74">
        <v>1292</v>
      </c>
      <c r="U60" s="74">
        <v>1194</v>
      </c>
      <c r="V60" s="77"/>
      <c r="W60" s="74"/>
      <c r="X60" s="74"/>
      <c r="Y60" s="74"/>
      <c r="Z60" s="74"/>
    </row>
    <row r="61" spans="1:26" ht="15.75" customHeight="1">
      <c r="A61" s="74"/>
      <c r="B61" s="74" t="b">
        <f t="shared" si="0"/>
        <v>1</v>
      </c>
      <c r="C61" s="77">
        <v>3814686</v>
      </c>
      <c r="D61" s="74">
        <v>3814686</v>
      </c>
      <c r="E61" s="79" t="s">
        <v>704</v>
      </c>
      <c r="F61" s="74" t="s">
        <v>25</v>
      </c>
      <c r="G61" s="74"/>
      <c r="H61" s="74"/>
      <c r="I61" s="76">
        <v>100</v>
      </c>
      <c r="J61" s="74">
        <v>100</v>
      </c>
      <c r="K61" s="74">
        <v>100</v>
      </c>
      <c r="L61" s="74">
        <v>100</v>
      </c>
      <c r="M61" s="74">
        <v>100</v>
      </c>
      <c r="N61" s="74">
        <v>100</v>
      </c>
      <c r="O61" s="74">
        <v>100</v>
      </c>
      <c r="P61" s="74">
        <v>100</v>
      </c>
      <c r="Q61" s="74">
        <v>100</v>
      </c>
      <c r="R61" s="74">
        <v>100</v>
      </c>
      <c r="S61" s="74">
        <v>100</v>
      </c>
      <c r="T61" s="74">
        <v>100</v>
      </c>
      <c r="U61" s="74">
        <v>100</v>
      </c>
      <c r="V61" s="77"/>
      <c r="W61" s="74"/>
      <c r="X61" s="74"/>
      <c r="Y61" s="74"/>
      <c r="Z61" s="74"/>
    </row>
    <row r="62" spans="1:26" ht="15.75" customHeight="1">
      <c r="A62" s="74"/>
      <c r="B62" s="74" t="b">
        <f t="shared" si="0"/>
        <v>1</v>
      </c>
      <c r="C62" s="77">
        <v>757174</v>
      </c>
      <c r="D62" s="74">
        <v>757174</v>
      </c>
      <c r="E62" s="79" t="s">
        <v>704</v>
      </c>
      <c r="F62" s="74" t="s">
        <v>25</v>
      </c>
      <c r="G62" s="74"/>
      <c r="H62" s="74"/>
      <c r="I62" s="76">
        <v>930</v>
      </c>
      <c r="J62" s="74">
        <v>1124</v>
      </c>
      <c r="K62" s="74">
        <v>1323</v>
      </c>
      <c r="L62" s="74">
        <v>993</v>
      </c>
      <c r="M62" s="74">
        <v>784</v>
      </c>
      <c r="N62" s="74">
        <v>769</v>
      </c>
      <c r="O62" s="74">
        <v>723</v>
      </c>
      <c r="P62" s="74">
        <v>635</v>
      </c>
      <c r="Q62" s="74">
        <v>647</v>
      </c>
      <c r="R62" s="74">
        <v>724</v>
      </c>
      <c r="S62" s="74">
        <v>687</v>
      </c>
      <c r="T62" s="74">
        <v>702</v>
      </c>
      <c r="U62" s="74">
        <v>727</v>
      </c>
      <c r="V62" s="77"/>
      <c r="W62" s="74"/>
      <c r="X62" s="74"/>
      <c r="Y62" s="74"/>
      <c r="Z62" s="74"/>
    </row>
    <row r="63" spans="1:26" ht="15.75" customHeight="1">
      <c r="A63" s="74"/>
      <c r="B63" s="74" t="b">
        <f t="shared" si="0"/>
        <v>1</v>
      </c>
      <c r="C63" s="77">
        <v>6554423</v>
      </c>
      <c r="D63" s="74">
        <v>6554423</v>
      </c>
      <c r="E63" s="79" t="s">
        <v>732</v>
      </c>
      <c r="F63" s="74" t="s">
        <v>25</v>
      </c>
      <c r="G63" s="74"/>
      <c r="H63" s="74"/>
      <c r="I63" s="76">
        <v>323</v>
      </c>
      <c r="J63" s="74">
        <v>310</v>
      </c>
      <c r="K63" s="74">
        <v>740</v>
      </c>
      <c r="L63" s="74">
        <v>1347</v>
      </c>
      <c r="M63" s="74">
        <v>1305</v>
      </c>
      <c r="N63" s="74">
        <v>1110</v>
      </c>
      <c r="O63" s="74">
        <v>970</v>
      </c>
      <c r="P63" s="74">
        <v>720</v>
      </c>
      <c r="Q63" s="74">
        <v>830</v>
      </c>
      <c r="R63" s="74">
        <v>969</v>
      </c>
      <c r="S63" s="74">
        <v>1181</v>
      </c>
      <c r="T63" s="74">
        <v>1320</v>
      </c>
      <c r="U63" s="74">
        <v>1448</v>
      </c>
      <c r="V63" s="77"/>
      <c r="W63" s="74"/>
      <c r="X63" s="74"/>
      <c r="Y63" s="74"/>
      <c r="Z63" s="74"/>
    </row>
    <row r="64" spans="1:26" ht="15.75" customHeight="1">
      <c r="A64" s="74"/>
      <c r="B64" s="74" t="b">
        <f t="shared" si="0"/>
        <v>1</v>
      </c>
      <c r="C64" s="77">
        <v>756984</v>
      </c>
      <c r="D64" s="74">
        <v>756984</v>
      </c>
      <c r="E64" s="79" t="s">
        <v>732</v>
      </c>
      <c r="F64" s="74" t="s">
        <v>25</v>
      </c>
      <c r="G64" s="74"/>
      <c r="H64" s="74"/>
      <c r="I64" s="76">
        <v>502</v>
      </c>
      <c r="J64" s="74">
        <v>402</v>
      </c>
      <c r="K64" s="74">
        <v>384</v>
      </c>
      <c r="L64" s="74">
        <v>331</v>
      </c>
      <c r="M64" s="74">
        <v>313</v>
      </c>
      <c r="N64" s="74">
        <v>318</v>
      </c>
      <c r="O64" s="74">
        <v>316</v>
      </c>
      <c r="P64" s="74">
        <v>249</v>
      </c>
      <c r="Q64" s="74">
        <v>235</v>
      </c>
      <c r="R64" s="74">
        <v>283</v>
      </c>
      <c r="S64" s="74">
        <v>259</v>
      </c>
      <c r="T64" s="74">
        <v>258</v>
      </c>
      <c r="U64" s="74">
        <v>284</v>
      </c>
      <c r="V64" s="77"/>
      <c r="W64" s="74"/>
      <c r="X64" s="74"/>
      <c r="Y64" s="74"/>
      <c r="Z64" s="74"/>
    </row>
    <row r="65" spans="1:26" ht="15.75" customHeight="1">
      <c r="A65" s="74"/>
      <c r="B65" s="74" t="b">
        <f t="shared" si="0"/>
        <v>1</v>
      </c>
      <c r="C65" s="77">
        <v>2622496</v>
      </c>
      <c r="D65" s="74">
        <v>2622496</v>
      </c>
      <c r="E65" s="79" t="s">
        <v>732</v>
      </c>
      <c r="F65" s="74" t="s">
        <v>25</v>
      </c>
      <c r="G65" s="74"/>
      <c r="H65" s="74"/>
      <c r="I65" s="76">
        <v>50</v>
      </c>
      <c r="J65" s="74">
        <v>50</v>
      </c>
      <c r="K65" s="74">
        <v>50</v>
      </c>
      <c r="L65" s="74">
        <v>50</v>
      </c>
      <c r="M65" s="74">
        <v>50</v>
      </c>
      <c r="N65" s="74">
        <v>50</v>
      </c>
      <c r="O65" s="74">
        <v>50</v>
      </c>
      <c r="P65" s="74">
        <v>50</v>
      </c>
      <c r="Q65" s="74">
        <v>50</v>
      </c>
      <c r="R65" s="74">
        <v>50</v>
      </c>
      <c r="S65" s="74">
        <v>50</v>
      </c>
      <c r="T65" s="74">
        <v>50</v>
      </c>
      <c r="U65" s="74">
        <v>50</v>
      </c>
      <c r="V65" s="77"/>
      <c r="W65" s="74"/>
      <c r="X65" s="74"/>
      <c r="Y65" s="74"/>
      <c r="Z65" s="74"/>
    </row>
    <row r="66" spans="1:26" ht="15.75" customHeight="1">
      <c r="A66" s="74"/>
      <c r="B66" s="74" t="b">
        <f t="shared" ref="B66:B129" si="1">D66=C66</f>
        <v>1</v>
      </c>
      <c r="C66" s="77">
        <v>6022467</v>
      </c>
      <c r="D66" s="74">
        <v>6022467</v>
      </c>
      <c r="E66" s="79" t="s">
        <v>704</v>
      </c>
      <c r="F66" s="74" t="s">
        <v>25</v>
      </c>
      <c r="G66" s="74"/>
      <c r="H66" s="74"/>
      <c r="I66" s="76">
        <v>390</v>
      </c>
      <c r="J66" s="74">
        <v>669</v>
      </c>
      <c r="K66" s="74">
        <v>459</v>
      </c>
      <c r="L66" s="74">
        <v>280</v>
      </c>
      <c r="M66" s="74">
        <v>265</v>
      </c>
      <c r="N66" s="74">
        <v>408</v>
      </c>
      <c r="O66" s="74">
        <v>187</v>
      </c>
      <c r="P66" s="74">
        <v>180</v>
      </c>
      <c r="Q66" s="74">
        <v>166</v>
      </c>
      <c r="R66" s="74">
        <v>194</v>
      </c>
      <c r="S66" s="74">
        <v>199</v>
      </c>
      <c r="T66" s="74">
        <v>213</v>
      </c>
      <c r="U66" s="74">
        <v>147</v>
      </c>
      <c r="V66" s="77"/>
      <c r="W66" s="74"/>
      <c r="X66" s="74"/>
      <c r="Y66" s="74"/>
      <c r="Z66" s="74"/>
    </row>
    <row r="67" spans="1:26" ht="15.75" customHeight="1">
      <c r="A67" s="74"/>
      <c r="B67" s="74" t="b">
        <f t="shared" si="1"/>
        <v>1</v>
      </c>
      <c r="C67" s="77">
        <v>60817480</v>
      </c>
      <c r="D67" s="74">
        <v>60817480</v>
      </c>
      <c r="E67" s="79" t="s">
        <v>732</v>
      </c>
      <c r="F67" s="74" t="s">
        <v>25</v>
      </c>
      <c r="G67" s="74"/>
      <c r="H67" s="74"/>
      <c r="I67" s="76">
        <v>743</v>
      </c>
      <c r="J67" s="74">
        <v>192</v>
      </c>
      <c r="K67" s="74">
        <v>369</v>
      </c>
      <c r="L67" s="74">
        <v>114</v>
      </c>
      <c r="M67" s="74">
        <v>50</v>
      </c>
      <c r="N67" s="74">
        <v>50</v>
      </c>
      <c r="O67" s="74">
        <v>50</v>
      </c>
      <c r="P67" s="74">
        <v>50</v>
      </c>
      <c r="Q67" s="74">
        <v>50</v>
      </c>
      <c r="R67" s="74">
        <v>50</v>
      </c>
      <c r="S67" s="74">
        <v>50</v>
      </c>
      <c r="T67" s="74">
        <v>50</v>
      </c>
      <c r="U67" s="74">
        <v>0</v>
      </c>
      <c r="V67" s="77"/>
      <c r="W67" s="74"/>
      <c r="X67" s="74"/>
      <c r="Y67" s="74"/>
      <c r="Z67" s="74"/>
    </row>
    <row r="68" spans="1:26" ht="15.75" customHeight="1">
      <c r="A68" s="74"/>
      <c r="B68" s="74" t="b">
        <f t="shared" si="1"/>
        <v>1</v>
      </c>
      <c r="C68" s="77">
        <v>6396697</v>
      </c>
      <c r="D68" s="74">
        <v>6396697</v>
      </c>
      <c r="E68" s="79" t="s">
        <v>704</v>
      </c>
      <c r="F68" s="74" t="s">
        <v>25</v>
      </c>
      <c r="G68" s="74"/>
      <c r="H68" s="74"/>
      <c r="I68" s="76">
        <v>2299</v>
      </c>
      <c r="J68" s="74">
        <v>4337</v>
      </c>
      <c r="K68" s="74">
        <v>1918</v>
      </c>
      <c r="L68" s="74">
        <v>2912</v>
      </c>
      <c r="M68" s="74">
        <v>3191</v>
      </c>
      <c r="N68" s="74">
        <v>933</v>
      </c>
      <c r="O68" s="74">
        <v>2328</v>
      </c>
      <c r="P68" s="74">
        <v>1824</v>
      </c>
      <c r="Q68" s="74">
        <v>2533</v>
      </c>
      <c r="R68" s="74">
        <v>502</v>
      </c>
      <c r="S68" s="74">
        <v>2480</v>
      </c>
      <c r="T68" s="74">
        <v>2326</v>
      </c>
      <c r="U68" s="74">
        <v>1957</v>
      </c>
      <c r="V68" s="77"/>
      <c r="W68" s="74"/>
      <c r="X68" s="74"/>
      <c r="Y68" s="74"/>
      <c r="Z68" s="74"/>
    </row>
    <row r="69" spans="1:26" ht="15.75" customHeight="1">
      <c r="A69" s="74"/>
      <c r="B69" s="74" t="b">
        <f t="shared" si="1"/>
        <v>1</v>
      </c>
      <c r="C69" s="77">
        <v>7855531</v>
      </c>
      <c r="D69" s="74">
        <v>7855531</v>
      </c>
      <c r="E69" s="79" t="s">
        <v>704</v>
      </c>
      <c r="F69" s="74" t="s">
        <v>25</v>
      </c>
      <c r="G69" s="74"/>
      <c r="H69" s="74"/>
      <c r="I69" s="76">
        <v>283</v>
      </c>
      <c r="J69" s="74">
        <v>436</v>
      </c>
      <c r="K69" s="74">
        <v>214</v>
      </c>
      <c r="L69" s="74">
        <v>190</v>
      </c>
      <c r="M69" s="74">
        <v>174</v>
      </c>
      <c r="N69" s="74">
        <v>108</v>
      </c>
      <c r="O69" s="74">
        <v>115</v>
      </c>
      <c r="P69" s="74">
        <v>100</v>
      </c>
      <c r="Q69" s="74">
        <v>136</v>
      </c>
      <c r="R69" s="74">
        <v>205</v>
      </c>
      <c r="S69" s="74">
        <v>195</v>
      </c>
      <c r="T69" s="74">
        <v>136</v>
      </c>
      <c r="U69" s="74">
        <v>156</v>
      </c>
      <c r="V69" s="77"/>
      <c r="W69" s="74"/>
      <c r="X69" s="74"/>
      <c r="Y69" s="74"/>
      <c r="Z69" s="74"/>
    </row>
    <row r="70" spans="1:26" ht="15.75" customHeight="1">
      <c r="A70" s="74"/>
      <c r="B70" s="74" t="b">
        <f t="shared" si="1"/>
        <v>1</v>
      </c>
      <c r="C70" s="77">
        <v>4811719</v>
      </c>
      <c r="D70" s="74">
        <v>4811719</v>
      </c>
      <c r="E70" s="79" t="s">
        <v>700</v>
      </c>
      <c r="F70" s="74" t="s">
        <v>25</v>
      </c>
      <c r="G70" s="74"/>
      <c r="H70" s="74"/>
      <c r="I70" s="76">
        <v>124</v>
      </c>
      <c r="J70" s="74">
        <v>160</v>
      </c>
      <c r="K70" s="74">
        <v>67</v>
      </c>
      <c r="L70" s="74">
        <v>89</v>
      </c>
      <c r="M70" s="74">
        <v>68</v>
      </c>
      <c r="N70" s="74">
        <v>62</v>
      </c>
      <c r="O70" s="74">
        <v>51</v>
      </c>
      <c r="P70" s="74">
        <v>35</v>
      </c>
      <c r="Q70" s="74">
        <v>60</v>
      </c>
      <c r="R70" s="74">
        <v>73</v>
      </c>
      <c r="S70" s="74">
        <v>106</v>
      </c>
      <c r="T70" s="74">
        <v>106</v>
      </c>
      <c r="U70" s="74">
        <v>114</v>
      </c>
      <c r="V70" s="77"/>
      <c r="W70" s="74"/>
      <c r="X70" s="74"/>
      <c r="Y70" s="74"/>
      <c r="Z70" s="74"/>
    </row>
    <row r="71" spans="1:26" ht="15.75" customHeight="1">
      <c r="A71" s="74"/>
      <c r="B71" s="74" t="b">
        <f t="shared" si="1"/>
        <v>1</v>
      </c>
      <c r="C71" s="77">
        <v>6075449</v>
      </c>
      <c r="D71" s="74">
        <v>6075449</v>
      </c>
      <c r="E71" s="79" t="s">
        <v>732</v>
      </c>
      <c r="F71" s="74" t="s">
        <v>25</v>
      </c>
      <c r="G71" s="74"/>
      <c r="H71" s="74"/>
      <c r="I71" s="76">
        <v>860</v>
      </c>
      <c r="J71" s="74">
        <v>1146</v>
      </c>
      <c r="K71" s="74">
        <v>828</v>
      </c>
      <c r="L71" s="74">
        <v>874</v>
      </c>
      <c r="M71" s="74">
        <v>930</v>
      </c>
      <c r="N71" s="74">
        <v>863</v>
      </c>
      <c r="O71" s="74">
        <v>767</v>
      </c>
      <c r="P71" s="74">
        <v>611</v>
      </c>
      <c r="Q71" s="74">
        <v>889</v>
      </c>
      <c r="R71" s="74">
        <v>988</v>
      </c>
      <c r="S71" s="74">
        <v>1146</v>
      </c>
      <c r="T71" s="74">
        <v>1217</v>
      </c>
      <c r="U71" s="74">
        <v>1135</v>
      </c>
      <c r="V71" s="77"/>
      <c r="W71" s="74"/>
      <c r="X71" s="74"/>
      <c r="Y71" s="74"/>
      <c r="Z71" s="74"/>
    </row>
    <row r="72" spans="1:26" ht="15.75" customHeight="1">
      <c r="A72" s="74"/>
      <c r="B72" s="74" t="b">
        <f t="shared" si="1"/>
        <v>1</v>
      </c>
      <c r="C72" s="77">
        <v>4811709</v>
      </c>
      <c r="D72" s="74">
        <v>4811709</v>
      </c>
      <c r="E72" s="79" t="s">
        <v>700</v>
      </c>
      <c r="F72" s="74" t="s">
        <v>25</v>
      </c>
      <c r="G72" s="74"/>
      <c r="H72" s="74"/>
      <c r="I72" s="76">
        <v>30</v>
      </c>
      <c r="J72" s="74">
        <v>30</v>
      </c>
      <c r="K72" s="74">
        <v>30</v>
      </c>
      <c r="L72" s="74">
        <v>30</v>
      </c>
      <c r="M72" s="74">
        <v>30</v>
      </c>
      <c r="N72" s="74">
        <v>30</v>
      </c>
      <c r="O72" s="74">
        <v>30</v>
      </c>
      <c r="P72" s="74">
        <v>30</v>
      </c>
      <c r="Q72" s="74">
        <v>30</v>
      </c>
      <c r="R72" s="74">
        <v>30</v>
      </c>
      <c r="S72" s="74">
        <v>30</v>
      </c>
      <c r="T72" s="74">
        <v>30</v>
      </c>
      <c r="U72" s="74">
        <v>30</v>
      </c>
      <c r="V72" s="77"/>
      <c r="W72" s="74"/>
      <c r="X72" s="74"/>
      <c r="Y72" s="74"/>
      <c r="Z72" s="74"/>
    </row>
    <row r="73" spans="1:26" ht="15.75" customHeight="1">
      <c r="A73" s="74"/>
      <c r="B73" s="74" t="b">
        <f t="shared" si="1"/>
        <v>1</v>
      </c>
      <c r="C73" s="77">
        <v>4811694</v>
      </c>
      <c r="D73" s="74">
        <v>4811694</v>
      </c>
      <c r="E73" s="79" t="s">
        <v>700</v>
      </c>
      <c r="F73" s="74" t="s">
        <v>25</v>
      </c>
      <c r="G73" s="74"/>
      <c r="H73" s="74"/>
      <c r="I73" s="76">
        <v>132</v>
      </c>
      <c r="J73" s="74">
        <v>172</v>
      </c>
      <c r="K73" s="74">
        <v>81</v>
      </c>
      <c r="L73" s="74">
        <v>94</v>
      </c>
      <c r="M73" s="74">
        <v>77</v>
      </c>
      <c r="N73" s="74">
        <v>65</v>
      </c>
      <c r="O73" s="74">
        <v>67</v>
      </c>
      <c r="P73" s="74">
        <v>35</v>
      </c>
      <c r="Q73" s="74">
        <v>62</v>
      </c>
      <c r="R73" s="74">
        <v>78</v>
      </c>
      <c r="S73" s="74">
        <v>116</v>
      </c>
      <c r="T73" s="74">
        <v>116</v>
      </c>
      <c r="U73" s="74">
        <v>122</v>
      </c>
      <c r="V73" s="77"/>
      <c r="W73" s="74"/>
      <c r="X73" s="74"/>
      <c r="Y73" s="74"/>
      <c r="Z73" s="74"/>
    </row>
    <row r="74" spans="1:26" ht="15.75" customHeight="1">
      <c r="A74" s="74"/>
      <c r="B74" s="74" t="b">
        <f t="shared" si="1"/>
        <v>1</v>
      </c>
      <c r="C74" s="77">
        <v>2436149</v>
      </c>
      <c r="D74" s="74">
        <v>2436149</v>
      </c>
      <c r="E74" s="79" t="s">
        <v>704</v>
      </c>
      <c r="F74" s="74" t="s">
        <v>25</v>
      </c>
      <c r="G74" s="74"/>
      <c r="H74" s="74"/>
      <c r="I74" s="76">
        <v>1182</v>
      </c>
      <c r="J74" s="74">
        <v>1064</v>
      </c>
      <c r="K74" s="74">
        <v>798</v>
      </c>
      <c r="L74" s="74">
        <v>996</v>
      </c>
      <c r="M74" s="74">
        <v>759</v>
      </c>
      <c r="N74" s="74">
        <v>683</v>
      </c>
      <c r="O74" s="74">
        <v>474</v>
      </c>
      <c r="P74" s="74">
        <v>353</v>
      </c>
      <c r="Q74" s="74">
        <v>683</v>
      </c>
      <c r="R74" s="74">
        <v>876</v>
      </c>
      <c r="S74" s="74">
        <v>1195</v>
      </c>
      <c r="T74" s="74">
        <v>1315</v>
      </c>
      <c r="U74" s="74">
        <v>1342</v>
      </c>
      <c r="V74" s="77"/>
      <c r="W74" s="74"/>
      <c r="X74" s="74"/>
      <c r="Y74" s="74"/>
      <c r="Z74" s="74"/>
    </row>
    <row r="75" spans="1:26" ht="15.75" customHeight="1">
      <c r="A75" s="74"/>
      <c r="B75" s="74" t="b">
        <f t="shared" si="1"/>
        <v>1</v>
      </c>
      <c r="C75" s="77">
        <v>2504197</v>
      </c>
      <c r="D75" s="74">
        <v>2504197</v>
      </c>
      <c r="E75" s="79" t="s">
        <v>704</v>
      </c>
      <c r="F75" s="74" t="s">
        <v>25</v>
      </c>
      <c r="G75" s="74"/>
      <c r="H75" s="74"/>
      <c r="I75" s="76">
        <v>659</v>
      </c>
      <c r="J75" s="74">
        <v>800</v>
      </c>
      <c r="K75" s="74">
        <v>637</v>
      </c>
      <c r="L75" s="74">
        <v>715</v>
      </c>
      <c r="M75" s="74">
        <v>625</v>
      </c>
      <c r="N75" s="74">
        <v>652</v>
      </c>
      <c r="O75" s="74">
        <v>576</v>
      </c>
      <c r="P75" s="74">
        <v>755</v>
      </c>
      <c r="Q75" s="74">
        <v>908</v>
      </c>
      <c r="R75" s="74">
        <v>938</v>
      </c>
      <c r="S75" s="74">
        <v>1359</v>
      </c>
      <c r="T75" s="74">
        <v>1395</v>
      </c>
      <c r="U75" s="74">
        <v>1490</v>
      </c>
      <c r="V75" s="77"/>
      <c r="W75" s="74"/>
      <c r="X75" s="74"/>
      <c r="Y75" s="74"/>
      <c r="Z75" s="74"/>
    </row>
    <row r="76" spans="1:26" ht="15.75" customHeight="1">
      <c r="A76" s="74"/>
      <c r="B76" s="74" t="b">
        <f t="shared" si="1"/>
        <v>1</v>
      </c>
      <c r="C76" s="77">
        <v>4811716</v>
      </c>
      <c r="D76" s="74">
        <v>4811716</v>
      </c>
      <c r="E76" s="79" t="s">
        <v>704</v>
      </c>
      <c r="F76" s="74" t="s">
        <v>25</v>
      </c>
      <c r="G76" s="74"/>
      <c r="H76" s="74"/>
      <c r="I76" s="76">
        <v>100</v>
      </c>
      <c r="J76" s="74">
        <v>100</v>
      </c>
      <c r="K76" s="74">
        <v>104</v>
      </c>
      <c r="L76" s="74">
        <v>170</v>
      </c>
      <c r="M76" s="74">
        <v>160</v>
      </c>
      <c r="N76" s="74">
        <v>102</v>
      </c>
      <c r="O76" s="74">
        <v>105</v>
      </c>
      <c r="P76" s="74">
        <v>101</v>
      </c>
      <c r="Q76" s="74">
        <v>115</v>
      </c>
      <c r="R76" s="74">
        <v>120</v>
      </c>
      <c r="S76" s="74">
        <v>152</v>
      </c>
      <c r="T76" s="74">
        <v>100</v>
      </c>
      <c r="U76" s="74">
        <v>100</v>
      </c>
      <c r="V76" s="77"/>
      <c r="W76" s="74"/>
      <c r="X76" s="74"/>
      <c r="Y76" s="74"/>
      <c r="Z76" s="74"/>
    </row>
    <row r="77" spans="1:26" ht="15.75" customHeight="1">
      <c r="A77" s="74"/>
      <c r="B77" s="74" t="b">
        <f t="shared" si="1"/>
        <v>1</v>
      </c>
      <c r="C77" s="77">
        <v>6084369</v>
      </c>
      <c r="D77" s="74">
        <v>6084369</v>
      </c>
      <c r="E77" s="79" t="s">
        <v>700</v>
      </c>
      <c r="F77" s="74" t="s">
        <v>25</v>
      </c>
      <c r="G77" s="74"/>
      <c r="H77" s="74"/>
      <c r="I77" s="76">
        <v>359</v>
      </c>
      <c r="J77" s="74">
        <v>465</v>
      </c>
      <c r="K77" s="74">
        <v>294</v>
      </c>
      <c r="L77" s="74">
        <v>327</v>
      </c>
      <c r="M77" s="74">
        <v>286</v>
      </c>
      <c r="N77" s="74">
        <v>383</v>
      </c>
      <c r="O77" s="74">
        <v>354</v>
      </c>
      <c r="P77" s="74">
        <v>447</v>
      </c>
      <c r="Q77" s="74">
        <v>491</v>
      </c>
      <c r="R77" s="74">
        <v>584</v>
      </c>
      <c r="S77" s="74">
        <v>489</v>
      </c>
      <c r="T77" s="74">
        <v>476</v>
      </c>
      <c r="U77" s="74">
        <v>402</v>
      </c>
      <c r="V77" s="77"/>
      <c r="W77" s="74"/>
      <c r="X77" s="74"/>
      <c r="Y77" s="74"/>
      <c r="Z77" s="74"/>
    </row>
    <row r="78" spans="1:26" ht="15.75" customHeight="1">
      <c r="A78" s="74"/>
      <c r="B78" s="74" t="b">
        <f t="shared" si="1"/>
        <v>1</v>
      </c>
      <c r="C78" s="77">
        <v>2494882</v>
      </c>
      <c r="D78" s="74">
        <v>2494882</v>
      </c>
      <c r="E78" s="79" t="s">
        <v>704</v>
      </c>
      <c r="F78" s="74" t="s">
        <v>25</v>
      </c>
      <c r="G78" s="74"/>
      <c r="H78" s="74"/>
      <c r="I78" s="76">
        <v>100</v>
      </c>
      <c r="J78" s="74">
        <v>100</v>
      </c>
      <c r="K78" s="74">
        <v>100</v>
      </c>
      <c r="L78" s="74">
        <v>100</v>
      </c>
      <c r="M78" s="74">
        <v>100</v>
      </c>
      <c r="N78" s="74">
        <v>100</v>
      </c>
      <c r="O78" s="74">
        <v>100</v>
      </c>
      <c r="P78" s="74">
        <v>100</v>
      </c>
      <c r="Q78" s="74">
        <v>100</v>
      </c>
      <c r="R78" s="74">
        <v>100</v>
      </c>
      <c r="S78" s="74">
        <v>100</v>
      </c>
      <c r="T78" s="74">
        <v>100</v>
      </c>
      <c r="U78" s="74">
        <v>100</v>
      </c>
      <c r="V78" s="77"/>
      <c r="W78" s="74"/>
      <c r="X78" s="74"/>
      <c r="Y78" s="74"/>
      <c r="Z78" s="74"/>
    </row>
    <row r="79" spans="1:26" ht="15.75" customHeight="1">
      <c r="A79" s="74"/>
      <c r="B79" s="74" t="b">
        <f t="shared" si="1"/>
        <v>1</v>
      </c>
      <c r="C79" s="77">
        <v>3752208</v>
      </c>
      <c r="D79" s="74">
        <v>3752208</v>
      </c>
      <c r="E79" s="79" t="s">
        <v>732</v>
      </c>
      <c r="F79" s="74" t="s">
        <v>25</v>
      </c>
      <c r="G79" s="74"/>
      <c r="H79" s="74"/>
      <c r="I79" s="76">
        <v>601</v>
      </c>
      <c r="J79" s="74">
        <v>601</v>
      </c>
      <c r="K79" s="74">
        <v>601</v>
      </c>
      <c r="L79" s="74">
        <v>602</v>
      </c>
      <c r="M79" s="74">
        <v>602</v>
      </c>
      <c r="N79" s="74">
        <v>603</v>
      </c>
      <c r="O79" s="74">
        <v>603</v>
      </c>
      <c r="P79" s="74">
        <v>604</v>
      </c>
      <c r="Q79" s="74">
        <v>602</v>
      </c>
      <c r="R79" s="74">
        <v>600</v>
      </c>
      <c r="S79" s="74">
        <v>599</v>
      </c>
      <c r="T79" s="74">
        <v>600</v>
      </c>
      <c r="U79" s="74">
        <v>600</v>
      </c>
      <c r="V79" s="77"/>
      <c r="W79" s="74"/>
      <c r="X79" s="74"/>
      <c r="Y79" s="74"/>
      <c r="Z79" s="74"/>
    </row>
    <row r="80" spans="1:26" ht="15.75" customHeight="1">
      <c r="A80" s="74"/>
      <c r="B80" s="74" t="b">
        <f t="shared" si="1"/>
        <v>1</v>
      </c>
      <c r="C80" s="77">
        <v>3390365</v>
      </c>
      <c r="D80" s="74">
        <v>3390365</v>
      </c>
      <c r="E80" s="79" t="s">
        <v>704</v>
      </c>
      <c r="F80" s="74" t="s">
        <v>25</v>
      </c>
      <c r="G80" s="74"/>
      <c r="H80" s="74"/>
      <c r="I80" s="76">
        <v>100</v>
      </c>
      <c r="J80" s="74">
        <v>100</v>
      </c>
      <c r="K80" s="74">
        <v>100</v>
      </c>
      <c r="L80" s="74">
        <v>100</v>
      </c>
      <c r="M80" s="74">
        <v>100</v>
      </c>
      <c r="N80" s="74">
        <v>100</v>
      </c>
      <c r="O80" s="74">
        <v>100</v>
      </c>
      <c r="P80" s="74">
        <v>100</v>
      </c>
      <c r="Q80" s="74">
        <v>100</v>
      </c>
      <c r="R80" s="74">
        <v>100</v>
      </c>
      <c r="S80" s="74">
        <v>100</v>
      </c>
      <c r="T80" s="74">
        <v>100</v>
      </c>
      <c r="U80" s="74">
        <v>100</v>
      </c>
      <c r="V80" s="77"/>
      <c r="W80" s="74"/>
      <c r="X80" s="74"/>
      <c r="Y80" s="74"/>
      <c r="Z80" s="74"/>
    </row>
    <row r="81" spans="1:26" ht="15.75" customHeight="1">
      <c r="A81" s="74"/>
      <c r="B81" s="74" t="b">
        <f t="shared" si="1"/>
        <v>1</v>
      </c>
      <c r="C81" s="77">
        <v>60207283</v>
      </c>
      <c r="D81" s="74">
        <v>60207283</v>
      </c>
      <c r="E81" s="79" t="s">
        <v>704</v>
      </c>
      <c r="F81" s="74" t="s">
        <v>25</v>
      </c>
      <c r="G81" s="74"/>
      <c r="H81" s="74"/>
      <c r="I81" s="76">
        <v>147</v>
      </c>
      <c r="J81" s="74">
        <v>142</v>
      </c>
      <c r="K81" s="74">
        <v>130</v>
      </c>
      <c r="L81" s="74">
        <v>140</v>
      </c>
      <c r="M81" s="74">
        <v>115</v>
      </c>
      <c r="N81" s="74">
        <v>117</v>
      </c>
      <c r="O81" s="74">
        <v>103</v>
      </c>
      <c r="P81" s="74">
        <v>100</v>
      </c>
      <c r="Q81" s="74">
        <v>106</v>
      </c>
      <c r="R81" s="74">
        <v>100</v>
      </c>
      <c r="S81" s="74">
        <v>138</v>
      </c>
      <c r="T81" s="74">
        <v>140</v>
      </c>
      <c r="U81" s="74">
        <v>138</v>
      </c>
      <c r="V81" s="77"/>
      <c r="W81" s="74"/>
      <c r="X81" s="74"/>
      <c r="Y81" s="74"/>
      <c r="Z81" s="74"/>
    </row>
    <row r="82" spans="1:26" ht="15.75" customHeight="1">
      <c r="A82" s="74"/>
      <c r="B82" s="74" t="b">
        <f t="shared" si="1"/>
        <v>1</v>
      </c>
      <c r="C82" s="77">
        <v>6187992</v>
      </c>
      <c r="D82" s="74">
        <v>6187992</v>
      </c>
      <c r="E82" s="79" t="s">
        <v>704</v>
      </c>
      <c r="F82" s="74" t="s">
        <v>25</v>
      </c>
      <c r="G82" s="74"/>
      <c r="H82" s="74"/>
      <c r="I82" s="76">
        <v>882</v>
      </c>
      <c r="J82" s="74">
        <v>848</v>
      </c>
      <c r="K82" s="74">
        <v>810</v>
      </c>
      <c r="L82" s="74">
        <v>822</v>
      </c>
      <c r="M82" s="74">
        <v>825</v>
      </c>
      <c r="N82" s="74">
        <v>869</v>
      </c>
      <c r="O82" s="74">
        <v>835</v>
      </c>
      <c r="P82" s="74">
        <v>490</v>
      </c>
      <c r="Q82" s="74">
        <v>615</v>
      </c>
      <c r="R82" s="74">
        <v>614</v>
      </c>
      <c r="S82" s="74">
        <v>537</v>
      </c>
      <c r="T82" s="74">
        <v>543</v>
      </c>
      <c r="U82" s="74">
        <v>441</v>
      </c>
      <c r="V82" s="77"/>
      <c r="W82" s="74"/>
      <c r="X82" s="74"/>
      <c r="Y82" s="74"/>
      <c r="Z82" s="74"/>
    </row>
    <row r="83" spans="1:26" ht="15.75" customHeight="1">
      <c r="A83" s="74"/>
      <c r="B83" s="74" t="b">
        <f t="shared" si="1"/>
        <v>1</v>
      </c>
      <c r="C83" s="77">
        <v>7855522</v>
      </c>
      <c r="D83" s="74">
        <v>7855522</v>
      </c>
      <c r="E83" s="79" t="s">
        <v>732</v>
      </c>
      <c r="F83" s="74" t="s">
        <v>25</v>
      </c>
      <c r="G83" s="74"/>
      <c r="H83" s="74"/>
      <c r="I83" s="76">
        <v>388</v>
      </c>
      <c r="J83" s="74">
        <v>356</v>
      </c>
      <c r="K83" s="74">
        <v>402</v>
      </c>
      <c r="L83" s="74">
        <v>393</v>
      </c>
      <c r="M83" s="74">
        <v>345</v>
      </c>
      <c r="N83" s="74">
        <v>247</v>
      </c>
      <c r="O83" s="74">
        <v>256</v>
      </c>
      <c r="P83" s="74">
        <v>240</v>
      </c>
      <c r="Q83" s="74">
        <v>296</v>
      </c>
      <c r="R83" s="74">
        <v>319</v>
      </c>
      <c r="S83" s="74">
        <v>410</v>
      </c>
      <c r="T83" s="74">
        <v>388</v>
      </c>
      <c r="U83" s="74">
        <v>409</v>
      </c>
      <c r="V83" s="77"/>
      <c r="W83" s="74"/>
      <c r="X83" s="74"/>
      <c r="Y83" s="74"/>
      <c r="Z83" s="74"/>
    </row>
    <row r="84" spans="1:26" ht="15.75" customHeight="1">
      <c r="A84" s="74"/>
      <c r="B84" s="74" t="b">
        <f t="shared" si="1"/>
        <v>1</v>
      </c>
      <c r="C84" s="77">
        <v>2663995</v>
      </c>
      <c r="D84" s="74">
        <v>2663995</v>
      </c>
      <c r="E84" s="79" t="s">
        <v>704</v>
      </c>
      <c r="F84" s="74" t="s">
        <v>25</v>
      </c>
      <c r="G84" s="74"/>
      <c r="H84" s="74"/>
      <c r="I84" s="76">
        <v>330</v>
      </c>
      <c r="J84" s="74">
        <v>275</v>
      </c>
      <c r="K84" s="74">
        <v>303</v>
      </c>
      <c r="L84" s="74">
        <v>322</v>
      </c>
      <c r="M84" s="74">
        <v>300</v>
      </c>
      <c r="N84" s="74">
        <v>234</v>
      </c>
      <c r="O84" s="74">
        <v>242</v>
      </c>
      <c r="P84" s="74">
        <v>553</v>
      </c>
      <c r="Q84" s="74">
        <v>741</v>
      </c>
      <c r="R84" s="74">
        <v>790</v>
      </c>
      <c r="S84" s="74">
        <v>1354</v>
      </c>
      <c r="T84" s="74">
        <v>2692</v>
      </c>
      <c r="U84" s="74">
        <v>2983</v>
      </c>
      <c r="V84" s="77"/>
      <c r="W84" s="74"/>
      <c r="X84" s="74"/>
      <c r="Y84" s="74"/>
      <c r="Z84" s="74"/>
    </row>
    <row r="85" spans="1:26" ht="15.75" customHeight="1">
      <c r="A85" s="74"/>
      <c r="B85" s="74" t="b">
        <f t="shared" si="1"/>
        <v>1</v>
      </c>
      <c r="C85" s="77">
        <v>25800</v>
      </c>
      <c r="D85" s="74">
        <v>25800</v>
      </c>
      <c r="E85" s="79" t="s">
        <v>704</v>
      </c>
      <c r="F85" s="74" t="s">
        <v>25</v>
      </c>
      <c r="G85" s="74"/>
      <c r="H85" s="74"/>
      <c r="I85" s="76">
        <v>1037</v>
      </c>
      <c r="J85" s="74">
        <v>1112</v>
      </c>
      <c r="K85" s="74">
        <v>953</v>
      </c>
      <c r="L85" s="74">
        <v>1145</v>
      </c>
      <c r="M85" s="74">
        <v>1160</v>
      </c>
      <c r="N85" s="74">
        <v>1192</v>
      </c>
      <c r="O85" s="74">
        <v>1304</v>
      </c>
      <c r="P85" s="74">
        <v>1247</v>
      </c>
      <c r="Q85" s="74">
        <v>1354</v>
      </c>
      <c r="R85" s="74">
        <v>1423</v>
      </c>
      <c r="S85" s="74">
        <v>1385</v>
      </c>
      <c r="T85" s="74">
        <v>1352</v>
      </c>
      <c r="U85" s="74">
        <v>1267</v>
      </c>
      <c r="V85" s="77"/>
      <c r="W85" s="74"/>
      <c r="X85" s="74"/>
      <c r="Y85" s="74"/>
      <c r="Z85" s="74"/>
    </row>
    <row r="86" spans="1:26" ht="15.75" customHeight="1">
      <c r="A86" s="74"/>
      <c r="B86" s="74" t="b">
        <f t="shared" si="1"/>
        <v>1</v>
      </c>
      <c r="C86" s="77">
        <v>25806</v>
      </c>
      <c r="D86" s="74">
        <v>25806</v>
      </c>
      <c r="E86" s="79" t="s">
        <v>704</v>
      </c>
      <c r="F86" s="74" t="s">
        <v>25</v>
      </c>
      <c r="G86" s="74"/>
      <c r="H86" s="74"/>
      <c r="I86" s="76">
        <v>4914</v>
      </c>
      <c r="J86" s="74">
        <v>4316</v>
      </c>
      <c r="K86" s="74">
        <v>4016</v>
      </c>
      <c r="L86" s="74">
        <v>3250</v>
      </c>
      <c r="M86" s="74">
        <v>3347</v>
      </c>
      <c r="N86" s="74">
        <v>3371</v>
      </c>
      <c r="O86" s="74">
        <v>3247</v>
      </c>
      <c r="P86" s="74">
        <v>2975</v>
      </c>
      <c r="Q86" s="74">
        <v>3384</v>
      </c>
      <c r="R86" s="74">
        <v>3580</v>
      </c>
      <c r="S86" s="74">
        <v>4837</v>
      </c>
      <c r="T86" s="74">
        <v>4493</v>
      </c>
      <c r="U86" s="74">
        <v>4763</v>
      </c>
      <c r="V86" s="77"/>
      <c r="W86" s="74"/>
      <c r="X86" s="74"/>
      <c r="Y86" s="74"/>
      <c r="Z86" s="74"/>
    </row>
    <row r="87" spans="1:26" ht="15.75" customHeight="1">
      <c r="A87" s="74"/>
      <c r="B87" s="74" t="b">
        <f t="shared" si="1"/>
        <v>1</v>
      </c>
      <c r="C87" s="77">
        <v>2488844</v>
      </c>
      <c r="D87" s="74">
        <v>2488844</v>
      </c>
      <c r="E87" s="79" t="s">
        <v>704</v>
      </c>
      <c r="F87" s="74" t="s">
        <v>25</v>
      </c>
      <c r="G87" s="74"/>
      <c r="H87" s="74"/>
      <c r="I87" s="76">
        <v>6860</v>
      </c>
      <c r="J87" s="74">
        <v>8127</v>
      </c>
      <c r="K87" s="74">
        <v>5215</v>
      </c>
      <c r="L87" s="74">
        <v>5662</v>
      </c>
      <c r="M87" s="74">
        <v>5526</v>
      </c>
      <c r="N87" s="74">
        <v>5352</v>
      </c>
      <c r="O87" s="74">
        <v>4386</v>
      </c>
      <c r="P87" s="74">
        <v>4544</v>
      </c>
      <c r="Q87" s="74">
        <v>5136</v>
      </c>
      <c r="R87" s="74">
        <v>6015</v>
      </c>
      <c r="S87" s="74">
        <v>6574</v>
      </c>
      <c r="T87" s="74">
        <v>6561</v>
      </c>
      <c r="U87" s="74">
        <v>5287</v>
      </c>
      <c r="V87" s="77"/>
      <c r="W87" s="74"/>
      <c r="X87" s="74"/>
      <c r="Y87" s="74"/>
      <c r="Z87" s="74"/>
    </row>
    <row r="88" spans="1:26" ht="15.75" customHeight="1">
      <c r="A88" s="74"/>
      <c r="B88" s="74" t="b">
        <f t="shared" si="1"/>
        <v>1</v>
      </c>
      <c r="C88" s="77">
        <v>3464208</v>
      </c>
      <c r="D88" s="74">
        <v>3464208</v>
      </c>
      <c r="E88" s="79" t="s">
        <v>704</v>
      </c>
      <c r="F88" s="74" t="s">
        <v>25</v>
      </c>
      <c r="G88" s="74"/>
      <c r="H88" s="74"/>
      <c r="I88" s="76">
        <v>210</v>
      </c>
      <c r="J88" s="74">
        <v>100</v>
      </c>
      <c r="K88" s="74">
        <v>130</v>
      </c>
      <c r="L88" s="74">
        <v>328</v>
      </c>
      <c r="M88" s="74">
        <v>299</v>
      </c>
      <c r="N88" s="74">
        <v>218</v>
      </c>
      <c r="O88" s="74">
        <v>154</v>
      </c>
      <c r="P88" s="74">
        <v>188</v>
      </c>
      <c r="Q88" s="74">
        <v>294</v>
      </c>
      <c r="R88" s="74">
        <v>322</v>
      </c>
      <c r="S88" s="74">
        <v>417</v>
      </c>
      <c r="T88" s="74">
        <v>355</v>
      </c>
      <c r="U88" s="74">
        <v>296</v>
      </c>
      <c r="V88" s="77"/>
      <c r="W88" s="74"/>
      <c r="X88" s="74"/>
      <c r="Y88" s="74"/>
      <c r="Z88" s="74"/>
    </row>
    <row r="89" spans="1:26" ht="15.75" customHeight="1">
      <c r="A89" s="74"/>
      <c r="B89" s="74" t="b">
        <f t="shared" si="1"/>
        <v>1</v>
      </c>
      <c r="C89" s="77">
        <v>3464822</v>
      </c>
      <c r="D89" s="74">
        <v>3464822</v>
      </c>
      <c r="E89" s="79" t="s">
        <v>704</v>
      </c>
      <c r="F89" s="74" t="s">
        <v>25</v>
      </c>
      <c r="G89" s="74"/>
      <c r="H89" s="74"/>
      <c r="I89" s="76">
        <v>100</v>
      </c>
      <c r="J89" s="74">
        <v>100</v>
      </c>
      <c r="K89" s="74">
        <v>100</v>
      </c>
      <c r="L89" s="74">
        <v>100</v>
      </c>
      <c r="M89" s="74">
        <v>100</v>
      </c>
      <c r="N89" s="74">
        <v>100</v>
      </c>
      <c r="O89" s="74">
        <v>100</v>
      </c>
      <c r="P89" s="74">
        <v>100</v>
      </c>
      <c r="Q89" s="74">
        <v>100</v>
      </c>
      <c r="R89" s="74">
        <v>100</v>
      </c>
      <c r="S89" s="74">
        <v>100</v>
      </c>
      <c r="T89" s="74">
        <v>100</v>
      </c>
      <c r="U89" s="74">
        <v>100</v>
      </c>
      <c r="V89" s="77"/>
      <c r="W89" s="74"/>
      <c r="X89" s="74"/>
      <c r="Y89" s="74"/>
      <c r="Z89" s="74"/>
    </row>
    <row r="90" spans="1:26" ht="15.75" customHeight="1">
      <c r="A90" s="74"/>
      <c r="B90" s="74" t="b">
        <f t="shared" si="1"/>
        <v>1</v>
      </c>
      <c r="C90" s="77">
        <v>3464206</v>
      </c>
      <c r="D90" s="74">
        <v>3464206</v>
      </c>
      <c r="E90" s="79" t="s">
        <v>704</v>
      </c>
      <c r="F90" s="74" t="s">
        <v>25</v>
      </c>
      <c r="G90" s="74"/>
      <c r="H90" s="74"/>
      <c r="I90" s="76">
        <v>1227</v>
      </c>
      <c r="J90" s="74">
        <v>1121</v>
      </c>
      <c r="K90" s="74">
        <v>914</v>
      </c>
      <c r="L90" s="74">
        <v>892</v>
      </c>
      <c r="M90" s="74">
        <v>768</v>
      </c>
      <c r="N90" s="74">
        <v>685</v>
      </c>
      <c r="O90" s="74">
        <v>594</v>
      </c>
      <c r="P90" s="74">
        <v>426</v>
      </c>
      <c r="Q90" s="74">
        <v>436</v>
      </c>
      <c r="R90" s="74">
        <v>708</v>
      </c>
      <c r="S90" s="74">
        <v>1009</v>
      </c>
      <c r="T90" s="74">
        <v>992</v>
      </c>
      <c r="U90" s="74">
        <v>1175</v>
      </c>
      <c r="V90" s="77"/>
      <c r="W90" s="74"/>
      <c r="X90" s="74"/>
      <c r="Y90" s="74"/>
      <c r="Z90" s="74"/>
    </row>
    <row r="91" spans="1:26" ht="15.75" customHeight="1">
      <c r="A91" s="74"/>
      <c r="B91" s="74" t="b">
        <f t="shared" si="1"/>
        <v>1</v>
      </c>
      <c r="C91" s="77">
        <v>3464202</v>
      </c>
      <c r="D91" s="74">
        <v>3464202</v>
      </c>
      <c r="E91" s="79" t="s">
        <v>704</v>
      </c>
      <c r="F91" s="74" t="s">
        <v>25</v>
      </c>
      <c r="G91" s="74"/>
      <c r="H91" s="74"/>
      <c r="I91" s="76">
        <v>1731</v>
      </c>
      <c r="J91" s="74">
        <v>1708</v>
      </c>
      <c r="K91" s="74">
        <v>1924</v>
      </c>
      <c r="L91" s="74">
        <v>1874</v>
      </c>
      <c r="M91" s="74">
        <v>1990</v>
      </c>
      <c r="N91" s="74">
        <v>1871</v>
      </c>
      <c r="O91" s="74">
        <v>1819</v>
      </c>
      <c r="P91" s="74">
        <v>1615</v>
      </c>
      <c r="Q91" s="74">
        <v>1719</v>
      </c>
      <c r="R91" s="74">
        <v>1823</v>
      </c>
      <c r="S91" s="74">
        <v>1740</v>
      </c>
      <c r="T91" s="74">
        <v>1810</v>
      </c>
      <c r="U91" s="74">
        <v>1755</v>
      </c>
      <c r="V91" s="77"/>
      <c r="W91" s="74"/>
      <c r="X91" s="74"/>
      <c r="Y91" s="74"/>
      <c r="Z91" s="74"/>
    </row>
    <row r="92" spans="1:26" ht="15.75" customHeight="1">
      <c r="A92" s="74"/>
      <c r="B92" s="74" t="b">
        <f t="shared" si="1"/>
        <v>1</v>
      </c>
      <c r="C92" s="77">
        <v>3390360</v>
      </c>
      <c r="D92" s="74">
        <v>3390360</v>
      </c>
      <c r="E92" s="79" t="s">
        <v>704</v>
      </c>
      <c r="F92" s="74" t="s">
        <v>25</v>
      </c>
      <c r="G92" s="74"/>
      <c r="H92" s="74"/>
      <c r="I92" s="76">
        <v>234</v>
      </c>
      <c r="J92" s="74">
        <v>431</v>
      </c>
      <c r="K92" s="74">
        <v>431</v>
      </c>
      <c r="L92" s="74">
        <v>410</v>
      </c>
      <c r="M92" s="74">
        <v>411</v>
      </c>
      <c r="N92" s="74">
        <v>414</v>
      </c>
      <c r="O92" s="74">
        <v>427</v>
      </c>
      <c r="P92" s="74">
        <v>397</v>
      </c>
      <c r="Q92" s="74">
        <v>345</v>
      </c>
      <c r="R92" s="74">
        <v>332</v>
      </c>
      <c r="S92" s="74">
        <v>352</v>
      </c>
      <c r="T92" s="74">
        <v>361</v>
      </c>
      <c r="U92" s="74">
        <v>171</v>
      </c>
      <c r="V92" s="77"/>
      <c r="W92" s="74"/>
      <c r="X92" s="74"/>
      <c r="Y92" s="74"/>
      <c r="Z92" s="74"/>
    </row>
    <row r="93" spans="1:26" ht="15.75" customHeight="1">
      <c r="A93" s="74"/>
      <c r="B93" s="74" t="b">
        <f t="shared" si="1"/>
        <v>1</v>
      </c>
      <c r="C93" s="77">
        <v>3461109</v>
      </c>
      <c r="D93" s="74">
        <v>3461109</v>
      </c>
      <c r="E93" s="79" t="s">
        <v>704</v>
      </c>
      <c r="F93" s="74" t="s">
        <v>25</v>
      </c>
      <c r="G93" s="74"/>
      <c r="H93" s="74"/>
      <c r="I93" s="76">
        <v>2531</v>
      </c>
      <c r="J93" s="74">
        <v>2602</v>
      </c>
      <c r="K93" s="74">
        <v>2502</v>
      </c>
      <c r="L93" s="74">
        <v>2056</v>
      </c>
      <c r="M93" s="74">
        <v>1867</v>
      </c>
      <c r="N93" s="74">
        <v>1410</v>
      </c>
      <c r="O93" s="74">
        <v>1116</v>
      </c>
      <c r="P93" s="74">
        <v>1022</v>
      </c>
      <c r="Q93" s="74">
        <v>1355</v>
      </c>
      <c r="R93" s="74">
        <v>1821</v>
      </c>
      <c r="S93" s="74">
        <v>1677</v>
      </c>
      <c r="T93" s="74">
        <v>1963</v>
      </c>
      <c r="U93" s="74">
        <v>1699</v>
      </c>
      <c r="V93" s="77"/>
      <c r="W93" s="74"/>
      <c r="X93" s="74"/>
      <c r="Y93" s="74"/>
      <c r="Z93" s="74"/>
    </row>
    <row r="94" spans="1:26" ht="15.75" customHeight="1">
      <c r="A94" s="74"/>
      <c r="B94" s="74" t="b">
        <f t="shared" si="1"/>
        <v>1</v>
      </c>
      <c r="C94" s="77">
        <v>3390352</v>
      </c>
      <c r="D94" s="74">
        <v>3390352</v>
      </c>
      <c r="E94" s="79" t="s">
        <v>704</v>
      </c>
      <c r="F94" s="74" t="s">
        <v>25</v>
      </c>
      <c r="G94" s="74"/>
      <c r="H94" s="74"/>
      <c r="I94" s="76">
        <v>323</v>
      </c>
      <c r="J94" s="74">
        <v>241</v>
      </c>
      <c r="K94" s="74">
        <v>410</v>
      </c>
      <c r="L94" s="74">
        <v>458</v>
      </c>
      <c r="M94" s="74">
        <v>198</v>
      </c>
      <c r="N94" s="74">
        <v>102</v>
      </c>
      <c r="O94" s="74">
        <v>100</v>
      </c>
      <c r="P94" s="74">
        <v>100</v>
      </c>
      <c r="Q94" s="74">
        <v>100</v>
      </c>
      <c r="R94" s="74">
        <v>100</v>
      </c>
      <c r="S94" s="74">
        <v>100</v>
      </c>
      <c r="T94" s="74">
        <v>100</v>
      </c>
      <c r="U94" s="74">
        <v>143</v>
      </c>
      <c r="V94" s="77"/>
      <c r="W94" s="74"/>
      <c r="X94" s="74"/>
      <c r="Y94" s="74"/>
      <c r="Z94" s="74"/>
    </row>
    <row r="95" spans="1:26" ht="15.75" customHeight="1">
      <c r="A95" s="74"/>
      <c r="B95" s="74" t="b">
        <f t="shared" si="1"/>
        <v>1</v>
      </c>
      <c r="C95" s="77">
        <v>3463720</v>
      </c>
      <c r="D95" s="74">
        <v>3463720</v>
      </c>
      <c r="E95" s="79" t="s">
        <v>704</v>
      </c>
      <c r="F95" s="74" t="s">
        <v>25</v>
      </c>
      <c r="G95" s="74"/>
      <c r="H95" s="74"/>
      <c r="I95" s="76">
        <v>1616</v>
      </c>
      <c r="J95" s="74">
        <v>1488</v>
      </c>
      <c r="K95" s="74">
        <v>1400</v>
      </c>
      <c r="L95" s="74">
        <v>1216</v>
      </c>
      <c r="M95" s="74">
        <v>1256</v>
      </c>
      <c r="N95" s="74">
        <v>1245</v>
      </c>
      <c r="O95" s="74">
        <v>1189</v>
      </c>
      <c r="P95" s="74">
        <v>1027</v>
      </c>
      <c r="Q95" s="74">
        <v>1271</v>
      </c>
      <c r="R95" s="74">
        <v>1283</v>
      </c>
      <c r="S95" s="74">
        <v>1599</v>
      </c>
      <c r="T95" s="74">
        <v>1494</v>
      </c>
      <c r="U95" s="74">
        <v>1627</v>
      </c>
      <c r="V95" s="77"/>
      <c r="W95" s="74"/>
      <c r="X95" s="74"/>
      <c r="Y95" s="74"/>
      <c r="Z95" s="74"/>
    </row>
    <row r="96" spans="1:26" ht="15.75" customHeight="1">
      <c r="A96" s="74"/>
      <c r="B96" s="74" t="b">
        <f t="shared" si="1"/>
        <v>1</v>
      </c>
      <c r="C96" s="77">
        <v>3463822</v>
      </c>
      <c r="D96" s="74">
        <v>3463822</v>
      </c>
      <c r="E96" s="79" t="s">
        <v>704</v>
      </c>
      <c r="F96" s="74" t="s">
        <v>25</v>
      </c>
      <c r="G96" s="74"/>
      <c r="H96" s="74"/>
      <c r="I96" s="76">
        <v>570</v>
      </c>
      <c r="J96" s="74">
        <v>1137</v>
      </c>
      <c r="K96" s="74">
        <v>1200</v>
      </c>
      <c r="L96" s="74">
        <v>983</v>
      </c>
      <c r="M96" s="74">
        <v>1605</v>
      </c>
      <c r="N96" s="74">
        <v>1513</v>
      </c>
      <c r="O96" s="74">
        <v>1646</v>
      </c>
      <c r="P96" s="74">
        <v>1334</v>
      </c>
      <c r="Q96" s="74">
        <v>1608</v>
      </c>
      <c r="R96" s="74">
        <v>1755</v>
      </c>
      <c r="S96" s="74">
        <v>2256</v>
      </c>
      <c r="T96" s="74">
        <v>2132</v>
      </c>
      <c r="U96" s="74">
        <v>2065</v>
      </c>
      <c r="V96" s="77"/>
      <c r="W96" s="74"/>
      <c r="X96" s="74"/>
      <c r="Y96" s="74"/>
      <c r="Z96" s="74"/>
    </row>
    <row r="97" spans="1:26" ht="15.75" customHeight="1">
      <c r="A97" s="74"/>
      <c r="B97" s="74" t="b">
        <f t="shared" si="1"/>
        <v>1</v>
      </c>
      <c r="C97" s="77">
        <v>3461120</v>
      </c>
      <c r="D97" s="74">
        <v>3461120</v>
      </c>
      <c r="E97" s="79" t="s">
        <v>704</v>
      </c>
      <c r="F97" s="74" t="s">
        <v>25</v>
      </c>
      <c r="G97" s="74"/>
      <c r="H97" s="74"/>
      <c r="I97" s="76">
        <v>293</v>
      </c>
      <c r="J97" s="74">
        <v>288</v>
      </c>
      <c r="K97" s="74">
        <v>265</v>
      </c>
      <c r="L97" s="74">
        <v>259</v>
      </c>
      <c r="M97" s="74">
        <v>240</v>
      </c>
      <c r="N97" s="74">
        <v>233</v>
      </c>
      <c r="O97" s="74">
        <v>243</v>
      </c>
      <c r="P97" s="74">
        <v>198</v>
      </c>
      <c r="Q97" s="74">
        <v>240</v>
      </c>
      <c r="R97" s="74">
        <v>206</v>
      </c>
      <c r="S97" s="74">
        <v>294</v>
      </c>
      <c r="T97" s="74">
        <v>293</v>
      </c>
      <c r="U97" s="74">
        <v>302</v>
      </c>
      <c r="V97" s="77"/>
      <c r="W97" s="74"/>
      <c r="X97" s="74"/>
      <c r="Y97" s="74"/>
      <c r="Z97" s="74"/>
    </row>
    <row r="98" spans="1:26" ht="15.75" customHeight="1">
      <c r="A98" s="74"/>
      <c r="B98" s="74" t="b">
        <f t="shared" si="1"/>
        <v>1</v>
      </c>
      <c r="C98" s="77">
        <v>3461116</v>
      </c>
      <c r="D98" s="74">
        <v>3461116</v>
      </c>
      <c r="E98" s="79" t="s">
        <v>704</v>
      </c>
      <c r="F98" s="74" t="s">
        <v>25</v>
      </c>
      <c r="G98" s="74"/>
      <c r="H98" s="74"/>
      <c r="I98" s="76">
        <v>100</v>
      </c>
      <c r="J98" s="74">
        <v>100</v>
      </c>
      <c r="K98" s="74">
        <v>100</v>
      </c>
      <c r="L98" s="74">
        <v>100</v>
      </c>
      <c r="M98" s="74">
        <v>100</v>
      </c>
      <c r="N98" s="74">
        <v>100</v>
      </c>
      <c r="O98" s="74">
        <v>100</v>
      </c>
      <c r="P98" s="74">
        <v>100</v>
      </c>
      <c r="Q98" s="74">
        <v>100</v>
      </c>
      <c r="R98" s="74">
        <v>134</v>
      </c>
      <c r="S98" s="74">
        <v>100</v>
      </c>
      <c r="T98" s="74">
        <v>374</v>
      </c>
      <c r="U98" s="74">
        <v>278</v>
      </c>
      <c r="V98" s="77"/>
      <c r="W98" s="74"/>
      <c r="X98" s="74"/>
      <c r="Y98" s="74"/>
      <c r="Z98" s="74"/>
    </row>
    <row r="99" spans="1:26" ht="15.75" customHeight="1">
      <c r="A99" s="74"/>
      <c r="B99" s="74" t="b">
        <f t="shared" si="1"/>
        <v>1</v>
      </c>
      <c r="C99" s="77">
        <v>3463587</v>
      </c>
      <c r="D99" s="74">
        <v>3463587</v>
      </c>
      <c r="E99" s="79" t="s">
        <v>704</v>
      </c>
      <c r="F99" s="74" t="s">
        <v>25</v>
      </c>
      <c r="G99" s="74"/>
      <c r="H99" s="74"/>
      <c r="I99" s="76">
        <v>904</v>
      </c>
      <c r="J99" s="74">
        <v>892</v>
      </c>
      <c r="K99" s="74">
        <v>885</v>
      </c>
      <c r="L99" s="74">
        <v>891</v>
      </c>
      <c r="M99" s="74">
        <v>880</v>
      </c>
      <c r="N99" s="74">
        <v>864</v>
      </c>
      <c r="O99" s="74">
        <v>843</v>
      </c>
      <c r="P99" s="74">
        <v>923</v>
      </c>
      <c r="Q99" s="74">
        <v>833</v>
      </c>
      <c r="R99" s="74">
        <v>809</v>
      </c>
      <c r="S99" s="74">
        <v>1039</v>
      </c>
      <c r="T99" s="74">
        <v>1089</v>
      </c>
      <c r="U99" s="74">
        <v>753</v>
      </c>
      <c r="V99" s="77"/>
      <c r="W99" s="74"/>
      <c r="X99" s="74"/>
      <c r="Y99" s="74"/>
      <c r="Z99" s="74"/>
    </row>
    <row r="100" spans="1:26" ht="15.75" customHeight="1">
      <c r="A100" s="74"/>
      <c r="B100" s="74" t="b">
        <f t="shared" si="1"/>
        <v>1</v>
      </c>
      <c r="C100" s="77">
        <v>3462452</v>
      </c>
      <c r="D100" s="74">
        <v>3462452</v>
      </c>
      <c r="E100" s="79" t="s">
        <v>704</v>
      </c>
      <c r="F100" s="74" t="s">
        <v>25</v>
      </c>
      <c r="G100" s="74"/>
      <c r="H100" s="74"/>
      <c r="I100" s="76">
        <v>1886</v>
      </c>
      <c r="J100" s="74">
        <v>2031</v>
      </c>
      <c r="K100" s="74">
        <v>1548</v>
      </c>
      <c r="L100" s="74">
        <v>1635</v>
      </c>
      <c r="M100" s="74">
        <v>1581</v>
      </c>
      <c r="N100" s="74">
        <v>1364</v>
      </c>
      <c r="O100" s="74">
        <v>1306</v>
      </c>
      <c r="P100" s="74">
        <v>1171</v>
      </c>
      <c r="Q100" s="74">
        <v>1373</v>
      </c>
      <c r="R100" s="74">
        <v>1462</v>
      </c>
      <c r="S100" s="74">
        <v>1947</v>
      </c>
      <c r="T100" s="74">
        <v>2021</v>
      </c>
      <c r="U100" s="74">
        <v>2134</v>
      </c>
      <c r="V100" s="77"/>
      <c r="W100" s="74"/>
      <c r="X100" s="74"/>
      <c r="Y100" s="74"/>
      <c r="Z100" s="74"/>
    </row>
    <row r="101" spans="1:26" ht="15.75" customHeight="1">
      <c r="A101" s="74"/>
      <c r="B101" s="74" t="b">
        <f t="shared" si="1"/>
        <v>1</v>
      </c>
      <c r="C101" s="77">
        <v>10427</v>
      </c>
      <c r="D101" s="74">
        <v>10427</v>
      </c>
      <c r="E101" s="79" t="s">
        <v>704</v>
      </c>
      <c r="F101" s="74" t="s">
        <v>25</v>
      </c>
      <c r="G101" s="74"/>
      <c r="H101" s="74"/>
      <c r="I101" s="76">
        <v>4749</v>
      </c>
      <c r="J101" s="74">
        <v>5202</v>
      </c>
      <c r="K101" s="74">
        <v>3139</v>
      </c>
      <c r="L101" s="74">
        <v>4721</v>
      </c>
      <c r="M101" s="74">
        <v>4803</v>
      </c>
      <c r="N101" s="74">
        <v>4723</v>
      </c>
      <c r="O101" s="74">
        <v>4400</v>
      </c>
      <c r="P101" s="74">
        <v>4403</v>
      </c>
      <c r="Q101" s="74">
        <v>4359</v>
      </c>
      <c r="R101" s="74">
        <v>4300</v>
      </c>
      <c r="S101" s="74">
        <v>4285</v>
      </c>
      <c r="T101" s="74">
        <v>4389</v>
      </c>
      <c r="U101" s="74">
        <v>2784</v>
      </c>
      <c r="V101" s="77"/>
      <c r="W101" s="74"/>
      <c r="X101" s="74"/>
      <c r="Y101" s="74"/>
      <c r="Z101" s="74"/>
    </row>
    <row r="102" spans="1:26" ht="15.75" customHeight="1">
      <c r="A102" s="74"/>
      <c r="B102" s="74" t="b">
        <f t="shared" si="1"/>
        <v>1</v>
      </c>
      <c r="C102" s="77">
        <v>60817690</v>
      </c>
      <c r="D102" s="74">
        <v>60817690</v>
      </c>
      <c r="E102" s="79" t="s">
        <v>704</v>
      </c>
      <c r="F102" s="74" t="s">
        <v>25</v>
      </c>
      <c r="G102" s="74"/>
      <c r="H102" s="74"/>
      <c r="I102" s="76">
        <v>1409</v>
      </c>
      <c r="J102" s="74">
        <v>1480</v>
      </c>
      <c r="K102" s="74">
        <v>1270</v>
      </c>
      <c r="L102" s="74">
        <v>1174</v>
      </c>
      <c r="M102" s="74">
        <v>1141</v>
      </c>
      <c r="N102" s="74">
        <v>1040</v>
      </c>
      <c r="O102" s="74">
        <v>450</v>
      </c>
      <c r="P102" s="74">
        <v>296</v>
      </c>
      <c r="Q102" s="74">
        <v>352</v>
      </c>
      <c r="R102" s="74">
        <v>445</v>
      </c>
      <c r="S102" s="74">
        <v>505</v>
      </c>
      <c r="T102" s="74">
        <v>589</v>
      </c>
      <c r="U102" s="74">
        <v>570</v>
      </c>
      <c r="V102" s="77"/>
      <c r="W102" s="74"/>
      <c r="X102" s="74"/>
      <c r="Y102" s="74"/>
      <c r="Z102" s="74"/>
    </row>
    <row r="103" spans="1:26" ht="15.75" customHeight="1">
      <c r="A103" s="74"/>
      <c r="B103" s="74" t="b">
        <f t="shared" si="1"/>
        <v>1</v>
      </c>
      <c r="C103" s="77">
        <v>5367599</v>
      </c>
      <c r="D103" s="74">
        <v>5367599</v>
      </c>
      <c r="E103" s="79" t="s">
        <v>704</v>
      </c>
      <c r="F103" s="74" t="s">
        <v>25</v>
      </c>
      <c r="G103" s="74"/>
      <c r="H103" s="74"/>
      <c r="I103" s="76">
        <v>100</v>
      </c>
      <c r="J103" s="74">
        <v>100</v>
      </c>
      <c r="K103" s="74">
        <v>100</v>
      </c>
      <c r="L103" s="74">
        <v>100</v>
      </c>
      <c r="M103" s="74">
        <v>100</v>
      </c>
      <c r="N103" s="74">
        <v>100</v>
      </c>
      <c r="O103" s="74">
        <v>100</v>
      </c>
      <c r="P103" s="74">
        <v>0</v>
      </c>
      <c r="Q103" s="74">
        <v>0</v>
      </c>
      <c r="R103" s="74">
        <v>100</v>
      </c>
      <c r="S103" s="74">
        <v>0</v>
      </c>
      <c r="T103" s="74">
        <v>0</v>
      </c>
      <c r="U103" s="74">
        <v>0</v>
      </c>
      <c r="V103" s="77"/>
      <c r="W103" s="74"/>
      <c r="X103" s="74"/>
      <c r="Y103" s="74"/>
      <c r="Z103" s="74"/>
    </row>
    <row r="104" spans="1:26" ht="15.75" customHeight="1">
      <c r="A104" s="74"/>
      <c r="B104" s="74" t="b">
        <f t="shared" si="1"/>
        <v>1</v>
      </c>
      <c r="C104" s="77">
        <v>10435</v>
      </c>
      <c r="D104" s="74">
        <v>10435</v>
      </c>
      <c r="E104" s="79" t="s">
        <v>704</v>
      </c>
      <c r="F104" s="74" t="s">
        <v>25</v>
      </c>
      <c r="G104" s="74"/>
      <c r="H104" s="74"/>
      <c r="I104" s="76">
        <v>1880</v>
      </c>
      <c r="J104" s="74">
        <v>1949</v>
      </c>
      <c r="K104" s="74">
        <v>961</v>
      </c>
      <c r="L104" s="74">
        <v>2019</v>
      </c>
      <c r="M104" s="74">
        <v>100</v>
      </c>
      <c r="N104" s="74">
        <v>100</v>
      </c>
      <c r="O104" s="74">
        <v>100</v>
      </c>
      <c r="P104" s="74">
        <v>100</v>
      </c>
      <c r="Q104" s="74">
        <v>1402</v>
      </c>
      <c r="R104" s="74">
        <v>828</v>
      </c>
      <c r="S104" s="74">
        <v>100</v>
      </c>
      <c r="T104" s="74">
        <v>100</v>
      </c>
      <c r="U104" s="74">
        <v>1904</v>
      </c>
      <c r="V104" s="77"/>
      <c r="W104" s="74"/>
      <c r="X104" s="74"/>
      <c r="Y104" s="74"/>
      <c r="Z104" s="74"/>
    </row>
    <row r="105" spans="1:26" ht="15.75" customHeight="1">
      <c r="A105" s="74"/>
      <c r="B105" s="74" t="b">
        <f t="shared" si="1"/>
        <v>1</v>
      </c>
      <c r="C105" s="77">
        <v>10433</v>
      </c>
      <c r="D105" s="74">
        <v>10433</v>
      </c>
      <c r="E105" s="79" t="s">
        <v>704</v>
      </c>
      <c r="F105" s="74" t="s">
        <v>25</v>
      </c>
      <c r="G105" s="74"/>
      <c r="H105" s="74"/>
      <c r="I105" s="76">
        <v>100</v>
      </c>
      <c r="J105" s="74">
        <v>100</v>
      </c>
      <c r="K105" s="74">
        <v>123</v>
      </c>
      <c r="L105" s="74">
        <v>136</v>
      </c>
      <c r="M105" s="74">
        <v>135</v>
      </c>
      <c r="N105" s="74">
        <v>109</v>
      </c>
      <c r="O105" s="74">
        <v>108</v>
      </c>
      <c r="P105" s="74">
        <v>113</v>
      </c>
      <c r="Q105" s="74">
        <v>136</v>
      </c>
      <c r="R105" s="74">
        <v>145</v>
      </c>
      <c r="S105" s="74">
        <v>192</v>
      </c>
      <c r="T105" s="74">
        <v>175</v>
      </c>
      <c r="U105" s="74">
        <v>145</v>
      </c>
      <c r="V105" s="77"/>
      <c r="W105" s="74"/>
      <c r="X105" s="74"/>
      <c r="Y105" s="74"/>
      <c r="Z105" s="74"/>
    </row>
    <row r="106" spans="1:26" ht="15.75" customHeight="1">
      <c r="A106" s="74"/>
      <c r="B106" s="74" t="b">
        <f t="shared" si="1"/>
        <v>1</v>
      </c>
      <c r="C106" s="77">
        <v>5474382</v>
      </c>
      <c r="D106" s="74">
        <v>5474382</v>
      </c>
      <c r="E106" s="79" t="s">
        <v>704</v>
      </c>
      <c r="F106" s="74" t="s">
        <v>25</v>
      </c>
      <c r="G106" s="74"/>
      <c r="H106" s="74"/>
      <c r="I106" s="76">
        <v>3022</v>
      </c>
      <c r="J106" s="74">
        <v>3158</v>
      </c>
      <c r="K106" s="74">
        <v>2754</v>
      </c>
      <c r="L106" s="74">
        <v>2720</v>
      </c>
      <c r="M106" s="74">
        <v>2498</v>
      </c>
      <c r="N106" s="74">
        <v>2381</v>
      </c>
      <c r="O106" s="74">
        <v>2294</v>
      </c>
      <c r="P106" s="74">
        <v>2077</v>
      </c>
      <c r="Q106" s="74">
        <v>2329</v>
      </c>
      <c r="R106" s="74">
        <v>2422</v>
      </c>
      <c r="S106" s="74">
        <v>3237</v>
      </c>
      <c r="T106" s="74">
        <v>3073</v>
      </c>
      <c r="U106" s="74">
        <v>3398</v>
      </c>
      <c r="V106" s="77"/>
      <c r="W106" s="74"/>
      <c r="X106" s="74"/>
      <c r="Y106" s="74"/>
      <c r="Z106" s="74"/>
    </row>
    <row r="107" spans="1:26" ht="15.75" customHeight="1">
      <c r="A107" s="74"/>
      <c r="B107" s="74" t="b">
        <f t="shared" si="1"/>
        <v>1</v>
      </c>
      <c r="C107" s="77">
        <v>838511</v>
      </c>
      <c r="D107" s="74">
        <v>838511</v>
      </c>
      <c r="E107" s="79" t="s">
        <v>704</v>
      </c>
      <c r="F107" s="74" t="s">
        <v>25</v>
      </c>
      <c r="G107" s="74"/>
      <c r="H107" s="74"/>
      <c r="I107" s="76">
        <v>7555</v>
      </c>
      <c r="J107" s="74">
        <v>7886</v>
      </c>
      <c r="K107" s="74">
        <v>4673</v>
      </c>
      <c r="L107" s="74">
        <v>4468</v>
      </c>
      <c r="M107" s="74">
        <v>3450</v>
      </c>
      <c r="N107" s="74">
        <v>3936</v>
      </c>
      <c r="O107" s="74">
        <v>3273</v>
      </c>
      <c r="P107" s="74">
        <v>2462</v>
      </c>
      <c r="Q107" s="74">
        <v>3498</v>
      </c>
      <c r="R107" s="74">
        <v>3950</v>
      </c>
      <c r="S107" s="74">
        <v>4773</v>
      </c>
      <c r="T107" s="74">
        <v>5377</v>
      </c>
      <c r="U107" s="74">
        <v>4930</v>
      </c>
      <c r="V107" s="77"/>
      <c r="W107" s="74"/>
      <c r="X107" s="74"/>
      <c r="Y107" s="74"/>
      <c r="Z107" s="74"/>
    </row>
    <row r="108" spans="1:26" ht="15.75" customHeight="1">
      <c r="A108" s="74"/>
      <c r="B108" s="74" t="b">
        <f t="shared" si="1"/>
        <v>1</v>
      </c>
      <c r="C108" s="77">
        <v>25731</v>
      </c>
      <c r="D108" s="74">
        <v>25731</v>
      </c>
      <c r="E108" s="79" t="s">
        <v>704</v>
      </c>
      <c r="F108" s="74" t="s">
        <v>25</v>
      </c>
      <c r="G108" s="74"/>
      <c r="H108" s="74"/>
      <c r="I108" s="76">
        <v>34950</v>
      </c>
      <c r="J108" s="74">
        <v>31568</v>
      </c>
      <c r="K108" s="74">
        <v>34950</v>
      </c>
      <c r="L108" s="74">
        <v>34950</v>
      </c>
      <c r="M108" s="74">
        <v>33823</v>
      </c>
      <c r="N108" s="74">
        <v>34950</v>
      </c>
      <c r="O108" s="74">
        <v>33823</v>
      </c>
      <c r="P108" s="74">
        <v>34950</v>
      </c>
      <c r="Q108" s="74">
        <v>34950</v>
      </c>
      <c r="R108" s="74">
        <v>33823</v>
      </c>
      <c r="S108" s="74">
        <v>34950</v>
      </c>
      <c r="T108" s="74">
        <v>33823</v>
      </c>
      <c r="U108" s="74">
        <v>34950</v>
      </c>
      <c r="V108" s="77"/>
      <c r="W108" s="74"/>
      <c r="X108" s="74"/>
      <c r="Y108" s="74"/>
      <c r="Z108" s="74"/>
    </row>
    <row r="109" spans="1:26" ht="15.75" customHeight="1">
      <c r="A109" s="74"/>
      <c r="B109" s="74" t="b">
        <f t="shared" si="1"/>
        <v>1</v>
      </c>
      <c r="C109" s="77">
        <v>3841405</v>
      </c>
      <c r="D109" s="74">
        <v>3841405</v>
      </c>
      <c r="E109" s="79" t="s">
        <v>732</v>
      </c>
      <c r="F109" s="74" t="s">
        <v>25</v>
      </c>
      <c r="G109" s="74"/>
      <c r="H109" s="74"/>
      <c r="I109" s="76">
        <v>50</v>
      </c>
      <c r="J109" s="74">
        <v>50</v>
      </c>
      <c r="K109" s="74">
        <v>50</v>
      </c>
      <c r="L109" s="74">
        <v>149</v>
      </c>
      <c r="M109" s="74">
        <v>63</v>
      </c>
      <c r="N109" s="74">
        <v>50</v>
      </c>
      <c r="O109" s="74">
        <v>50</v>
      </c>
      <c r="P109" s="74">
        <v>50</v>
      </c>
      <c r="Q109" s="74">
        <v>50</v>
      </c>
      <c r="R109" s="74">
        <v>50</v>
      </c>
      <c r="S109" s="74">
        <v>50</v>
      </c>
      <c r="T109" s="74">
        <v>50</v>
      </c>
      <c r="U109" s="74">
        <v>50</v>
      </c>
      <c r="V109" s="77"/>
      <c r="W109" s="74"/>
      <c r="X109" s="74"/>
      <c r="Y109" s="74"/>
      <c r="Z109" s="74"/>
    </row>
    <row r="110" spans="1:26" ht="15.75" customHeight="1">
      <c r="A110" s="74"/>
      <c r="B110" s="74" t="b">
        <f t="shared" si="1"/>
        <v>1</v>
      </c>
      <c r="C110" s="77">
        <v>2787982</v>
      </c>
      <c r="D110" s="74">
        <v>2787982</v>
      </c>
      <c r="E110" s="79" t="s">
        <v>732</v>
      </c>
      <c r="F110" s="74" t="s">
        <v>25</v>
      </c>
      <c r="G110" s="74"/>
      <c r="H110" s="74"/>
      <c r="I110" s="76">
        <v>50</v>
      </c>
      <c r="J110" s="74">
        <v>50</v>
      </c>
      <c r="K110" s="74">
        <v>50</v>
      </c>
      <c r="L110" s="74">
        <v>50</v>
      </c>
      <c r="M110" s="74">
        <v>50</v>
      </c>
      <c r="N110" s="74">
        <v>50</v>
      </c>
      <c r="O110" s="74">
        <v>50</v>
      </c>
      <c r="P110" s="74">
        <v>50</v>
      </c>
      <c r="Q110" s="74">
        <v>50</v>
      </c>
      <c r="R110" s="74">
        <v>50</v>
      </c>
      <c r="S110" s="74">
        <v>50</v>
      </c>
      <c r="T110" s="74">
        <v>50</v>
      </c>
      <c r="U110" s="74">
        <v>50</v>
      </c>
      <c r="V110" s="77"/>
      <c r="W110" s="74"/>
      <c r="X110" s="74"/>
      <c r="Y110" s="74"/>
      <c r="Z110" s="74"/>
    </row>
    <row r="111" spans="1:26" ht="15.75" customHeight="1">
      <c r="A111" s="74"/>
      <c r="B111" s="74" t="b">
        <f t="shared" si="1"/>
        <v>1</v>
      </c>
      <c r="C111" s="77">
        <v>3836315</v>
      </c>
      <c r="D111" s="74">
        <v>3836315</v>
      </c>
      <c r="E111" s="79" t="s">
        <v>700</v>
      </c>
      <c r="F111" s="74" t="s">
        <v>25</v>
      </c>
      <c r="G111" s="74"/>
      <c r="H111" s="74"/>
      <c r="I111" s="76">
        <v>105</v>
      </c>
      <c r="J111" s="74">
        <v>104</v>
      </c>
      <c r="K111" s="74">
        <v>103</v>
      </c>
      <c r="L111" s="74">
        <v>98</v>
      </c>
      <c r="M111" s="74">
        <v>101</v>
      </c>
      <c r="N111" s="74">
        <v>83</v>
      </c>
      <c r="O111" s="74">
        <v>79</v>
      </c>
      <c r="P111" s="74">
        <v>69</v>
      </c>
      <c r="Q111" s="74">
        <v>75</v>
      </c>
      <c r="R111" s="74">
        <v>85</v>
      </c>
      <c r="S111" s="74">
        <v>90</v>
      </c>
      <c r="T111" s="74">
        <v>96</v>
      </c>
      <c r="U111" s="74">
        <v>95</v>
      </c>
      <c r="V111" s="77"/>
      <c r="W111" s="74"/>
      <c r="X111" s="74"/>
      <c r="Y111" s="74"/>
      <c r="Z111" s="74"/>
    </row>
    <row r="112" spans="1:26" ht="15.75" customHeight="1">
      <c r="A112" s="74"/>
      <c r="B112" s="74" t="b">
        <f t="shared" si="1"/>
        <v>1</v>
      </c>
      <c r="C112" s="77">
        <v>3894399</v>
      </c>
      <c r="D112" s="74">
        <v>3894399</v>
      </c>
      <c r="E112" s="79" t="s">
        <v>700</v>
      </c>
      <c r="F112" s="74" t="s">
        <v>25</v>
      </c>
      <c r="G112" s="74"/>
      <c r="H112" s="74"/>
      <c r="I112" s="76">
        <v>30</v>
      </c>
      <c r="J112" s="74">
        <v>30</v>
      </c>
      <c r="K112" s="74">
        <v>30</v>
      </c>
      <c r="L112" s="74">
        <v>30</v>
      </c>
      <c r="M112" s="74">
        <v>30</v>
      </c>
      <c r="N112" s="74">
        <v>30</v>
      </c>
      <c r="O112" s="74">
        <v>37</v>
      </c>
      <c r="P112" s="74">
        <v>30</v>
      </c>
      <c r="Q112" s="74">
        <v>33</v>
      </c>
      <c r="R112" s="74">
        <v>36</v>
      </c>
      <c r="S112" s="74">
        <v>30</v>
      </c>
      <c r="T112" s="74">
        <v>30</v>
      </c>
      <c r="U112" s="74">
        <v>30</v>
      </c>
      <c r="V112" s="77"/>
      <c r="W112" s="74"/>
      <c r="X112" s="74"/>
      <c r="Y112" s="74"/>
      <c r="Z112" s="74"/>
    </row>
    <row r="113" spans="1:26" ht="15.75" customHeight="1">
      <c r="A113" s="74"/>
      <c r="B113" s="74" t="b">
        <f t="shared" si="1"/>
        <v>1</v>
      </c>
      <c r="C113" s="77">
        <v>4068530</v>
      </c>
      <c r="D113" s="74">
        <v>4068530</v>
      </c>
      <c r="E113" s="79" t="s">
        <v>704</v>
      </c>
      <c r="F113" s="74" t="s">
        <v>25</v>
      </c>
      <c r="G113" s="74"/>
      <c r="H113" s="74"/>
      <c r="I113" s="76">
        <v>483</v>
      </c>
      <c r="J113" s="74">
        <v>667</v>
      </c>
      <c r="K113" s="74">
        <v>711</v>
      </c>
      <c r="L113" s="74">
        <v>490</v>
      </c>
      <c r="M113" s="74">
        <v>434</v>
      </c>
      <c r="N113" s="74">
        <v>445</v>
      </c>
      <c r="O113" s="74">
        <v>436</v>
      </c>
      <c r="P113" s="74">
        <v>465</v>
      </c>
      <c r="Q113" s="74">
        <v>449</v>
      </c>
      <c r="R113" s="74">
        <v>498</v>
      </c>
      <c r="S113" s="74">
        <v>491</v>
      </c>
      <c r="T113" s="74">
        <v>535</v>
      </c>
      <c r="U113" s="74">
        <v>490</v>
      </c>
      <c r="V113" s="77"/>
      <c r="W113" s="74"/>
      <c r="X113" s="74"/>
      <c r="Y113" s="74"/>
      <c r="Z113" s="74"/>
    </row>
    <row r="114" spans="1:26" ht="15.75" customHeight="1">
      <c r="A114" s="74"/>
      <c r="B114" s="74" t="b">
        <f t="shared" si="1"/>
        <v>1</v>
      </c>
      <c r="C114" s="77">
        <v>3832500</v>
      </c>
      <c r="D114" s="74">
        <v>3832500</v>
      </c>
      <c r="E114" s="79" t="s">
        <v>704</v>
      </c>
      <c r="F114" s="74" t="s">
        <v>25</v>
      </c>
      <c r="G114" s="74"/>
      <c r="H114" s="74"/>
      <c r="I114" s="76">
        <v>100</v>
      </c>
      <c r="J114" s="74">
        <v>100</v>
      </c>
      <c r="K114" s="74">
        <v>100</v>
      </c>
      <c r="L114" s="74">
        <v>100</v>
      </c>
      <c r="M114" s="74">
        <v>100</v>
      </c>
      <c r="N114" s="74">
        <v>109</v>
      </c>
      <c r="O114" s="74">
        <v>197</v>
      </c>
      <c r="P114" s="74">
        <v>100</v>
      </c>
      <c r="Q114" s="74">
        <v>100</v>
      </c>
      <c r="R114" s="74">
        <v>100</v>
      </c>
      <c r="S114" s="74">
        <v>100</v>
      </c>
      <c r="T114" s="74">
        <v>100</v>
      </c>
      <c r="U114" s="74">
        <v>100</v>
      </c>
      <c r="V114" s="77"/>
      <c r="W114" s="74"/>
      <c r="X114" s="74"/>
      <c r="Y114" s="74"/>
      <c r="Z114" s="74"/>
    </row>
    <row r="115" spans="1:26" ht="15.75" customHeight="1">
      <c r="A115" s="74"/>
      <c r="B115" s="74" t="b">
        <f t="shared" si="1"/>
        <v>1</v>
      </c>
      <c r="C115" s="77">
        <v>3796687</v>
      </c>
      <c r="D115" s="74">
        <v>3796687</v>
      </c>
      <c r="E115" s="79" t="s">
        <v>732</v>
      </c>
      <c r="F115" s="74" t="s">
        <v>25</v>
      </c>
      <c r="G115" s="74"/>
      <c r="H115" s="74"/>
      <c r="I115" s="76">
        <v>50</v>
      </c>
      <c r="J115" s="74">
        <v>50</v>
      </c>
      <c r="K115" s="74">
        <v>50</v>
      </c>
      <c r="L115" s="74">
        <v>50</v>
      </c>
      <c r="M115" s="74">
        <v>50</v>
      </c>
      <c r="N115" s="74">
        <v>50</v>
      </c>
      <c r="O115" s="74">
        <v>50</v>
      </c>
      <c r="P115" s="74">
        <v>50</v>
      </c>
      <c r="Q115" s="74">
        <v>50</v>
      </c>
      <c r="R115" s="74">
        <v>50</v>
      </c>
      <c r="S115" s="74">
        <v>50</v>
      </c>
      <c r="T115" s="74">
        <v>50</v>
      </c>
      <c r="U115" s="74">
        <v>50</v>
      </c>
      <c r="V115" s="77"/>
      <c r="W115" s="74"/>
      <c r="X115" s="74"/>
      <c r="Y115" s="74"/>
      <c r="Z115" s="74"/>
    </row>
    <row r="116" spans="1:26" ht="15.75" customHeight="1">
      <c r="A116" s="74"/>
      <c r="B116" s="74" t="b">
        <f t="shared" si="1"/>
        <v>1</v>
      </c>
      <c r="C116" s="77">
        <v>4148248</v>
      </c>
      <c r="D116" s="74">
        <v>4148248</v>
      </c>
      <c r="E116" s="79" t="s">
        <v>700</v>
      </c>
      <c r="F116" s="74" t="s">
        <v>25</v>
      </c>
      <c r="G116" s="74"/>
      <c r="H116" s="74"/>
      <c r="I116" s="76">
        <v>30</v>
      </c>
      <c r="J116" s="74">
        <v>30</v>
      </c>
      <c r="K116" s="74">
        <v>30</v>
      </c>
      <c r="L116" s="74">
        <v>30</v>
      </c>
      <c r="M116" s="74">
        <v>82</v>
      </c>
      <c r="N116" s="74">
        <v>61</v>
      </c>
      <c r="O116" s="74">
        <v>42</v>
      </c>
      <c r="P116" s="74">
        <v>30</v>
      </c>
      <c r="Q116" s="74">
        <v>74</v>
      </c>
      <c r="R116" s="74">
        <v>169</v>
      </c>
      <c r="S116" s="74">
        <v>30</v>
      </c>
      <c r="T116" s="74">
        <v>30</v>
      </c>
      <c r="U116" s="74">
        <v>30</v>
      </c>
      <c r="V116" s="77"/>
      <c r="W116" s="74"/>
      <c r="X116" s="74"/>
      <c r="Y116" s="74"/>
      <c r="Z116" s="74"/>
    </row>
    <row r="117" spans="1:26" ht="15.75" customHeight="1">
      <c r="A117" s="74"/>
      <c r="B117" s="74" t="b">
        <f t="shared" si="1"/>
        <v>1</v>
      </c>
      <c r="C117" s="77">
        <v>3035222</v>
      </c>
      <c r="D117" s="74">
        <v>3035222</v>
      </c>
      <c r="E117" s="79" t="s">
        <v>700</v>
      </c>
      <c r="F117" s="74" t="s">
        <v>25</v>
      </c>
      <c r="G117" s="74"/>
      <c r="H117" s="74"/>
      <c r="I117" s="76">
        <v>442</v>
      </c>
      <c r="J117" s="74">
        <v>445</v>
      </c>
      <c r="K117" s="74">
        <v>428</v>
      </c>
      <c r="L117" s="74">
        <v>389</v>
      </c>
      <c r="M117" s="74">
        <v>420</v>
      </c>
      <c r="N117" s="74">
        <v>373</v>
      </c>
      <c r="O117" s="74">
        <v>388</v>
      </c>
      <c r="P117" s="74">
        <v>359</v>
      </c>
      <c r="Q117" s="74">
        <v>368</v>
      </c>
      <c r="R117" s="74">
        <v>421</v>
      </c>
      <c r="S117" s="74">
        <v>437</v>
      </c>
      <c r="T117" s="74">
        <v>439</v>
      </c>
      <c r="U117" s="74">
        <v>416</v>
      </c>
      <c r="V117" s="77"/>
      <c r="W117" s="74"/>
      <c r="X117" s="74"/>
      <c r="Y117" s="74"/>
      <c r="Z117" s="74"/>
    </row>
    <row r="118" spans="1:26" ht="15.75" customHeight="1">
      <c r="A118" s="74"/>
      <c r="B118" s="74" t="b">
        <f t="shared" si="1"/>
        <v>1</v>
      </c>
      <c r="C118" s="77">
        <v>6486563</v>
      </c>
      <c r="D118" s="74">
        <v>6486563</v>
      </c>
      <c r="E118" s="79" t="s">
        <v>732</v>
      </c>
      <c r="F118" s="74" t="s">
        <v>25</v>
      </c>
      <c r="G118" s="74"/>
      <c r="H118" s="74"/>
      <c r="I118" s="76">
        <v>50</v>
      </c>
      <c r="J118" s="74">
        <v>50</v>
      </c>
      <c r="K118" s="74">
        <v>50</v>
      </c>
      <c r="L118" s="74">
        <v>50</v>
      </c>
      <c r="M118" s="74">
        <v>50</v>
      </c>
      <c r="N118" s="74">
        <v>50</v>
      </c>
      <c r="O118" s="74">
        <v>50</v>
      </c>
      <c r="P118" s="74">
        <v>50</v>
      </c>
      <c r="Q118" s="74">
        <v>50</v>
      </c>
      <c r="R118" s="74">
        <v>50</v>
      </c>
      <c r="S118" s="74">
        <v>50</v>
      </c>
      <c r="T118" s="74">
        <v>50</v>
      </c>
      <c r="U118" s="74">
        <v>50</v>
      </c>
      <c r="V118" s="77"/>
      <c r="W118" s="74"/>
      <c r="X118" s="74"/>
      <c r="Y118" s="74"/>
      <c r="Z118" s="74"/>
    </row>
    <row r="119" spans="1:26" ht="15.75" customHeight="1">
      <c r="A119" s="74"/>
      <c r="B119" s="74" t="b">
        <f t="shared" si="1"/>
        <v>1</v>
      </c>
      <c r="C119" s="77">
        <v>170504</v>
      </c>
      <c r="D119" s="74">
        <v>170504</v>
      </c>
      <c r="E119" s="79" t="s">
        <v>732</v>
      </c>
      <c r="F119" s="74" t="s">
        <v>25</v>
      </c>
      <c r="G119" s="74"/>
      <c r="H119" s="74"/>
      <c r="I119" s="76">
        <v>50</v>
      </c>
      <c r="J119" s="74">
        <v>50</v>
      </c>
      <c r="K119" s="74">
        <v>50</v>
      </c>
      <c r="L119" s="74">
        <v>50</v>
      </c>
      <c r="M119" s="74">
        <v>50</v>
      </c>
      <c r="N119" s="74">
        <v>50</v>
      </c>
      <c r="O119" s="74">
        <v>50</v>
      </c>
      <c r="P119" s="74">
        <v>50</v>
      </c>
      <c r="Q119" s="74">
        <v>50</v>
      </c>
      <c r="R119" s="74">
        <v>50</v>
      </c>
      <c r="S119" s="74">
        <v>50</v>
      </c>
      <c r="T119" s="74">
        <v>50</v>
      </c>
      <c r="U119" s="74">
        <v>50</v>
      </c>
      <c r="V119" s="77"/>
      <c r="W119" s="74"/>
      <c r="X119" s="74"/>
      <c r="Y119" s="74"/>
      <c r="Z119" s="74"/>
    </row>
    <row r="120" spans="1:26" ht="15.75" customHeight="1">
      <c r="A120" s="74"/>
      <c r="B120" s="74" t="b">
        <f t="shared" si="1"/>
        <v>1</v>
      </c>
      <c r="C120" s="77">
        <v>170495</v>
      </c>
      <c r="D120" s="74">
        <v>170495</v>
      </c>
      <c r="E120" s="79" t="s">
        <v>704</v>
      </c>
      <c r="F120" s="74" t="s">
        <v>25</v>
      </c>
      <c r="G120" s="74"/>
      <c r="H120" s="74"/>
      <c r="I120" s="76">
        <v>2760</v>
      </c>
      <c r="J120" s="74">
        <v>2540</v>
      </c>
      <c r="K120" s="74">
        <v>720</v>
      </c>
      <c r="L120" s="74">
        <v>2100</v>
      </c>
      <c r="M120" s="74">
        <v>2410</v>
      </c>
      <c r="N120" s="74">
        <v>2070</v>
      </c>
      <c r="O120" s="74">
        <v>2160</v>
      </c>
      <c r="P120" s="74">
        <v>2130</v>
      </c>
      <c r="Q120" s="74">
        <v>2170</v>
      </c>
      <c r="R120" s="74">
        <v>2630</v>
      </c>
      <c r="S120" s="74">
        <v>2780</v>
      </c>
      <c r="T120" s="74">
        <v>2970</v>
      </c>
      <c r="U120" s="74">
        <v>2740</v>
      </c>
      <c r="V120" s="77"/>
      <c r="W120" s="74"/>
      <c r="X120" s="74"/>
      <c r="Y120" s="74"/>
      <c r="Z120" s="74"/>
    </row>
    <row r="121" spans="1:26" ht="15.75" customHeight="1">
      <c r="A121" s="74"/>
      <c r="B121" s="74" t="b">
        <f t="shared" si="1"/>
        <v>1</v>
      </c>
      <c r="C121" s="77">
        <v>24485</v>
      </c>
      <c r="D121" s="74">
        <v>24485</v>
      </c>
      <c r="E121" s="79" t="s">
        <v>732</v>
      </c>
      <c r="F121" s="74" t="s">
        <v>25</v>
      </c>
      <c r="G121" s="74"/>
      <c r="H121" s="74"/>
      <c r="I121" s="76">
        <v>50</v>
      </c>
      <c r="J121" s="74">
        <v>50</v>
      </c>
      <c r="K121" s="74">
        <v>50</v>
      </c>
      <c r="L121" s="74">
        <v>50</v>
      </c>
      <c r="M121" s="74">
        <v>50</v>
      </c>
      <c r="N121" s="74">
        <v>50</v>
      </c>
      <c r="O121" s="74">
        <v>50</v>
      </c>
      <c r="P121" s="74">
        <v>50</v>
      </c>
      <c r="Q121" s="74">
        <v>50</v>
      </c>
      <c r="R121" s="74">
        <v>50</v>
      </c>
      <c r="S121" s="74">
        <v>50</v>
      </c>
      <c r="T121" s="74">
        <v>50</v>
      </c>
      <c r="U121" s="74">
        <v>50</v>
      </c>
      <c r="V121" s="77"/>
      <c r="W121" s="74"/>
      <c r="X121" s="74"/>
      <c r="Y121" s="74"/>
      <c r="Z121" s="74"/>
    </row>
    <row r="122" spans="1:26" ht="15.75" customHeight="1">
      <c r="A122" s="74"/>
      <c r="B122" s="74" t="b">
        <f t="shared" si="1"/>
        <v>1</v>
      </c>
      <c r="C122" s="77">
        <v>55159895</v>
      </c>
      <c r="D122" s="74">
        <v>55159895</v>
      </c>
      <c r="E122" s="79" t="s">
        <v>704</v>
      </c>
      <c r="F122" s="74" t="s">
        <v>25</v>
      </c>
      <c r="G122" s="74"/>
      <c r="H122" s="74"/>
      <c r="I122" s="76">
        <v>2289</v>
      </c>
      <c r="J122" s="74">
        <v>2363</v>
      </c>
      <c r="K122" s="74">
        <v>2509</v>
      </c>
      <c r="L122" s="74">
        <v>2523</v>
      </c>
      <c r="M122" s="74">
        <v>2495</v>
      </c>
      <c r="N122" s="74">
        <v>2629</v>
      </c>
      <c r="O122" s="74">
        <v>2630</v>
      </c>
      <c r="P122" s="74">
        <v>2416</v>
      </c>
      <c r="Q122" s="74">
        <v>2858</v>
      </c>
      <c r="R122" s="74">
        <v>2439</v>
      </c>
      <c r="S122" s="74">
        <v>2435</v>
      </c>
      <c r="T122" s="74">
        <v>2255</v>
      </c>
      <c r="U122" s="74">
        <v>1478</v>
      </c>
      <c r="V122" s="77"/>
      <c r="W122" s="74"/>
      <c r="X122" s="74"/>
      <c r="Y122" s="74"/>
      <c r="Z122" s="74"/>
    </row>
    <row r="123" spans="1:26" ht="15.75" customHeight="1">
      <c r="A123" s="74"/>
      <c r="B123" s="74" t="b">
        <f t="shared" si="1"/>
        <v>1</v>
      </c>
      <c r="C123" s="77">
        <v>3836321</v>
      </c>
      <c r="D123" s="74">
        <v>3836321</v>
      </c>
      <c r="E123" s="79" t="s">
        <v>700</v>
      </c>
      <c r="F123" s="74" t="s">
        <v>25</v>
      </c>
      <c r="G123" s="74"/>
      <c r="H123" s="74"/>
      <c r="I123" s="76">
        <v>30</v>
      </c>
      <c r="J123" s="74">
        <v>30</v>
      </c>
      <c r="K123" s="74">
        <v>30</v>
      </c>
      <c r="L123" s="74">
        <v>30</v>
      </c>
      <c r="M123" s="74">
        <v>30</v>
      </c>
      <c r="N123" s="74">
        <v>30</v>
      </c>
      <c r="O123" s="74">
        <v>30</v>
      </c>
      <c r="P123" s="74">
        <v>30</v>
      </c>
      <c r="Q123" s="74">
        <v>30</v>
      </c>
      <c r="R123" s="74">
        <v>30</v>
      </c>
      <c r="S123" s="74">
        <v>30</v>
      </c>
      <c r="T123" s="74">
        <v>30</v>
      </c>
      <c r="U123" s="74">
        <v>30</v>
      </c>
      <c r="V123" s="77"/>
      <c r="W123" s="74"/>
      <c r="X123" s="74"/>
      <c r="Y123" s="74"/>
      <c r="Z123" s="74"/>
    </row>
    <row r="124" spans="1:26" ht="15.75" customHeight="1">
      <c r="A124" s="74"/>
      <c r="B124" s="74" t="b">
        <f t="shared" si="1"/>
        <v>1</v>
      </c>
      <c r="C124" s="77">
        <v>6304971</v>
      </c>
      <c r="D124" s="74">
        <v>6304971</v>
      </c>
      <c r="E124" s="79" t="s">
        <v>732</v>
      </c>
      <c r="F124" s="74" t="s">
        <v>25</v>
      </c>
      <c r="G124" s="74"/>
      <c r="H124" s="74"/>
      <c r="I124" s="76">
        <v>253</v>
      </c>
      <c r="J124" s="74">
        <v>285</v>
      </c>
      <c r="K124" s="74">
        <v>182</v>
      </c>
      <c r="L124" s="74">
        <v>303</v>
      </c>
      <c r="M124" s="74">
        <v>278</v>
      </c>
      <c r="N124" s="74">
        <v>284</v>
      </c>
      <c r="O124" s="74">
        <v>293</v>
      </c>
      <c r="P124" s="74">
        <v>244</v>
      </c>
      <c r="Q124" s="74">
        <v>201</v>
      </c>
      <c r="R124" s="74">
        <v>186</v>
      </c>
      <c r="S124" s="74">
        <v>259</v>
      </c>
      <c r="T124" s="74">
        <v>273</v>
      </c>
      <c r="U124" s="74">
        <v>297</v>
      </c>
      <c r="V124" s="77"/>
      <c r="W124" s="74"/>
      <c r="X124" s="74"/>
      <c r="Y124" s="74"/>
      <c r="Z124" s="74"/>
    </row>
    <row r="125" spans="1:26" ht="15.75" customHeight="1">
      <c r="A125" s="74"/>
      <c r="B125" s="74" t="b">
        <f t="shared" si="1"/>
        <v>1</v>
      </c>
      <c r="C125" s="77">
        <v>6156509</v>
      </c>
      <c r="D125" s="74">
        <v>6156509</v>
      </c>
      <c r="E125" s="79" t="s">
        <v>704</v>
      </c>
      <c r="F125" s="74" t="s">
        <v>25</v>
      </c>
      <c r="G125" s="74"/>
      <c r="H125" s="74"/>
      <c r="I125" s="76">
        <v>1890</v>
      </c>
      <c r="J125" s="74">
        <v>2288</v>
      </c>
      <c r="K125" s="74">
        <v>1627</v>
      </c>
      <c r="L125" s="74">
        <v>1884</v>
      </c>
      <c r="M125" s="74">
        <v>1821</v>
      </c>
      <c r="N125" s="74">
        <v>1742</v>
      </c>
      <c r="O125" s="74">
        <v>1517</v>
      </c>
      <c r="P125" s="74">
        <v>1130</v>
      </c>
      <c r="Q125" s="74">
        <v>1542</v>
      </c>
      <c r="R125" s="74">
        <v>1584</v>
      </c>
      <c r="S125" s="74">
        <v>1534</v>
      </c>
      <c r="T125" s="74">
        <v>2215</v>
      </c>
      <c r="U125" s="74">
        <v>2733</v>
      </c>
      <c r="V125" s="77"/>
      <c r="W125" s="74"/>
      <c r="X125" s="74"/>
      <c r="Y125" s="74"/>
      <c r="Z125" s="74"/>
    </row>
    <row r="126" spans="1:26" ht="15.75" customHeight="1">
      <c r="A126" s="74"/>
      <c r="B126" s="74" t="b">
        <f t="shared" si="1"/>
        <v>1</v>
      </c>
      <c r="C126" s="77">
        <v>10417</v>
      </c>
      <c r="D126" s="74">
        <v>10417</v>
      </c>
      <c r="E126" s="79" t="s">
        <v>704</v>
      </c>
      <c r="F126" s="74" t="s">
        <v>25</v>
      </c>
      <c r="G126" s="74"/>
      <c r="H126" s="74"/>
      <c r="I126" s="76">
        <v>2162</v>
      </c>
      <c r="J126" s="74">
        <v>2296</v>
      </c>
      <c r="K126" s="74">
        <v>2238</v>
      </c>
      <c r="L126" s="74">
        <v>1972</v>
      </c>
      <c r="M126" s="74">
        <v>2130</v>
      </c>
      <c r="N126" s="74">
        <v>2193</v>
      </c>
      <c r="O126" s="74">
        <v>2119</v>
      </c>
      <c r="P126" s="74">
        <v>1937</v>
      </c>
      <c r="Q126" s="74">
        <v>2111</v>
      </c>
      <c r="R126" s="74">
        <v>2128</v>
      </c>
      <c r="S126" s="74">
        <v>2208</v>
      </c>
      <c r="T126" s="74">
        <v>2090</v>
      </c>
      <c r="U126" s="74">
        <v>1877</v>
      </c>
      <c r="V126" s="77"/>
      <c r="W126" s="74"/>
      <c r="X126" s="74"/>
      <c r="Y126" s="74"/>
      <c r="Z126" s="74"/>
    </row>
    <row r="127" spans="1:26" ht="15.75" customHeight="1">
      <c r="A127" s="74"/>
      <c r="B127" s="74" t="b">
        <f t="shared" si="1"/>
        <v>1</v>
      </c>
      <c r="C127" s="77">
        <v>920736</v>
      </c>
      <c r="D127" s="74">
        <v>920736</v>
      </c>
      <c r="E127" s="79" t="s">
        <v>700</v>
      </c>
      <c r="F127" s="74" t="s">
        <v>25</v>
      </c>
      <c r="G127" s="74"/>
      <c r="H127" s="74"/>
      <c r="I127" s="76">
        <v>30</v>
      </c>
      <c r="J127" s="74">
        <v>31</v>
      </c>
      <c r="K127" s="74">
        <v>30</v>
      </c>
      <c r="L127" s="74">
        <v>30</v>
      </c>
      <c r="M127" s="74">
        <v>30</v>
      </c>
      <c r="N127" s="74">
        <v>33</v>
      </c>
      <c r="O127" s="74">
        <v>30</v>
      </c>
      <c r="P127" s="74">
        <v>30</v>
      </c>
      <c r="Q127" s="74">
        <v>30</v>
      </c>
      <c r="R127" s="74">
        <v>30</v>
      </c>
      <c r="S127" s="74">
        <v>32</v>
      </c>
      <c r="T127" s="74">
        <v>30</v>
      </c>
      <c r="U127" s="74">
        <v>30</v>
      </c>
      <c r="V127" s="77"/>
      <c r="W127" s="74"/>
      <c r="X127" s="74"/>
      <c r="Y127" s="74"/>
      <c r="Z127" s="74"/>
    </row>
    <row r="128" spans="1:26" ht="15.75" customHeight="1">
      <c r="A128" s="74"/>
      <c r="B128" s="74" t="b">
        <f t="shared" si="1"/>
        <v>1</v>
      </c>
      <c r="C128" s="77">
        <v>10222</v>
      </c>
      <c r="D128" s="74">
        <v>10222</v>
      </c>
      <c r="E128" s="79" t="s">
        <v>704</v>
      </c>
      <c r="F128" s="74" t="s">
        <v>25</v>
      </c>
      <c r="G128" s="74"/>
      <c r="H128" s="74"/>
      <c r="I128" s="76">
        <v>10997</v>
      </c>
      <c r="J128" s="74">
        <v>10778</v>
      </c>
      <c r="K128" s="74">
        <v>10176</v>
      </c>
      <c r="L128" s="74">
        <v>6090</v>
      </c>
      <c r="M128" s="74">
        <v>7418</v>
      </c>
      <c r="N128" s="74">
        <v>7522</v>
      </c>
      <c r="O128" s="74">
        <v>6852</v>
      </c>
      <c r="P128" s="74">
        <v>4618</v>
      </c>
      <c r="Q128" s="74">
        <v>4071</v>
      </c>
      <c r="R128" s="74">
        <v>624</v>
      </c>
      <c r="S128" s="74">
        <v>675</v>
      </c>
      <c r="T128" s="74">
        <v>770</v>
      </c>
      <c r="U128" s="74">
        <v>749</v>
      </c>
      <c r="V128" s="77"/>
      <c r="W128" s="74"/>
      <c r="X128" s="74"/>
      <c r="Y128" s="74"/>
      <c r="Z128" s="74"/>
    </row>
    <row r="129" spans="1:26" ht="15.75" customHeight="1">
      <c r="A129" s="74"/>
      <c r="B129" s="74" t="b">
        <f t="shared" si="1"/>
        <v>1</v>
      </c>
      <c r="C129" s="77">
        <v>10405</v>
      </c>
      <c r="D129" s="74">
        <v>10405</v>
      </c>
      <c r="E129" s="79" t="s">
        <v>704</v>
      </c>
      <c r="F129" s="74" t="s">
        <v>25</v>
      </c>
      <c r="G129" s="74"/>
      <c r="H129" s="74"/>
      <c r="I129" s="76">
        <v>658</v>
      </c>
      <c r="J129" s="74">
        <v>635</v>
      </c>
      <c r="K129" s="74">
        <v>223</v>
      </c>
      <c r="L129" s="74">
        <v>182</v>
      </c>
      <c r="M129" s="74">
        <v>185</v>
      </c>
      <c r="N129" s="74">
        <v>166</v>
      </c>
      <c r="O129" s="74">
        <v>156</v>
      </c>
      <c r="P129" s="74">
        <v>196</v>
      </c>
      <c r="Q129" s="74">
        <v>195</v>
      </c>
      <c r="R129" s="74">
        <v>235</v>
      </c>
      <c r="S129" s="74">
        <v>260</v>
      </c>
      <c r="T129" s="74">
        <v>251</v>
      </c>
      <c r="U129" s="74">
        <v>268</v>
      </c>
      <c r="V129" s="77"/>
      <c r="W129" s="74"/>
      <c r="X129" s="74"/>
      <c r="Y129" s="74"/>
      <c r="Z129" s="74"/>
    </row>
    <row r="130" spans="1:26" ht="15.75" customHeight="1">
      <c r="A130" s="74"/>
      <c r="B130" s="74" t="b">
        <f t="shared" ref="B130:B193" si="2">D130=C130</f>
        <v>1</v>
      </c>
      <c r="C130" s="77">
        <v>3797776</v>
      </c>
      <c r="D130" s="74">
        <v>3797776</v>
      </c>
      <c r="E130" s="79" t="s">
        <v>700</v>
      </c>
      <c r="F130" s="74" t="s">
        <v>25</v>
      </c>
      <c r="G130" s="74"/>
      <c r="H130" s="74"/>
      <c r="I130" s="76">
        <v>462</v>
      </c>
      <c r="J130" s="74">
        <v>489</v>
      </c>
      <c r="K130" s="74">
        <v>363</v>
      </c>
      <c r="L130" s="74">
        <v>464</v>
      </c>
      <c r="M130" s="74">
        <v>533</v>
      </c>
      <c r="N130" s="74">
        <v>476</v>
      </c>
      <c r="O130" s="74">
        <v>500</v>
      </c>
      <c r="P130" s="74">
        <v>512</v>
      </c>
      <c r="Q130" s="74">
        <v>477</v>
      </c>
      <c r="R130" s="74">
        <v>509</v>
      </c>
      <c r="S130" s="74">
        <v>541</v>
      </c>
      <c r="T130" s="74">
        <v>504</v>
      </c>
      <c r="U130" s="74">
        <v>484</v>
      </c>
      <c r="V130" s="77"/>
      <c r="W130" s="74"/>
      <c r="X130" s="74"/>
      <c r="Y130" s="74"/>
      <c r="Z130" s="74"/>
    </row>
    <row r="131" spans="1:26" ht="15.75" customHeight="1">
      <c r="A131" s="74"/>
      <c r="B131" s="74" t="b">
        <f t="shared" si="2"/>
        <v>1</v>
      </c>
      <c r="C131" s="77">
        <v>10252</v>
      </c>
      <c r="D131" s="74">
        <v>10252</v>
      </c>
      <c r="E131" s="79" t="s">
        <v>732</v>
      </c>
      <c r="F131" s="74" t="s">
        <v>25</v>
      </c>
      <c r="G131" s="74"/>
      <c r="H131" s="74"/>
      <c r="I131" s="76">
        <v>69</v>
      </c>
      <c r="J131" s="74">
        <v>77</v>
      </c>
      <c r="K131" s="74">
        <v>82</v>
      </c>
      <c r="L131" s="74">
        <v>84</v>
      </c>
      <c r="M131" s="74">
        <v>77</v>
      </c>
      <c r="N131" s="74">
        <v>57</v>
      </c>
      <c r="O131" s="74">
        <v>207</v>
      </c>
      <c r="P131" s="74">
        <v>464</v>
      </c>
      <c r="Q131" s="74">
        <v>538</v>
      </c>
      <c r="R131" s="74">
        <v>529</v>
      </c>
      <c r="S131" s="74">
        <v>647</v>
      </c>
      <c r="T131" s="74">
        <v>467</v>
      </c>
      <c r="U131" s="74">
        <v>296</v>
      </c>
      <c r="V131" s="77"/>
      <c r="W131" s="74"/>
      <c r="X131" s="74"/>
      <c r="Y131" s="74"/>
      <c r="Z131" s="74"/>
    </row>
    <row r="132" spans="1:26" ht="15.75" customHeight="1">
      <c r="A132" s="74"/>
      <c r="B132" s="74" t="b">
        <f t="shared" si="2"/>
        <v>1</v>
      </c>
      <c r="C132" s="77">
        <v>25443</v>
      </c>
      <c r="D132" s="74">
        <v>25443</v>
      </c>
      <c r="E132" s="79" t="s">
        <v>700</v>
      </c>
      <c r="F132" s="74" t="s">
        <v>25</v>
      </c>
      <c r="G132" s="74"/>
      <c r="H132" s="74"/>
      <c r="I132" s="76">
        <v>137</v>
      </c>
      <c r="J132" s="74">
        <v>209</v>
      </c>
      <c r="K132" s="74">
        <v>96</v>
      </c>
      <c r="L132" s="74">
        <v>140</v>
      </c>
      <c r="M132" s="74">
        <v>148</v>
      </c>
      <c r="N132" s="74">
        <v>170</v>
      </c>
      <c r="O132" s="74">
        <v>218</v>
      </c>
      <c r="P132" s="74">
        <v>291</v>
      </c>
      <c r="Q132" s="74">
        <v>330</v>
      </c>
      <c r="R132" s="74">
        <v>311</v>
      </c>
      <c r="S132" s="74">
        <v>356</v>
      </c>
      <c r="T132" s="74">
        <v>240</v>
      </c>
      <c r="U132" s="74">
        <v>260</v>
      </c>
      <c r="V132" s="77"/>
      <c r="W132" s="74"/>
      <c r="X132" s="74"/>
      <c r="Y132" s="74"/>
      <c r="Z132" s="74"/>
    </row>
    <row r="133" spans="1:26" ht="15.75" customHeight="1">
      <c r="A133" s="74"/>
      <c r="B133" s="74" t="b">
        <f t="shared" si="2"/>
        <v>1</v>
      </c>
      <c r="C133" s="77">
        <v>6545672</v>
      </c>
      <c r="D133" s="74">
        <v>6545672</v>
      </c>
      <c r="E133" s="79" t="s">
        <v>700</v>
      </c>
      <c r="F133" s="74" t="s">
        <v>25</v>
      </c>
      <c r="G133" s="74"/>
      <c r="H133" s="74"/>
      <c r="I133" s="76">
        <v>0</v>
      </c>
      <c r="J133" s="74">
        <v>30</v>
      </c>
      <c r="K133" s="74">
        <v>30</v>
      </c>
      <c r="L133" s="74">
        <v>30</v>
      </c>
      <c r="M133" s="74">
        <v>30</v>
      </c>
      <c r="N133" s="74">
        <v>30</v>
      </c>
      <c r="O133" s="74">
        <v>30</v>
      </c>
      <c r="P133" s="74">
        <v>30</v>
      </c>
      <c r="Q133" s="74">
        <v>30</v>
      </c>
      <c r="R133" s="74">
        <v>30</v>
      </c>
      <c r="S133" s="74">
        <v>30</v>
      </c>
      <c r="T133" s="74">
        <v>30</v>
      </c>
      <c r="U133" s="74">
        <v>30</v>
      </c>
      <c r="V133" s="77"/>
      <c r="W133" s="74"/>
      <c r="X133" s="74"/>
      <c r="Y133" s="74"/>
      <c r="Z133" s="74"/>
    </row>
    <row r="134" spans="1:26" ht="15.75" customHeight="1">
      <c r="A134" s="74"/>
      <c r="B134" s="74" t="b">
        <f t="shared" si="2"/>
        <v>1</v>
      </c>
      <c r="C134" s="77">
        <v>6545659</v>
      </c>
      <c r="D134" s="74">
        <v>6545659</v>
      </c>
      <c r="E134" s="79" t="s">
        <v>700</v>
      </c>
      <c r="F134" s="74" t="s">
        <v>25</v>
      </c>
      <c r="G134" s="74"/>
      <c r="H134" s="74"/>
      <c r="I134" s="76">
        <v>0</v>
      </c>
      <c r="J134" s="74">
        <v>30</v>
      </c>
      <c r="K134" s="74">
        <v>30</v>
      </c>
      <c r="L134" s="74">
        <v>30</v>
      </c>
      <c r="M134" s="74">
        <v>30</v>
      </c>
      <c r="N134" s="74">
        <v>30</v>
      </c>
      <c r="O134" s="74">
        <v>30</v>
      </c>
      <c r="P134" s="74">
        <v>30</v>
      </c>
      <c r="Q134" s="74">
        <v>30</v>
      </c>
      <c r="R134" s="74">
        <v>30</v>
      </c>
      <c r="S134" s="74">
        <v>30</v>
      </c>
      <c r="T134" s="74">
        <v>30</v>
      </c>
      <c r="U134" s="74">
        <v>30</v>
      </c>
      <c r="V134" s="77"/>
      <c r="W134" s="74"/>
      <c r="X134" s="74"/>
      <c r="Y134" s="74"/>
      <c r="Z134" s="74"/>
    </row>
    <row r="135" spans="1:26" ht="15.75" customHeight="1">
      <c r="A135" s="74"/>
      <c r="B135" s="74" t="b">
        <f t="shared" si="2"/>
        <v>1</v>
      </c>
      <c r="C135" s="77">
        <v>6545031</v>
      </c>
      <c r="D135" s="74">
        <v>6545031</v>
      </c>
      <c r="E135" s="79" t="s">
        <v>700</v>
      </c>
      <c r="F135" s="74" t="s">
        <v>25</v>
      </c>
      <c r="G135" s="74"/>
      <c r="H135" s="74"/>
      <c r="I135" s="76">
        <v>0</v>
      </c>
      <c r="J135" s="74">
        <v>30</v>
      </c>
      <c r="K135" s="74">
        <v>30</v>
      </c>
      <c r="L135" s="74">
        <v>30</v>
      </c>
      <c r="M135" s="74">
        <v>30</v>
      </c>
      <c r="N135" s="74">
        <v>30</v>
      </c>
      <c r="O135" s="74">
        <v>30</v>
      </c>
      <c r="P135" s="74">
        <v>30</v>
      </c>
      <c r="Q135" s="74">
        <v>30</v>
      </c>
      <c r="R135" s="74">
        <v>30</v>
      </c>
      <c r="S135" s="74">
        <v>30</v>
      </c>
      <c r="T135" s="74">
        <v>30</v>
      </c>
      <c r="U135" s="74">
        <v>30</v>
      </c>
      <c r="V135" s="77"/>
      <c r="W135" s="74"/>
      <c r="X135" s="74"/>
      <c r="Y135" s="74"/>
      <c r="Z135" s="74"/>
    </row>
    <row r="136" spans="1:26" ht="15.75" customHeight="1">
      <c r="A136" s="74"/>
      <c r="B136" s="74" t="b">
        <f t="shared" si="2"/>
        <v>1</v>
      </c>
      <c r="C136" s="77">
        <v>6544988</v>
      </c>
      <c r="D136" s="74">
        <v>6544988</v>
      </c>
      <c r="E136" s="79" t="s">
        <v>700</v>
      </c>
      <c r="F136" s="74" t="s">
        <v>25</v>
      </c>
      <c r="G136" s="74"/>
      <c r="H136" s="74"/>
      <c r="I136" s="76">
        <v>0</v>
      </c>
      <c r="J136" s="74">
        <v>90</v>
      </c>
      <c r="K136" s="74">
        <v>221</v>
      </c>
      <c r="L136" s="74">
        <v>281</v>
      </c>
      <c r="M136" s="74">
        <v>259</v>
      </c>
      <c r="N136" s="74">
        <v>248</v>
      </c>
      <c r="O136" s="74">
        <v>378</v>
      </c>
      <c r="P136" s="74">
        <v>233</v>
      </c>
      <c r="Q136" s="74">
        <v>424</v>
      </c>
      <c r="R136" s="74">
        <v>417</v>
      </c>
      <c r="S136" s="74">
        <v>736</v>
      </c>
      <c r="T136" s="74">
        <v>215</v>
      </c>
      <c r="U136" s="74">
        <v>178</v>
      </c>
      <c r="V136" s="77"/>
      <c r="W136" s="74"/>
      <c r="X136" s="74"/>
      <c r="Y136" s="74"/>
      <c r="Z136" s="74"/>
    </row>
    <row r="137" spans="1:26" ht="15.75" customHeight="1">
      <c r="A137" s="74"/>
      <c r="B137" s="74" t="b">
        <f t="shared" si="2"/>
        <v>1</v>
      </c>
      <c r="C137" s="77">
        <v>10423</v>
      </c>
      <c r="D137" s="74">
        <v>10423</v>
      </c>
      <c r="E137" s="79" t="s">
        <v>704</v>
      </c>
      <c r="F137" s="74" t="s">
        <v>25</v>
      </c>
      <c r="G137" s="74"/>
      <c r="H137" s="74"/>
      <c r="I137" s="76">
        <v>6250</v>
      </c>
      <c r="J137" s="74">
        <v>5922</v>
      </c>
      <c r="K137" s="74">
        <v>4800</v>
      </c>
      <c r="L137" s="74">
        <v>5084</v>
      </c>
      <c r="M137" s="74">
        <v>4658</v>
      </c>
      <c r="N137" s="74">
        <v>5010</v>
      </c>
      <c r="O137" s="74">
        <v>4948</v>
      </c>
      <c r="P137" s="74">
        <v>5013</v>
      </c>
      <c r="Q137" s="74">
        <v>5308</v>
      </c>
      <c r="R137" s="74">
        <v>5367</v>
      </c>
      <c r="S137" s="74">
        <v>5856</v>
      </c>
      <c r="T137" s="74">
        <v>5676</v>
      </c>
      <c r="U137" s="74">
        <v>5372</v>
      </c>
      <c r="V137" s="77"/>
      <c r="W137" s="74"/>
      <c r="X137" s="74"/>
      <c r="Y137" s="74"/>
      <c r="Z137" s="74"/>
    </row>
    <row r="138" spans="1:26" ht="15.75" customHeight="1">
      <c r="A138" s="74"/>
      <c r="B138" s="74" t="b">
        <f t="shared" si="2"/>
        <v>1</v>
      </c>
      <c r="C138" s="77">
        <v>3304754</v>
      </c>
      <c r="D138" s="74">
        <v>3304754</v>
      </c>
      <c r="E138" s="79" t="s">
        <v>732</v>
      </c>
      <c r="F138" s="74" t="s">
        <v>25</v>
      </c>
      <c r="G138" s="74"/>
      <c r="H138" s="74"/>
      <c r="I138" s="76">
        <v>0</v>
      </c>
      <c r="J138" s="74">
        <v>50</v>
      </c>
      <c r="K138" s="74">
        <v>50</v>
      </c>
      <c r="L138" s="74">
        <v>50</v>
      </c>
      <c r="M138" s="74">
        <v>50</v>
      </c>
      <c r="N138" s="74">
        <v>50</v>
      </c>
      <c r="O138" s="74">
        <v>50</v>
      </c>
      <c r="P138" s="74">
        <v>50</v>
      </c>
      <c r="Q138" s="74">
        <v>50</v>
      </c>
      <c r="R138" s="74">
        <v>50</v>
      </c>
      <c r="S138" s="74">
        <v>50</v>
      </c>
      <c r="T138" s="74">
        <v>50</v>
      </c>
      <c r="U138" s="74">
        <v>50</v>
      </c>
      <c r="V138" s="77"/>
      <c r="W138" s="74"/>
      <c r="X138" s="74"/>
      <c r="Y138" s="74"/>
      <c r="Z138" s="74"/>
    </row>
    <row r="139" spans="1:26" ht="15.75" customHeight="1">
      <c r="A139" s="74"/>
      <c r="B139" s="74" t="b">
        <f t="shared" si="2"/>
        <v>1</v>
      </c>
      <c r="C139" s="77">
        <v>2979159</v>
      </c>
      <c r="D139" s="74">
        <v>2979159</v>
      </c>
      <c r="E139" s="79" t="s">
        <v>704</v>
      </c>
      <c r="F139" s="74" t="s">
        <v>25</v>
      </c>
      <c r="G139" s="74"/>
      <c r="H139" s="74"/>
      <c r="I139" s="76">
        <v>0</v>
      </c>
      <c r="J139" s="74">
        <v>100</v>
      </c>
      <c r="K139" s="74">
        <v>100</v>
      </c>
      <c r="L139" s="74">
        <v>100</v>
      </c>
      <c r="M139" s="74">
        <v>100</v>
      </c>
      <c r="N139" s="74">
        <v>100</v>
      </c>
      <c r="O139" s="74">
        <v>100</v>
      </c>
      <c r="P139" s="74">
        <v>100</v>
      </c>
      <c r="Q139" s="74">
        <v>100</v>
      </c>
      <c r="R139" s="74">
        <v>100</v>
      </c>
      <c r="S139" s="74">
        <v>100</v>
      </c>
      <c r="T139" s="74">
        <v>100</v>
      </c>
      <c r="U139" s="74">
        <v>100</v>
      </c>
      <c r="V139" s="77"/>
      <c r="W139" s="74"/>
      <c r="X139" s="74"/>
      <c r="Y139" s="74"/>
      <c r="Z139" s="74"/>
    </row>
    <row r="140" spans="1:26" ht="15.75" customHeight="1">
      <c r="A140" s="74"/>
      <c r="B140" s="74" t="b">
        <f t="shared" si="2"/>
        <v>1</v>
      </c>
      <c r="C140" s="77">
        <v>4018717</v>
      </c>
      <c r="D140" s="74">
        <v>4018717</v>
      </c>
      <c r="E140" s="79" t="s">
        <v>700</v>
      </c>
      <c r="F140" s="74" t="s">
        <v>25</v>
      </c>
      <c r="G140" s="74"/>
      <c r="H140" s="74"/>
      <c r="I140" s="76">
        <v>0</v>
      </c>
      <c r="J140" s="74">
        <v>30</v>
      </c>
      <c r="K140" s="74">
        <v>30</v>
      </c>
      <c r="L140" s="74">
        <v>30</v>
      </c>
      <c r="M140" s="74">
        <v>30</v>
      </c>
      <c r="N140" s="74">
        <v>30</v>
      </c>
      <c r="O140" s="74">
        <v>30</v>
      </c>
      <c r="P140" s="74">
        <v>30</v>
      </c>
      <c r="Q140" s="74">
        <v>30</v>
      </c>
      <c r="R140" s="74">
        <v>30</v>
      </c>
      <c r="S140" s="74">
        <v>30</v>
      </c>
      <c r="T140" s="74">
        <v>30</v>
      </c>
      <c r="U140" s="74">
        <v>30</v>
      </c>
      <c r="V140" s="77"/>
      <c r="W140" s="74"/>
      <c r="X140" s="74"/>
      <c r="Y140" s="74"/>
      <c r="Z140" s="74"/>
    </row>
    <row r="141" spans="1:26" ht="17.25" customHeight="1">
      <c r="A141" s="74"/>
      <c r="B141" s="74" t="b">
        <f t="shared" si="2"/>
        <v>1</v>
      </c>
      <c r="C141" s="77">
        <v>8626210</v>
      </c>
      <c r="D141" s="74">
        <v>8626210</v>
      </c>
      <c r="E141" s="79" t="s">
        <v>704</v>
      </c>
      <c r="F141" s="74" t="s">
        <v>25</v>
      </c>
      <c r="G141" s="74"/>
      <c r="H141" s="74"/>
      <c r="I141" s="76">
        <v>1355</v>
      </c>
      <c r="J141" s="74">
        <v>1379</v>
      </c>
      <c r="K141" s="74">
        <v>1416</v>
      </c>
      <c r="L141" s="74">
        <v>989</v>
      </c>
      <c r="M141" s="74">
        <v>1316</v>
      </c>
      <c r="N141" s="74">
        <v>1594</v>
      </c>
      <c r="O141" s="74">
        <v>1867</v>
      </c>
      <c r="P141" s="74">
        <v>1711</v>
      </c>
      <c r="Q141" s="74">
        <v>848</v>
      </c>
      <c r="R141" s="74">
        <v>895</v>
      </c>
      <c r="S141" s="74">
        <v>862</v>
      </c>
      <c r="T141" s="74">
        <v>784</v>
      </c>
      <c r="U141" s="74">
        <v>690</v>
      </c>
      <c r="V141" s="77"/>
      <c r="W141" s="74"/>
      <c r="X141" s="74"/>
      <c r="Y141" s="74"/>
      <c r="Z141" s="74"/>
    </row>
    <row r="142" spans="1:26" ht="17.25" customHeight="1">
      <c r="A142" s="74"/>
      <c r="B142" s="74" t="b">
        <f t="shared" si="2"/>
        <v>1</v>
      </c>
      <c r="C142" s="77">
        <v>8626207</v>
      </c>
      <c r="D142" s="74">
        <v>8626207</v>
      </c>
      <c r="E142" s="79" t="s">
        <v>704</v>
      </c>
      <c r="F142" s="74" t="s">
        <v>25</v>
      </c>
      <c r="G142" s="74"/>
      <c r="H142" s="74"/>
      <c r="I142" s="76">
        <v>360</v>
      </c>
      <c r="J142" s="74">
        <v>423</v>
      </c>
      <c r="K142" s="74">
        <v>550</v>
      </c>
      <c r="L142" s="74">
        <v>511</v>
      </c>
      <c r="M142" s="74">
        <v>458</v>
      </c>
      <c r="N142" s="74">
        <v>503</v>
      </c>
      <c r="O142" s="74">
        <v>638</v>
      </c>
      <c r="P142" s="74">
        <v>590</v>
      </c>
      <c r="Q142" s="74">
        <v>567</v>
      </c>
      <c r="R142" s="74">
        <v>585</v>
      </c>
      <c r="S142" s="74">
        <v>548</v>
      </c>
      <c r="T142" s="74">
        <v>524</v>
      </c>
      <c r="U142" s="74">
        <v>467</v>
      </c>
      <c r="V142" s="77"/>
      <c r="W142" s="74"/>
      <c r="X142" s="74"/>
      <c r="Y142" s="74"/>
      <c r="Z142" s="74"/>
    </row>
    <row r="143" spans="1:26" ht="18" customHeight="1">
      <c r="A143" s="74"/>
      <c r="B143" s="74" t="b">
        <f t="shared" si="2"/>
        <v>1</v>
      </c>
      <c r="C143" s="77">
        <v>6731540</v>
      </c>
      <c r="D143" s="74">
        <v>6731540</v>
      </c>
      <c r="E143" s="79" t="s">
        <v>704</v>
      </c>
      <c r="F143" s="74" t="s">
        <v>25</v>
      </c>
      <c r="G143" s="74"/>
      <c r="H143" s="74"/>
      <c r="I143" s="76">
        <v>235</v>
      </c>
      <c r="J143" s="74">
        <v>278</v>
      </c>
      <c r="K143" s="74">
        <v>321</v>
      </c>
      <c r="L143" s="74">
        <v>496</v>
      </c>
      <c r="M143" s="74">
        <v>695</v>
      </c>
      <c r="N143" s="74">
        <v>755</v>
      </c>
      <c r="O143" s="74">
        <v>681</v>
      </c>
      <c r="P143" s="74">
        <v>498</v>
      </c>
      <c r="Q143" s="74">
        <v>438</v>
      </c>
      <c r="R143" s="74">
        <v>418</v>
      </c>
      <c r="S143" s="74">
        <v>619</v>
      </c>
      <c r="T143" s="74">
        <v>510</v>
      </c>
      <c r="U143" s="74">
        <v>467</v>
      </c>
      <c r="V143" s="77"/>
      <c r="W143" s="74"/>
      <c r="X143" s="74"/>
      <c r="Y143" s="74"/>
      <c r="Z143" s="74"/>
    </row>
    <row r="144" spans="1:26" ht="15.75" customHeight="1">
      <c r="A144" s="74"/>
      <c r="B144" s="74" t="b">
        <f t="shared" si="2"/>
        <v>1</v>
      </c>
      <c r="C144" s="77">
        <v>7429422</v>
      </c>
      <c r="D144" s="74">
        <v>7429422</v>
      </c>
      <c r="E144" s="79" t="s">
        <v>700</v>
      </c>
      <c r="F144" s="74" t="s">
        <v>25</v>
      </c>
      <c r="G144" s="74"/>
      <c r="H144" s="74"/>
      <c r="I144" s="76">
        <v>809</v>
      </c>
      <c r="J144" s="74">
        <v>1004</v>
      </c>
      <c r="K144" s="74">
        <v>1030</v>
      </c>
      <c r="L144" s="74">
        <v>978</v>
      </c>
      <c r="M144" s="74">
        <v>930</v>
      </c>
      <c r="N144" s="74">
        <v>971</v>
      </c>
      <c r="O144" s="74">
        <v>894</v>
      </c>
      <c r="P144" s="74">
        <v>804</v>
      </c>
      <c r="Q144" s="74">
        <v>627</v>
      </c>
      <c r="R144" s="74">
        <v>1211</v>
      </c>
      <c r="S144" s="74">
        <v>1114</v>
      </c>
      <c r="T144" s="74">
        <v>1191</v>
      </c>
      <c r="U144" s="74">
        <v>1131</v>
      </c>
      <c r="V144" s="77"/>
      <c r="W144" s="74"/>
      <c r="X144" s="74"/>
      <c r="Y144" s="74"/>
      <c r="Z144" s="74"/>
    </row>
    <row r="145" spans="1:26" ht="15.75" customHeight="1">
      <c r="A145" s="74"/>
      <c r="B145" s="74" t="b">
        <f t="shared" si="2"/>
        <v>1</v>
      </c>
      <c r="C145" s="77">
        <v>3686965</v>
      </c>
      <c r="D145" s="74">
        <v>3686965</v>
      </c>
      <c r="E145" s="79" t="s">
        <v>704</v>
      </c>
      <c r="F145" s="74" t="s">
        <v>25</v>
      </c>
      <c r="G145" s="74"/>
      <c r="H145" s="74"/>
      <c r="I145" s="76">
        <v>1642</v>
      </c>
      <c r="J145" s="74">
        <v>2088</v>
      </c>
      <c r="K145" s="74">
        <v>1410</v>
      </c>
      <c r="L145" s="74">
        <v>1500</v>
      </c>
      <c r="M145" s="74">
        <v>1333</v>
      </c>
      <c r="N145" s="74">
        <v>1086</v>
      </c>
      <c r="O145" s="74">
        <v>929</v>
      </c>
      <c r="P145" s="74">
        <v>637</v>
      </c>
      <c r="Q145" s="74">
        <v>908</v>
      </c>
      <c r="R145" s="74">
        <v>1048</v>
      </c>
      <c r="S145" s="74">
        <v>1359</v>
      </c>
      <c r="T145" s="74">
        <v>1535</v>
      </c>
      <c r="U145" s="74">
        <v>1508</v>
      </c>
      <c r="V145" s="77"/>
      <c r="W145" s="74"/>
      <c r="X145" s="74"/>
      <c r="Y145" s="74"/>
      <c r="Z145" s="74"/>
    </row>
    <row r="146" spans="1:26" ht="15.75" customHeight="1">
      <c r="A146" s="74"/>
      <c r="B146" s="74" t="b">
        <f t="shared" si="2"/>
        <v>1</v>
      </c>
      <c r="C146" s="77">
        <v>25103</v>
      </c>
      <c r="D146" s="74">
        <v>25103</v>
      </c>
      <c r="E146" s="79" t="s">
        <v>732</v>
      </c>
      <c r="F146" s="74" t="s">
        <v>25</v>
      </c>
      <c r="G146" s="74"/>
      <c r="H146" s="74"/>
      <c r="I146" s="76">
        <v>1010</v>
      </c>
      <c r="J146" s="74">
        <v>746</v>
      </c>
      <c r="K146" s="74">
        <v>163</v>
      </c>
      <c r="L146" s="74">
        <v>704</v>
      </c>
      <c r="M146" s="74">
        <v>939</v>
      </c>
      <c r="N146" s="74">
        <v>930</v>
      </c>
      <c r="O146" s="74">
        <v>845</v>
      </c>
      <c r="P146" s="74">
        <v>779</v>
      </c>
      <c r="Q146" s="74">
        <v>646</v>
      </c>
      <c r="R146" s="74">
        <v>891</v>
      </c>
      <c r="S146" s="74">
        <v>1027</v>
      </c>
      <c r="T146" s="74">
        <v>934</v>
      </c>
      <c r="U146" s="74">
        <v>1027</v>
      </c>
      <c r="V146" s="77"/>
      <c r="W146" s="74"/>
      <c r="X146" s="74"/>
      <c r="Y146" s="74"/>
      <c r="Z146" s="74"/>
    </row>
    <row r="147" spans="1:26" ht="15.75" customHeight="1">
      <c r="A147" s="74"/>
      <c r="B147" s="74" t="b">
        <f t="shared" si="2"/>
        <v>1</v>
      </c>
      <c r="C147" s="77">
        <v>10322</v>
      </c>
      <c r="D147" s="74">
        <v>10322</v>
      </c>
      <c r="E147" s="79" t="s">
        <v>704</v>
      </c>
      <c r="F147" s="74" t="s">
        <v>25</v>
      </c>
      <c r="G147" s="74"/>
      <c r="H147" s="74"/>
      <c r="I147" s="76">
        <v>3311</v>
      </c>
      <c r="J147" s="74">
        <v>2998</v>
      </c>
      <c r="K147" s="74">
        <v>926</v>
      </c>
      <c r="L147" s="74">
        <v>2599</v>
      </c>
      <c r="M147" s="74">
        <v>3186</v>
      </c>
      <c r="N147" s="74">
        <v>2827</v>
      </c>
      <c r="O147" s="74">
        <v>2682</v>
      </c>
      <c r="P147" s="74">
        <v>2058</v>
      </c>
      <c r="Q147" s="74">
        <v>2693</v>
      </c>
      <c r="R147" s="74">
        <v>3941</v>
      </c>
      <c r="S147" s="74">
        <v>4680</v>
      </c>
      <c r="T147" s="74">
        <v>1693</v>
      </c>
      <c r="U147" s="74">
        <v>1722</v>
      </c>
      <c r="V147" s="77"/>
      <c r="W147" s="74"/>
      <c r="X147" s="74"/>
      <c r="Y147" s="74"/>
      <c r="Z147" s="74"/>
    </row>
    <row r="148" spans="1:26" ht="15.75" customHeight="1">
      <c r="A148" s="74"/>
      <c r="B148" s="74" t="b">
        <f t="shared" si="2"/>
        <v>1</v>
      </c>
      <c r="C148" s="77">
        <v>10240</v>
      </c>
      <c r="D148" s="74">
        <v>10240</v>
      </c>
      <c r="E148" s="79" t="s">
        <v>704</v>
      </c>
      <c r="F148" s="74" t="s">
        <v>25</v>
      </c>
      <c r="G148" s="74"/>
      <c r="H148" s="74"/>
      <c r="I148" s="76">
        <v>2223</v>
      </c>
      <c r="J148" s="74">
        <v>1841</v>
      </c>
      <c r="K148" s="74">
        <v>680</v>
      </c>
      <c r="L148" s="74">
        <v>1471</v>
      </c>
      <c r="M148" s="74">
        <v>1970</v>
      </c>
      <c r="N148" s="74">
        <v>2083</v>
      </c>
      <c r="O148" s="74">
        <v>1881</v>
      </c>
      <c r="P148" s="74">
        <v>1720</v>
      </c>
      <c r="Q148" s="74">
        <v>1487</v>
      </c>
      <c r="R148" s="74">
        <v>2175</v>
      </c>
      <c r="S148" s="74">
        <v>2478</v>
      </c>
      <c r="T148" s="74">
        <v>2301</v>
      </c>
      <c r="U148" s="74">
        <v>2703</v>
      </c>
      <c r="V148" s="77"/>
      <c r="W148" s="74"/>
      <c r="X148" s="74"/>
      <c r="Y148" s="74"/>
      <c r="Z148" s="74"/>
    </row>
    <row r="149" spans="1:26" ht="15.75" customHeight="1">
      <c r="A149" s="74"/>
      <c r="B149" s="74" t="b">
        <f t="shared" si="2"/>
        <v>1</v>
      </c>
      <c r="C149" s="77">
        <v>10260</v>
      </c>
      <c r="D149" s="74">
        <v>10260</v>
      </c>
      <c r="E149" s="79" t="s">
        <v>704</v>
      </c>
      <c r="F149" s="74" t="s">
        <v>25</v>
      </c>
      <c r="G149" s="74"/>
      <c r="H149" s="74"/>
      <c r="I149" s="76">
        <v>2285</v>
      </c>
      <c r="J149" s="74">
        <v>3145</v>
      </c>
      <c r="K149" s="74">
        <v>1073</v>
      </c>
      <c r="L149" s="74">
        <v>2587</v>
      </c>
      <c r="M149" s="74">
        <v>3164</v>
      </c>
      <c r="N149" s="74">
        <v>2760</v>
      </c>
      <c r="O149" s="74">
        <v>2624</v>
      </c>
      <c r="P149" s="74">
        <v>1886</v>
      </c>
      <c r="Q149" s="74">
        <v>2059</v>
      </c>
      <c r="R149" s="74">
        <v>2927</v>
      </c>
      <c r="S149" s="74">
        <v>3263</v>
      </c>
      <c r="T149" s="74">
        <v>3048</v>
      </c>
      <c r="U149" s="74">
        <v>3194</v>
      </c>
      <c r="V149" s="77"/>
      <c r="W149" s="74"/>
      <c r="X149" s="74"/>
      <c r="Y149" s="74"/>
      <c r="Z149" s="74"/>
    </row>
    <row r="150" spans="1:26" ht="15.75" customHeight="1">
      <c r="A150" s="74"/>
      <c r="B150" s="74" t="b">
        <f t="shared" si="2"/>
        <v>1</v>
      </c>
      <c r="C150" s="77">
        <v>3169312</v>
      </c>
      <c r="D150" s="74">
        <v>3169312</v>
      </c>
      <c r="E150" s="79" t="s">
        <v>732</v>
      </c>
      <c r="F150" s="74" t="s">
        <v>25</v>
      </c>
      <c r="G150" s="74"/>
      <c r="H150" s="74"/>
      <c r="I150" s="76">
        <v>819</v>
      </c>
      <c r="J150" s="74">
        <v>695</v>
      </c>
      <c r="K150" s="74">
        <v>183</v>
      </c>
      <c r="L150" s="74">
        <v>635</v>
      </c>
      <c r="M150" s="74">
        <v>731</v>
      </c>
      <c r="N150" s="74">
        <v>711</v>
      </c>
      <c r="O150" s="74">
        <v>668</v>
      </c>
      <c r="P150" s="74">
        <v>551</v>
      </c>
      <c r="Q150" s="74">
        <v>522</v>
      </c>
      <c r="R150" s="74">
        <v>648</v>
      </c>
      <c r="S150" s="74">
        <v>812</v>
      </c>
      <c r="T150" s="74">
        <v>785</v>
      </c>
      <c r="U150" s="74">
        <v>827</v>
      </c>
      <c r="V150" s="77"/>
      <c r="W150" s="74"/>
      <c r="X150" s="74"/>
      <c r="Y150" s="74"/>
      <c r="Z150" s="74"/>
    </row>
    <row r="151" spans="1:26" ht="15.75" customHeight="1">
      <c r="A151" s="74"/>
      <c r="B151" s="74" t="b">
        <f t="shared" si="2"/>
        <v>1</v>
      </c>
      <c r="C151" s="77">
        <v>56399410</v>
      </c>
      <c r="D151" s="74">
        <v>56399410</v>
      </c>
      <c r="E151" s="79" t="s">
        <v>732</v>
      </c>
      <c r="F151" s="74" t="s">
        <v>25</v>
      </c>
      <c r="G151" s="74"/>
      <c r="H151" s="74"/>
      <c r="I151" s="76">
        <v>741</v>
      </c>
      <c r="J151" s="74">
        <v>702</v>
      </c>
      <c r="K151" s="74">
        <v>273</v>
      </c>
      <c r="L151" s="74">
        <v>611</v>
      </c>
      <c r="M151" s="74">
        <v>685</v>
      </c>
      <c r="N151" s="74">
        <v>656</v>
      </c>
      <c r="O151" s="74">
        <v>671</v>
      </c>
      <c r="P151" s="74">
        <v>581</v>
      </c>
      <c r="Q151" s="74">
        <v>573</v>
      </c>
      <c r="R151" s="74">
        <v>699</v>
      </c>
      <c r="S151" s="74">
        <v>835</v>
      </c>
      <c r="T151" s="74">
        <v>775</v>
      </c>
      <c r="U151" s="74">
        <v>887</v>
      </c>
      <c r="V151" s="77"/>
      <c r="W151" s="74"/>
      <c r="X151" s="74"/>
      <c r="Y151" s="74"/>
      <c r="Z151" s="74"/>
    </row>
    <row r="152" spans="1:26" ht="15.75" customHeight="1">
      <c r="A152" s="74"/>
      <c r="B152" s="74" t="b">
        <f t="shared" si="2"/>
        <v>1</v>
      </c>
      <c r="C152" s="77">
        <v>8225841</v>
      </c>
      <c r="D152" s="74">
        <v>8225841</v>
      </c>
      <c r="E152" s="79" t="s">
        <v>704</v>
      </c>
      <c r="F152" s="74" t="s">
        <v>25</v>
      </c>
      <c r="G152" s="74"/>
      <c r="H152" s="74"/>
      <c r="I152" s="76">
        <v>813</v>
      </c>
      <c r="J152" s="74">
        <v>823</v>
      </c>
      <c r="K152" s="74">
        <v>502</v>
      </c>
      <c r="L152" s="74">
        <v>569</v>
      </c>
      <c r="M152" s="74">
        <v>637</v>
      </c>
      <c r="N152" s="74">
        <v>545</v>
      </c>
      <c r="O152" s="74">
        <v>605</v>
      </c>
      <c r="P152" s="74">
        <v>561</v>
      </c>
      <c r="Q152" s="74">
        <v>633</v>
      </c>
      <c r="R152" s="74">
        <v>647</v>
      </c>
      <c r="S152" s="74">
        <v>741</v>
      </c>
      <c r="T152" s="74">
        <v>668</v>
      </c>
      <c r="U152" s="74">
        <v>692</v>
      </c>
      <c r="V152" s="77"/>
      <c r="W152" s="74"/>
      <c r="X152" s="74"/>
      <c r="Y152" s="74"/>
      <c r="Z152" s="74"/>
    </row>
    <row r="153" spans="1:26" ht="15.75" customHeight="1">
      <c r="A153" s="74"/>
      <c r="B153" s="74" t="b">
        <f t="shared" si="2"/>
        <v>1</v>
      </c>
      <c r="C153" s="77">
        <v>1450899</v>
      </c>
      <c r="D153" s="74">
        <v>1450899</v>
      </c>
      <c r="E153" s="79" t="s">
        <v>732</v>
      </c>
      <c r="F153" s="74" t="s">
        <v>25</v>
      </c>
      <c r="G153" s="74"/>
      <c r="H153" s="74"/>
      <c r="I153" s="76">
        <v>617</v>
      </c>
      <c r="J153" s="74">
        <v>466</v>
      </c>
      <c r="K153" s="74">
        <v>83</v>
      </c>
      <c r="L153" s="74">
        <v>483</v>
      </c>
      <c r="M153" s="74">
        <v>628</v>
      </c>
      <c r="N153" s="74">
        <v>615</v>
      </c>
      <c r="O153" s="74">
        <v>627</v>
      </c>
      <c r="P153" s="74">
        <v>505</v>
      </c>
      <c r="Q153" s="74">
        <v>402</v>
      </c>
      <c r="R153" s="74">
        <v>499</v>
      </c>
      <c r="S153" s="74">
        <v>634</v>
      </c>
      <c r="T153" s="74">
        <v>612</v>
      </c>
      <c r="U153" s="74">
        <v>653</v>
      </c>
      <c r="V153" s="77"/>
      <c r="W153" s="74"/>
      <c r="X153" s="74"/>
      <c r="Y153" s="74"/>
      <c r="Z153" s="74"/>
    </row>
    <row r="154" spans="1:26" ht="15.75" customHeight="1">
      <c r="A154" s="74"/>
      <c r="B154" s="74" t="b">
        <f t="shared" si="2"/>
        <v>1</v>
      </c>
      <c r="C154" s="77">
        <v>176610</v>
      </c>
      <c r="D154" s="74">
        <v>176610</v>
      </c>
      <c r="E154" s="79" t="s">
        <v>704</v>
      </c>
      <c r="F154" s="74" t="s">
        <v>25</v>
      </c>
      <c r="G154" s="74"/>
      <c r="H154" s="74"/>
      <c r="I154" s="76">
        <v>280</v>
      </c>
      <c r="J154" s="74">
        <v>277</v>
      </c>
      <c r="K154" s="74">
        <v>351</v>
      </c>
      <c r="L154" s="74">
        <v>234</v>
      </c>
      <c r="M154" s="74">
        <v>290</v>
      </c>
      <c r="N154" s="74">
        <v>307</v>
      </c>
      <c r="O154" s="74">
        <v>282</v>
      </c>
      <c r="P154" s="74">
        <v>216</v>
      </c>
      <c r="Q154" s="74">
        <v>235</v>
      </c>
      <c r="R154" s="74">
        <v>270</v>
      </c>
      <c r="S154" s="74">
        <v>302</v>
      </c>
      <c r="T154" s="74">
        <v>380</v>
      </c>
      <c r="U154" s="74">
        <v>315</v>
      </c>
      <c r="V154" s="77"/>
      <c r="W154" s="74"/>
      <c r="X154" s="74"/>
      <c r="Y154" s="74"/>
      <c r="Z154" s="74"/>
    </row>
    <row r="155" spans="1:26" ht="15.75" customHeight="1">
      <c r="A155" s="74"/>
      <c r="B155" s="74" t="b">
        <f t="shared" si="2"/>
        <v>1</v>
      </c>
      <c r="C155" s="77">
        <v>3658499</v>
      </c>
      <c r="D155" s="74">
        <v>3658499</v>
      </c>
      <c r="E155" s="79" t="s">
        <v>732</v>
      </c>
      <c r="F155" s="74" t="s">
        <v>25</v>
      </c>
      <c r="G155" s="74"/>
      <c r="H155" s="74"/>
      <c r="I155" s="76">
        <v>1659</v>
      </c>
      <c r="J155" s="74">
        <v>1595</v>
      </c>
      <c r="K155" s="74">
        <v>531</v>
      </c>
      <c r="L155" s="74">
        <v>1488</v>
      </c>
      <c r="M155" s="74">
        <v>1412</v>
      </c>
      <c r="N155" s="74">
        <v>1008</v>
      </c>
      <c r="O155" s="74">
        <v>835</v>
      </c>
      <c r="P155" s="74">
        <v>843</v>
      </c>
      <c r="Q155" s="74">
        <v>738</v>
      </c>
      <c r="R155" s="74">
        <v>916</v>
      </c>
      <c r="S155" s="74">
        <v>910</v>
      </c>
      <c r="T155" s="74">
        <v>879</v>
      </c>
      <c r="U155" s="74">
        <v>956</v>
      </c>
      <c r="V155" s="77"/>
      <c r="W155" s="74"/>
      <c r="X155" s="74"/>
      <c r="Y155" s="74"/>
      <c r="Z155" s="74"/>
    </row>
    <row r="156" spans="1:26" ht="15.75" customHeight="1">
      <c r="A156" s="74"/>
      <c r="B156" s="74" t="b">
        <f t="shared" si="2"/>
        <v>1</v>
      </c>
      <c r="C156" s="77">
        <v>4043768</v>
      </c>
      <c r="D156" s="74">
        <v>4043768</v>
      </c>
      <c r="E156" s="79" t="s">
        <v>732</v>
      </c>
      <c r="F156" s="74" t="s">
        <v>25</v>
      </c>
      <c r="G156" s="74"/>
      <c r="H156" s="74"/>
      <c r="I156" s="76">
        <v>50</v>
      </c>
      <c r="J156" s="74">
        <v>50</v>
      </c>
      <c r="K156" s="74">
        <v>51</v>
      </c>
      <c r="L156" s="74">
        <v>50</v>
      </c>
      <c r="M156" s="74">
        <v>67</v>
      </c>
      <c r="N156" s="74">
        <v>79</v>
      </c>
      <c r="O156" s="74">
        <v>83</v>
      </c>
      <c r="P156" s="74">
        <v>80</v>
      </c>
      <c r="Q156" s="74">
        <v>89</v>
      </c>
      <c r="R156" s="74">
        <v>68</v>
      </c>
      <c r="S156" s="74">
        <v>69</v>
      </c>
      <c r="T156" s="74">
        <v>67</v>
      </c>
      <c r="U156" s="74">
        <v>75</v>
      </c>
      <c r="V156" s="77"/>
      <c r="W156" s="74"/>
      <c r="X156" s="74"/>
      <c r="Y156" s="74"/>
      <c r="Z156" s="74"/>
    </row>
    <row r="157" spans="1:26" ht="15.75" customHeight="1">
      <c r="A157" s="74"/>
      <c r="B157" s="74" t="b">
        <f t="shared" si="2"/>
        <v>1</v>
      </c>
      <c r="C157" s="77">
        <v>10385</v>
      </c>
      <c r="D157" s="74">
        <v>10385</v>
      </c>
      <c r="E157" s="79" t="s">
        <v>704</v>
      </c>
      <c r="F157" s="74" t="s">
        <v>25</v>
      </c>
      <c r="G157" s="74"/>
      <c r="H157" s="74"/>
      <c r="I157" s="76">
        <v>2086</v>
      </c>
      <c r="J157" s="74">
        <v>3734</v>
      </c>
      <c r="K157" s="74">
        <v>2141</v>
      </c>
      <c r="L157" s="74">
        <v>2497</v>
      </c>
      <c r="M157" s="74">
        <v>2896</v>
      </c>
      <c r="N157" s="74">
        <v>2735</v>
      </c>
      <c r="O157" s="74">
        <v>2811</v>
      </c>
      <c r="P157" s="74">
        <v>2251</v>
      </c>
      <c r="Q157" s="74">
        <v>2402</v>
      </c>
      <c r="R157" s="74">
        <v>2461</v>
      </c>
      <c r="S157" s="74">
        <v>2596</v>
      </c>
      <c r="T157" s="74">
        <v>2969</v>
      </c>
      <c r="U157" s="74">
        <v>2998</v>
      </c>
      <c r="V157" s="77"/>
      <c r="W157" s="74"/>
      <c r="X157" s="74"/>
      <c r="Y157" s="74"/>
      <c r="Z157" s="74"/>
    </row>
    <row r="158" spans="1:26" ht="15.75" customHeight="1">
      <c r="A158" s="74"/>
      <c r="B158" s="74" t="b">
        <f t="shared" si="2"/>
        <v>1</v>
      </c>
      <c r="C158" s="77">
        <v>4739434</v>
      </c>
      <c r="D158" s="74">
        <v>4739434</v>
      </c>
      <c r="E158" s="79" t="s">
        <v>704</v>
      </c>
      <c r="F158" s="74" t="s">
        <v>25</v>
      </c>
      <c r="G158" s="74"/>
      <c r="H158" s="74"/>
      <c r="I158" s="76">
        <v>3194</v>
      </c>
      <c r="J158" s="74">
        <v>2006</v>
      </c>
      <c r="K158" s="74">
        <v>1215</v>
      </c>
      <c r="L158" s="74">
        <v>2934</v>
      </c>
      <c r="M158" s="74">
        <v>1850</v>
      </c>
      <c r="N158" s="74">
        <v>2465</v>
      </c>
      <c r="O158" s="74">
        <v>2597</v>
      </c>
      <c r="P158" s="74">
        <v>1702</v>
      </c>
      <c r="Q158" s="74">
        <v>1878</v>
      </c>
      <c r="R158" s="74">
        <v>1864</v>
      </c>
      <c r="S158" s="74">
        <v>2209</v>
      </c>
      <c r="T158" s="74">
        <v>2149</v>
      </c>
      <c r="U158" s="74">
        <v>1790</v>
      </c>
      <c r="V158" s="77"/>
      <c r="W158" s="74"/>
      <c r="X158" s="74"/>
      <c r="Y158" s="74"/>
      <c r="Z158" s="74"/>
    </row>
    <row r="159" spans="1:26" ht="15.75" customHeight="1">
      <c r="A159" s="74"/>
      <c r="B159" s="74" t="b">
        <f t="shared" si="2"/>
        <v>1</v>
      </c>
      <c r="C159" s="77">
        <v>4623274</v>
      </c>
      <c r="D159" s="74">
        <v>4623274</v>
      </c>
      <c r="E159" s="79" t="s">
        <v>704</v>
      </c>
      <c r="F159" s="74" t="s">
        <v>25</v>
      </c>
      <c r="G159" s="74"/>
      <c r="H159" s="74"/>
      <c r="I159" s="76">
        <v>1643</v>
      </c>
      <c r="J159" s="74">
        <v>1387</v>
      </c>
      <c r="K159" s="74">
        <v>1465</v>
      </c>
      <c r="L159" s="74">
        <v>1428</v>
      </c>
      <c r="M159" s="74">
        <v>1727</v>
      </c>
      <c r="N159" s="74">
        <v>1250</v>
      </c>
      <c r="O159" s="74">
        <v>1444</v>
      </c>
      <c r="P159" s="74">
        <v>1082</v>
      </c>
      <c r="Q159" s="74">
        <v>1241</v>
      </c>
      <c r="R159" s="74">
        <v>1494</v>
      </c>
      <c r="S159" s="74">
        <v>1885</v>
      </c>
      <c r="T159" s="74">
        <v>1887</v>
      </c>
      <c r="U159" s="74">
        <v>1680</v>
      </c>
      <c r="V159" s="77"/>
      <c r="W159" s="74"/>
      <c r="X159" s="74"/>
      <c r="Y159" s="74"/>
      <c r="Z159" s="74"/>
    </row>
    <row r="160" spans="1:26" ht="15.75" customHeight="1">
      <c r="A160" s="74"/>
      <c r="B160" s="74" t="b">
        <f t="shared" si="2"/>
        <v>1</v>
      </c>
      <c r="C160" s="77">
        <v>4724670</v>
      </c>
      <c r="D160" s="74">
        <v>4724670</v>
      </c>
      <c r="E160" s="79" t="s">
        <v>704</v>
      </c>
      <c r="F160" s="74" t="s">
        <v>25</v>
      </c>
      <c r="G160" s="74"/>
      <c r="H160" s="74"/>
      <c r="I160" s="76">
        <v>5537</v>
      </c>
      <c r="J160" s="74">
        <v>2643</v>
      </c>
      <c r="K160" s="74">
        <v>1766</v>
      </c>
      <c r="L160" s="74">
        <v>4891</v>
      </c>
      <c r="M160" s="74">
        <v>4473</v>
      </c>
      <c r="N160" s="74">
        <v>4599</v>
      </c>
      <c r="O160" s="74">
        <v>4453</v>
      </c>
      <c r="P160" s="74">
        <v>2923</v>
      </c>
      <c r="Q160" s="74">
        <v>3573</v>
      </c>
      <c r="R160" s="74">
        <v>4008</v>
      </c>
      <c r="S160" s="74">
        <v>4371</v>
      </c>
      <c r="T160" s="74">
        <v>4456</v>
      </c>
      <c r="U160" s="74">
        <v>3737</v>
      </c>
      <c r="V160" s="77"/>
      <c r="W160" s="74"/>
      <c r="X160" s="74"/>
      <c r="Y160" s="74"/>
      <c r="Z160" s="74"/>
    </row>
    <row r="161" spans="1:26" ht="15.75" customHeight="1">
      <c r="A161" s="74"/>
      <c r="B161" s="74" t="b">
        <f t="shared" si="2"/>
        <v>1</v>
      </c>
      <c r="C161" s="77">
        <v>3808149</v>
      </c>
      <c r="D161" s="74">
        <v>3808149</v>
      </c>
      <c r="E161" s="79" t="s">
        <v>700</v>
      </c>
      <c r="F161" s="74" t="s">
        <v>25</v>
      </c>
      <c r="G161" s="74"/>
      <c r="H161" s="74"/>
      <c r="I161" s="76">
        <v>546</v>
      </c>
      <c r="J161" s="74">
        <v>416</v>
      </c>
      <c r="K161" s="74">
        <v>406</v>
      </c>
      <c r="L161" s="74">
        <v>520</v>
      </c>
      <c r="M161" s="74">
        <v>602</v>
      </c>
      <c r="N161" s="74">
        <v>390</v>
      </c>
      <c r="O161" s="74">
        <v>488</v>
      </c>
      <c r="P161" s="74">
        <v>369</v>
      </c>
      <c r="Q161" s="74">
        <v>435</v>
      </c>
      <c r="R161" s="74">
        <v>482</v>
      </c>
      <c r="S161" s="74">
        <v>553</v>
      </c>
      <c r="T161" s="74">
        <v>547</v>
      </c>
      <c r="U161" s="74">
        <v>519</v>
      </c>
      <c r="V161" s="77"/>
      <c r="W161" s="74"/>
      <c r="X161" s="74"/>
      <c r="Y161" s="74"/>
      <c r="Z161" s="74"/>
    </row>
    <row r="162" spans="1:26" ht="15.75" customHeight="1">
      <c r="A162" s="74"/>
      <c r="B162" s="74" t="b">
        <f t="shared" si="2"/>
        <v>1</v>
      </c>
      <c r="C162" s="77">
        <v>3811449</v>
      </c>
      <c r="D162" s="74">
        <v>3811449</v>
      </c>
      <c r="E162" s="79" t="s">
        <v>732</v>
      </c>
      <c r="F162" s="74" t="s">
        <v>25</v>
      </c>
      <c r="G162" s="74"/>
      <c r="H162" s="74"/>
      <c r="I162" s="76">
        <v>1418</v>
      </c>
      <c r="J162" s="74">
        <v>1404</v>
      </c>
      <c r="K162" s="74">
        <v>1111</v>
      </c>
      <c r="L162" s="74">
        <v>1756</v>
      </c>
      <c r="M162" s="74">
        <v>875</v>
      </c>
      <c r="N162" s="74">
        <v>1284</v>
      </c>
      <c r="O162" s="74">
        <v>1699</v>
      </c>
      <c r="P162" s="74">
        <v>1121</v>
      </c>
      <c r="Q162" s="74">
        <v>1507</v>
      </c>
      <c r="R162" s="74">
        <v>1879</v>
      </c>
      <c r="S162" s="74">
        <v>1565</v>
      </c>
      <c r="T162" s="74">
        <v>1398</v>
      </c>
      <c r="U162" s="74">
        <v>2524</v>
      </c>
      <c r="V162" s="77"/>
      <c r="W162" s="74"/>
      <c r="X162" s="74"/>
      <c r="Y162" s="74"/>
      <c r="Z162" s="74"/>
    </row>
    <row r="163" spans="1:26" ht="15.75" customHeight="1">
      <c r="A163" s="74"/>
      <c r="B163" s="74" t="b">
        <f t="shared" si="2"/>
        <v>1</v>
      </c>
      <c r="C163" s="77">
        <v>3808219</v>
      </c>
      <c r="D163" s="74">
        <v>3808219</v>
      </c>
      <c r="E163" s="79" t="s">
        <v>700</v>
      </c>
      <c r="F163" s="74" t="s">
        <v>25</v>
      </c>
      <c r="G163" s="74"/>
      <c r="H163" s="74"/>
      <c r="I163" s="76">
        <v>279</v>
      </c>
      <c r="J163" s="74">
        <v>307</v>
      </c>
      <c r="K163" s="74">
        <v>316</v>
      </c>
      <c r="L163" s="74">
        <v>652</v>
      </c>
      <c r="M163" s="74">
        <v>684</v>
      </c>
      <c r="N163" s="74">
        <v>584</v>
      </c>
      <c r="O163" s="74">
        <v>565</v>
      </c>
      <c r="P163" s="74">
        <v>440</v>
      </c>
      <c r="Q163" s="74">
        <v>536</v>
      </c>
      <c r="R163" s="74">
        <v>705</v>
      </c>
      <c r="S163" s="74">
        <v>697</v>
      </c>
      <c r="T163" s="74">
        <v>744</v>
      </c>
      <c r="U163" s="74">
        <v>623</v>
      </c>
      <c r="V163" s="77"/>
      <c r="W163" s="74"/>
      <c r="X163" s="74"/>
      <c r="Y163" s="74"/>
      <c r="Z163" s="74"/>
    </row>
    <row r="164" spans="1:26" ht="15.75" customHeight="1">
      <c r="A164" s="74"/>
      <c r="B164" s="74" t="b">
        <f t="shared" si="2"/>
        <v>1</v>
      </c>
      <c r="C164" s="77">
        <v>6518095</v>
      </c>
      <c r="D164" s="74">
        <v>6518095</v>
      </c>
      <c r="E164" s="79" t="s">
        <v>704</v>
      </c>
      <c r="F164" s="74" t="s">
        <v>25</v>
      </c>
      <c r="G164" s="74"/>
      <c r="H164" s="74"/>
      <c r="I164" s="76">
        <v>1116</v>
      </c>
      <c r="J164" s="74">
        <v>1184</v>
      </c>
      <c r="K164" s="74">
        <v>620</v>
      </c>
      <c r="L164" s="74">
        <v>1116</v>
      </c>
      <c r="M164" s="74">
        <v>1384</v>
      </c>
      <c r="N164" s="74">
        <v>1436</v>
      </c>
      <c r="O164" s="74">
        <v>1615</v>
      </c>
      <c r="P164" s="74">
        <v>1583</v>
      </c>
      <c r="Q164" s="74">
        <v>1653</v>
      </c>
      <c r="R164" s="74">
        <v>3014</v>
      </c>
      <c r="S164" s="74">
        <v>2047</v>
      </c>
      <c r="T164" s="74">
        <v>1479</v>
      </c>
      <c r="U164" s="74">
        <v>1273</v>
      </c>
      <c r="V164" s="77"/>
      <c r="W164" s="74"/>
      <c r="X164" s="74"/>
      <c r="Y164" s="74"/>
      <c r="Z164" s="74"/>
    </row>
    <row r="165" spans="1:26" ht="15.75" customHeight="1">
      <c r="A165" s="74"/>
      <c r="B165" s="74" t="b">
        <f t="shared" si="2"/>
        <v>1</v>
      </c>
      <c r="C165" s="77">
        <v>590161</v>
      </c>
      <c r="D165" s="74">
        <v>590161</v>
      </c>
      <c r="E165" s="79" t="s">
        <v>700</v>
      </c>
      <c r="F165" s="74" t="s">
        <v>25</v>
      </c>
      <c r="G165" s="74"/>
      <c r="H165" s="74"/>
      <c r="I165" s="76">
        <v>568</v>
      </c>
      <c r="J165" s="74">
        <v>422</v>
      </c>
      <c r="K165" s="74">
        <v>396</v>
      </c>
      <c r="L165" s="74">
        <v>560</v>
      </c>
      <c r="M165" s="74">
        <v>529</v>
      </c>
      <c r="N165" s="74">
        <v>508</v>
      </c>
      <c r="O165" s="74">
        <v>499</v>
      </c>
      <c r="P165" s="74">
        <v>365</v>
      </c>
      <c r="Q165" s="74">
        <v>424</v>
      </c>
      <c r="R165" s="74">
        <v>545</v>
      </c>
      <c r="S165" s="74">
        <v>611</v>
      </c>
      <c r="T165" s="74">
        <v>603</v>
      </c>
      <c r="U165" s="74">
        <v>539</v>
      </c>
      <c r="V165" s="77"/>
      <c r="W165" s="74"/>
      <c r="X165" s="74"/>
      <c r="Y165" s="74"/>
      <c r="Z165" s="74"/>
    </row>
    <row r="166" spans="1:26" ht="15.75" customHeight="1">
      <c r="A166" s="74"/>
      <c r="B166" s="74" t="b">
        <f t="shared" si="2"/>
        <v>1</v>
      </c>
      <c r="C166" s="77">
        <v>10336</v>
      </c>
      <c r="D166" s="74">
        <v>10336</v>
      </c>
      <c r="E166" s="79" t="s">
        <v>704</v>
      </c>
      <c r="F166" s="74" t="s">
        <v>25</v>
      </c>
      <c r="G166" s="74"/>
      <c r="H166" s="74"/>
      <c r="I166" s="76">
        <v>614</v>
      </c>
      <c r="J166" s="74">
        <v>544</v>
      </c>
      <c r="K166" s="74">
        <v>206</v>
      </c>
      <c r="L166" s="74">
        <v>674</v>
      </c>
      <c r="M166" s="74">
        <v>689</v>
      </c>
      <c r="N166" s="74">
        <v>630</v>
      </c>
      <c r="O166" s="74">
        <v>695</v>
      </c>
      <c r="P166" s="74">
        <v>529</v>
      </c>
      <c r="Q166" s="74">
        <v>587</v>
      </c>
      <c r="R166" s="74">
        <v>673</v>
      </c>
      <c r="S166" s="74">
        <v>807</v>
      </c>
      <c r="T166" s="74">
        <v>764</v>
      </c>
      <c r="U166" s="74">
        <v>628</v>
      </c>
      <c r="V166" s="77"/>
      <c r="W166" s="74"/>
      <c r="X166" s="74"/>
      <c r="Y166" s="74"/>
      <c r="Z166" s="74"/>
    </row>
    <row r="167" spans="1:26" ht="15.75" customHeight="1">
      <c r="A167" s="74"/>
      <c r="B167" s="74" t="b">
        <f t="shared" si="2"/>
        <v>1</v>
      </c>
      <c r="C167" s="77">
        <v>10340</v>
      </c>
      <c r="D167" s="74">
        <v>10340</v>
      </c>
      <c r="E167" s="79" t="s">
        <v>704</v>
      </c>
      <c r="F167" s="74" t="s">
        <v>25</v>
      </c>
      <c r="G167" s="74"/>
      <c r="H167" s="74"/>
      <c r="I167" s="76">
        <v>878</v>
      </c>
      <c r="J167" s="74">
        <v>757</v>
      </c>
      <c r="K167" s="74">
        <v>451</v>
      </c>
      <c r="L167" s="74">
        <v>737</v>
      </c>
      <c r="M167" s="74">
        <v>725</v>
      </c>
      <c r="N167" s="74">
        <v>668</v>
      </c>
      <c r="O167" s="74">
        <v>722</v>
      </c>
      <c r="P167" s="74">
        <v>468</v>
      </c>
      <c r="Q167" s="74">
        <v>533</v>
      </c>
      <c r="R167" s="74">
        <v>681</v>
      </c>
      <c r="S167" s="74">
        <v>763</v>
      </c>
      <c r="T167" s="74">
        <v>795</v>
      </c>
      <c r="U167" s="74">
        <v>721</v>
      </c>
      <c r="V167" s="77"/>
      <c r="W167" s="74"/>
      <c r="X167" s="74"/>
      <c r="Y167" s="74"/>
      <c r="Z167" s="74"/>
    </row>
    <row r="168" spans="1:26" ht="15.75" customHeight="1">
      <c r="A168" s="74"/>
      <c r="B168" s="74" t="b">
        <f t="shared" si="2"/>
        <v>1</v>
      </c>
      <c r="C168" s="77">
        <v>3199692</v>
      </c>
      <c r="D168" s="74">
        <v>3199692</v>
      </c>
      <c r="E168" s="79" t="s">
        <v>704</v>
      </c>
      <c r="F168" s="74" t="s">
        <v>25</v>
      </c>
      <c r="G168" s="74"/>
      <c r="H168" s="74"/>
      <c r="I168" s="76">
        <v>1041</v>
      </c>
      <c r="J168" s="74">
        <v>569</v>
      </c>
      <c r="K168" s="74">
        <v>358</v>
      </c>
      <c r="L168" s="74">
        <v>1207</v>
      </c>
      <c r="M168" s="74">
        <v>1128</v>
      </c>
      <c r="N168" s="74">
        <v>949</v>
      </c>
      <c r="O168" s="74">
        <v>1002</v>
      </c>
      <c r="P168" s="74">
        <v>628</v>
      </c>
      <c r="Q168" s="74">
        <v>712</v>
      </c>
      <c r="R168" s="74">
        <v>1072</v>
      </c>
      <c r="S168" s="74">
        <v>1147</v>
      </c>
      <c r="T168" s="74">
        <v>1159</v>
      </c>
      <c r="U168" s="74">
        <v>1053</v>
      </c>
      <c r="V168" s="77"/>
      <c r="W168" s="74"/>
      <c r="X168" s="74"/>
      <c r="Y168" s="74"/>
      <c r="Z168" s="74"/>
    </row>
    <row r="169" spans="1:26" ht="15.75" customHeight="1">
      <c r="A169" s="74"/>
      <c r="B169" s="74" t="b">
        <f t="shared" si="2"/>
        <v>1</v>
      </c>
      <c r="C169" s="77">
        <v>2453694</v>
      </c>
      <c r="D169" s="74">
        <v>2453694</v>
      </c>
      <c r="E169" s="79" t="s">
        <v>732</v>
      </c>
      <c r="F169" s="74" t="s">
        <v>25</v>
      </c>
      <c r="G169" s="74"/>
      <c r="H169" s="74"/>
      <c r="I169" s="76">
        <v>2269</v>
      </c>
      <c r="J169" s="74">
        <v>1389</v>
      </c>
      <c r="K169" s="74">
        <v>967</v>
      </c>
      <c r="L169" s="74">
        <v>1976</v>
      </c>
      <c r="M169" s="74">
        <v>1815</v>
      </c>
      <c r="N169" s="74">
        <v>1770</v>
      </c>
      <c r="O169" s="74">
        <v>1452</v>
      </c>
      <c r="P169" s="74">
        <v>1164</v>
      </c>
      <c r="Q169" s="74">
        <v>1240</v>
      </c>
      <c r="R169" s="74">
        <v>1618</v>
      </c>
      <c r="S169" s="74">
        <v>1943</v>
      </c>
      <c r="T169" s="74">
        <v>1974</v>
      </c>
      <c r="U169" s="74">
        <v>1520</v>
      </c>
      <c r="V169" s="77"/>
      <c r="W169" s="74"/>
      <c r="X169" s="74"/>
      <c r="Y169" s="74"/>
      <c r="Z169" s="74"/>
    </row>
    <row r="170" spans="1:26" ht="15.75" customHeight="1">
      <c r="A170" s="74"/>
      <c r="B170" s="74" t="b">
        <f t="shared" si="2"/>
        <v>1</v>
      </c>
      <c r="C170" s="77">
        <v>1616947</v>
      </c>
      <c r="D170" s="74">
        <v>1616947</v>
      </c>
      <c r="E170" s="79" t="s">
        <v>704</v>
      </c>
      <c r="F170" s="74" t="s">
        <v>25</v>
      </c>
      <c r="G170" s="74"/>
      <c r="H170" s="74"/>
      <c r="I170" s="76">
        <v>8150</v>
      </c>
      <c r="J170" s="74">
        <v>6692</v>
      </c>
      <c r="K170" s="74">
        <v>4701</v>
      </c>
      <c r="L170" s="74">
        <v>7877</v>
      </c>
      <c r="M170" s="74">
        <v>7322</v>
      </c>
      <c r="N170" s="74">
        <v>7042</v>
      </c>
      <c r="O170" s="74">
        <v>5819</v>
      </c>
      <c r="P170" s="74">
        <v>4720</v>
      </c>
      <c r="Q170" s="74">
        <v>5283</v>
      </c>
      <c r="R170" s="74">
        <v>6501</v>
      </c>
      <c r="S170" s="74">
        <v>8315</v>
      </c>
      <c r="T170" s="74">
        <v>7457</v>
      </c>
      <c r="U170" s="74">
        <v>7338</v>
      </c>
      <c r="V170" s="77"/>
      <c r="W170" s="74"/>
      <c r="X170" s="74"/>
      <c r="Y170" s="74"/>
      <c r="Z170" s="74"/>
    </row>
    <row r="171" spans="1:26" ht="15.75" customHeight="1">
      <c r="A171" s="74"/>
      <c r="B171" s="74" t="b">
        <f t="shared" si="2"/>
        <v>1</v>
      </c>
      <c r="C171" s="77">
        <v>4226159</v>
      </c>
      <c r="D171" s="74">
        <v>4226159</v>
      </c>
      <c r="E171" s="79" t="s">
        <v>704</v>
      </c>
      <c r="F171" s="74" t="s">
        <v>25</v>
      </c>
      <c r="G171" s="74"/>
      <c r="H171" s="74"/>
      <c r="I171" s="76">
        <v>0</v>
      </c>
      <c r="J171" s="74">
        <v>100</v>
      </c>
      <c r="K171" s="74">
        <v>100</v>
      </c>
      <c r="L171" s="74">
        <v>100</v>
      </c>
      <c r="M171" s="74">
        <v>100</v>
      </c>
      <c r="N171" s="74">
        <v>100</v>
      </c>
      <c r="O171" s="74">
        <v>100</v>
      </c>
      <c r="P171" s="74">
        <v>100</v>
      </c>
      <c r="Q171" s="74">
        <v>100</v>
      </c>
      <c r="R171" s="74">
        <v>100</v>
      </c>
      <c r="S171" s="74">
        <v>100</v>
      </c>
      <c r="T171" s="74">
        <v>100</v>
      </c>
      <c r="U171" s="74">
        <v>100</v>
      </c>
      <c r="V171" s="77"/>
      <c r="W171" s="74"/>
      <c r="X171" s="74"/>
      <c r="Y171" s="74"/>
      <c r="Z171" s="74"/>
    </row>
    <row r="172" spans="1:26" ht="15.75" customHeight="1">
      <c r="A172" s="74"/>
      <c r="B172" s="74" t="b">
        <f t="shared" si="2"/>
        <v>1</v>
      </c>
      <c r="C172" s="77">
        <v>24501</v>
      </c>
      <c r="D172" s="74">
        <v>24501</v>
      </c>
      <c r="E172" s="79" t="s">
        <v>704</v>
      </c>
      <c r="F172" s="74" t="s">
        <v>25</v>
      </c>
      <c r="G172" s="74"/>
      <c r="H172" s="74"/>
      <c r="I172" s="76">
        <v>75</v>
      </c>
      <c r="J172" s="74">
        <v>525</v>
      </c>
      <c r="K172" s="74">
        <v>922</v>
      </c>
      <c r="L172" s="74">
        <v>1519</v>
      </c>
      <c r="M172" s="74">
        <v>1535</v>
      </c>
      <c r="N172" s="74">
        <v>1503</v>
      </c>
      <c r="O172" s="74">
        <v>1469</v>
      </c>
      <c r="P172" s="74">
        <v>1311</v>
      </c>
      <c r="Q172" s="74">
        <v>1150</v>
      </c>
      <c r="R172" s="74">
        <v>1258</v>
      </c>
      <c r="S172" s="74">
        <v>1516</v>
      </c>
      <c r="T172" s="74">
        <v>1604</v>
      </c>
      <c r="U172" s="74">
        <v>1421</v>
      </c>
      <c r="V172" s="77"/>
      <c r="W172" s="74"/>
      <c r="X172" s="74"/>
      <c r="Y172" s="74"/>
      <c r="Z172" s="74"/>
    </row>
    <row r="173" spans="1:26" ht="15.75" customHeight="1">
      <c r="A173" s="74"/>
      <c r="B173" s="74" t="b">
        <f t="shared" si="2"/>
        <v>1</v>
      </c>
      <c r="C173" s="77">
        <v>24497</v>
      </c>
      <c r="D173" s="74">
        <v>24497</v>
      </c>
      <c r="E173" s="79" t="s">
        <v>700</v>
      </c>
      <c r="F173" s="74" t="s">
        <v>25</v>
      </c>
      <c r="G173" s="74"/>
      <c r="H173" s="74"/>
      <c r="I173" s="76">
        <v>548</v>
      </c>
      <c r="J173" s="74">
        <v>566</v>
      </c>
      <c r="K173" s="74">
        <v>323</v>
      </c>
      <c r="L173" s="74">
        <v>541</v>
      </c>
      <c r="M173" s="74">
        <v>547</v>
      </c>
      <c r="N173" s="74">
        <v>472</v>
      </c>
      <c r="O173" s="74">
        <v>462</v>
      </c>
      <c r="P173" s="74">
        <v>340</v>
      </c>
      <c r="Q173" s="74">
        <v>302</v>
      </c>
      <c r="R173" s="74">
        <v>340</v>
      </c>
      <c r="S173" s="74">
        <v>473</v>
      </c>
      <c r="T173" s="74">
        <v>512</v>
      </c>
      <c r="U173" s="74">
        <v>463</v>
      </c>
      <c r="V173" s="77"/>
      <c r="W173" s="74"/>
      <c r="X173" s="74"/>
      <c r="Y173" s="74"/>
      <c r="Z173" s="74"/>
    </row>
    <row r="174" spans="1:26" ht="15.75" customHeight="1">
      <c r="A174" s="74"/>
      <c r="B174" s="74" t="b">
        <f t="shared" si="2"/>
        <v>1</v>
      </c>
      <c r="C174" s="77">
        <v>2670072</v>
      </c>
      <c r="D174" s="74">
        <v>2670072</v>
      </c>
      <c r="E174" s="79" t="s">
        <v>704</v>
      </c>
      <c r="F174" s="74" t="s">
        <v>25</v>
      </c>
      <c r="G174" s="74"/>
      <c r="H174" s="74"/>
      <c r="I174" s="76">
        <v>1540</v>
      </c>
      <c r="J174" s="74">
        <v>683</v>
      </c>
      <c r="K174" s="74">
        <v>398</v>
      </c>
      <c r="L174" s="74">
        <v>980</v>
      </c>
      <c r="M174" s="74">
        <v>1090</v>
      </c>
      <c r="N174" s="74">
        <v>1097</v>
      </c>
      <c r="O174" s="74">
        <v>1040</v>
      </c>
      <c r="P174" s="74">
        <v>924</v>
      </c>
      <c r="Q174" s="74">
        <v>1041</v>
      </c>
      <c r="R174" s="74">
        <v>1189</v>
      </c>
      <c r="S174" s="74">
        <v>1268</v>
      </c>
      <c r="T174" s="74">
        <v>1249</v>
      </c>
      <c r="U174" s="74">
        <v>1053</v>
      </c>
      <c r="V174" s="77"/>
      <c r="W174" s="74"/>
      <c r="X174" s="74"/>
      <c r="Y174" s="74"/>
      <c r="Z174" s="74"/>
    </row>
    <row r="175" spans="1:26" ht="15.75" customHeight="1">
      <c r="A175" s="74"/>
      <c r="B175" s="74" t="b">
        <f t="shared" si="2"/>
        <v>1</v>
      </c>
      <c r="C175" s="77">
        <v>841177</v>
      </c>
      <c r="D175" s="74">
        <v>841177</v>
      </c>
      <c r="E175" s="79" t="s">
        <v>704</v>
      </c>
      <c r="F175" s="74" t="s">
        <v>25</v>
      </c>
      <c r="G175" s="74"/>
      <c r="H175" s="74"/>
      <c r="I175" s="76">
        <v>5810</v>
      </c>
      <c r="J175" s="74">
        <v>5853</v>
      </c>
      <c r="K175" s="74">
        <v>4654</v>
      </c>
      <c r="L175" s="74">
        <v>2306</v>
      </c>
      <c r="M175" s="74">
        <v>1778</v>
      </c>
      <c r="N175" s="74">
        <v>1589</v>
      </c>
      <c r="O175" s="74">
        <v>1838</v>
      </c>
      <c r="P175" s="74">
        <v>2718</v>
      </c>
      <c r="Q175" s="74">
        <v>3107</v>
      </c>
      <c r="R175" s="74">
        <v>3739</v>
      </c>
      <c r="S175" s="74">
        <v>4399</v>
      </c>
      <c r="T175" s="74">
        <v>1883</v>
      </c>
      <c r="U175" s="74">
        <v>3134</v>
      </c>
      <c r="V175" s="77"/>
      <c r="W175" s="74"/>
      <c r="X175" s="74"/>
      <c r="Y175" s="74"/>
      <c r="Z175" s="74"/>
    </row>
    <row r="176" spans="1:26" ht="15.75" customHeight="1">
      <c r="A176" s="74"/>
      <c r="B176" s="74" t="b">
        <f t="shared" si="2"/>
        <v>1</v>
      </c>
      <c r="C176" s="77">
        <v>2847275</v>
      </c>
      <c r="D176" s="74">
        <v>2847275</v>
      </c>
      <c r="E176" s="79" t="s">
        <v>704</v>
      </c>
      <c r="F176" s="74" t="s">
        <v>25</v>
      </c>
      <c r="G176" s="74"/>
      <c r="H176" s="74"/>
      <c r="I176" s="76">
        <v>1677</v>
      </c>
      <c r="J176" s="74">
        <v>519</v>
      </c>
      <c r="K176" s="74">
        <v>640</v>
      </c>
      <c r="L176" s="74">
        <v>1642</v>
      </c>
      <c r="M176" s="74">
        <v>1603</v>
      </c>
      <c r="N176" s="74">
        <v>1524</v>
      </c>
      <c r="O176" s="74">
        <v>1280</v>
      </c>
      <c r="P176" s="74">
        <v>901</v>
      </c>
      <c r="Q176" s="74">
        <v>1588</v>
      </c>
      <c r="R176" s="74">
        <v>1990</v>
      </c>
      <c r="S176" s="74">
        <v>2219</v>
      </c>
      <c r="T176" s="74">
        <v>2284</v>
      </c>
      <c r="U176" s="74">
        <v>1900</v>
      </c>
      <c r="V176" s="77"/>
      <c r="W176" s="74"/>
      <c r="X176" s="74"/>
      <c r="Y176" s="74"/>
      <c r="Z176" s="74"/>
    </row>
    <row r="177" spans="1:26" ht="15.75" customHeight="1">
      <c r="A177" s="74"/>
      <c r="B177" s="74" t="b">
        <f t="shared" si="2"/>
        <v>1</v>
      </c>
      <c r="C177" s="77">
        <v>342987</v>
      </c>
      <c r="D177" s="74">
        <v>342987</v>
      </c>
      <c r="E177" s="79" t="s">
        <v>704</v>
      </c>
      <c r="F177" s="74" t="s">
        <v>25</v>
      </c>
      <c r="G177" s="74"/>
      <c r="H177" s="74"/>
      <c r="I177" s="76">
        <v>475</v>
      </c>
      <c r="J177" s="74">
        <v>204</v>
      </c>
      <c r="K177" s="74">
        <v>186</v>
      </c>
      <c r="L177" s="74">
        <v>399</v>
      </c>
      <c r="M177" s="74">
        <v>411</v>
      </c>
      <c r="N177" s="74">
        <v>422</v>
      </c>
      <c r="O177" s="74">
        <v>444</v>
      </c>
      <c r="P177" s="74">
        <v>303</v>
      </c>
      <c r="Q177" s="74">
        <v>410</v>
      </c>
      <c r="R177" s="74">
        <v>421</v>
      </c>
      <c r="S177" s="74">
        <v>471</v>
      </c>
      <c r="T177" s="74">
        <v>431</v>
      </c>
      <c r="U177" s="74">
        <v>405</v>
      </c>
      <c r="V177" s="77"/>
      <c r="W177" s="74"/>
      <c r="X177" s="74"/>
      <c r="Y177" s="74"/>
      <c r="Z177" s="74"/>
    </row>
    <row r="178" spans="1:26" ht="15.75" customHeight="1">
      <c r="A178" s="74"/>
      <c r="B178" s="74" t="b">
        <f t="shared" si="2"/>
        <v>1</v>
      </c>
      <c r="C178" s="77">
        <v>343476</v>
      </c>
      <c r="D178" s="74">
        <v>343476</v>
      </c>
      <c r="E178" s="79" t="s">
        <v>704</v>
      </c>
      <c r="F178" s="74" t="s">
        <v>25</v>
      </c>
      <c r="G178" s="74"/>
      <c r="H178" s="74"/>
      <c r="I178" s="76">
        <v>295</v>
      </c>
      <c r="J178" s="74">
        <v>224</v>
      </c>
      <c r="K178" s="74">
        <v>194</v>
      </c>
      <c r="L178" s="74">
        <v>173</v>
      </c>
      <c r="M178" s="74">
        <v>182</v>
      </c>
      <c r="N178" s="74">
        <v>172</v>
      </c>
      <c r="O178" s="74">
        <v>191</v>
      </c>
      <c r="P178" s="74">
        <v>165</v>
      </c>
      <c r="Q178" s="74">
        <v>211</v>
      </c>
      <c r="R178" s="74">
        <v>204</v>
      </c>
      <c r="S178" s="74">
        <v>169</v>
      </c>
      <c r="T178" s="74">
        <v>100</v>
      </c>
      <c r="U178" s="74">
        <v>222</v>
      </c>
      <c r="V178" s="77"/>
      <c r="W178" s="74"/>
      <c r="X178" s="74"/>
      <c r="Y178" s="74"/>
      <c r="Z178" s="74"/>
    </row>
    <row r="179" spans="1:26" ht="15.75" customHeight="1">
      <c r="A179" s="74"/>
      <c r="B179" s="74" t="b">
        <f t="shared" si="2"/>
        <v>1</v>
      </c>
      <c r="C179" s="77">
        <v>10401</v>
      </c>
      <c r="D179" s="74">
        <v>10401</v>
      </c>
      <c r="E179" s="79" t="s">
        <v>704</v>
      </c>
      <c r="F179" s="74" t="s">
        <v>25</v>
      </c>
      <c r="G179" s="74"/>
      <c r="H179" s="74"/>
      <c r="I179" s="76">
        <v>1082</v>
      </c>
      <c r="J179" s="74">
        <v>533</v>
      </c>
      <c r="K179" s="74">
        <v>510</v>
      </c>
      <c r="L179" s="74">
        <v>1321</v>
      </c>
      <c r="M179" s="74">
        <v>1270</v>
      </c>
      <c r="N179" s="74">
        <v>1173</v>
      </c>
      <c r="O179" s="74">
        <v>1192</v>
      </c>
      <c r="P179" s="74">
        <v>730</v>
      </c>
      <c r="Q179" s="74">
        <v>1157</v>
      </c>
      <c r="R179" s="74">
        <v>1232</v>
      </c>
      <c r="S179" s="74">
        <v>1360</v>
      </c>
      <c r="T179" s="74">
        <v>1387</v>
      </c>
      <c r="U179" s="74">
        <v>1202</v>
      </c>
      <c r="V179" s="77"/>
      <c r="W179" s="74"/>
      <c r="X179" s="74"/>
      <c r="Y179" s="74"/>
      <c r="Z179" s="74"/>
    </row>
    <row r="180" spans="1:26" ht="15.75" customHeight="1">
      <c r="A180" s="74"/>
      <c r="B180" s="74" t="b">
        <f t="shared" si="2"/>
        <v>1</v>
      </c>
      <c r="C180" s="77">
        <v>25045</v>
      </c>
      <c r="D180" s="74">
        <v>25045</v>
      </c>
      <c r="E180" s="79" t="s">
        <v>732</v>
      </c>
      <c r="F180" s="74" t="s">
        <v>25</v>
      </c>
      <c r="G180" s="74"/>
      <c r="H180" s="74"/>
      <c r="I180" s="76">
        <v>1674</v>
      </c>
      <c r="J180" s="74">
        <v>553</v>
      </c>
      <c r="K180" s="74">
        <v>559</v>
      </c>
      <c r="L180" s="74">
        <v>1517</v>
      </c>
      <c r="M180" s="74">
        <v>1488</v>
      </c>
      <c r="N180" s="74">
        <v>1541</v>
      </c>
      <c r="O180" s="74">
        <v>1281</v>
      </c>
      <c r="P180" s="74">
        <v>751</v>
      </c>
      <c r="Q180" s="74">
        <v>1296</v>
      </c>
      <c r="R180" s="74">
        <v>2344</v>
      </c>
      <c r="S180" s="74">
        <v>682</v>
      </c>
      <c r="T180" s="74">
        <v>1366</v>
      </c>
      <c r="U180" s="74">
        <v>1128</v>
      </c>
      <c r="V180" s="77"/>
      <c r="W180" s="74"/>
      <c r="X180" s="74"/>
      <c r="Y180" s="74"/>
      <c r="Z180" s="74"/>
    </row>
    <row r="181" spans="1:26" ht="15.75" customHeight="1">
      <c r="A181" s="74"/>
      <c r="B181" s="74" t="b">
        <f t="shared" si="2"/>
        <v>1</v>
      </c>
      <c r="C181" s="77">
        <v>3735627</v>
      </c>
      <c r="D181" s="74">
        <v>3735627</v>
      </c>
      <c r="E181" s="79" t="s">
        <v>704</v>
      </c>
      <c r="F181" s="74" t="s">
        <v>25</v>
      </c>
      <c r="G181" s="74"/>
      <c r="H181" s="74"/>
      <c r="I181" s="76">
        <v>2800</v>
      </c>
      <c r="J181" s="74">
        <v>1752</v>
      </c>
      <c r="K181" s="74">
        <v>1617</v>
      </c>
      <c r="L181" s="74">
        <v>2709</v>
      </c>
      <c r="M181" s="74">
        <v>2655</v>
      </c>
      <c r="N181" s="74">
        <v>2476</v>
      </c>
      <c r="O181" s="74">
        <v>2459</v>
      </c>
      <c r="P181" s="74">
        <v>1776</v>
      </c>
      <c r="Q181" s="74">
        <v>2741</v>
      </c>
      <c r="R181" s="74">
        <v>2832</v>
      </c>
      <c r="S181" s="74">
        <v>3006</v>
      </c>
      <c r="T181" s="74">
        <v>3036</v>
      </c>
      <c r="U181" s="74">
        <v>2465</v>
      </c>
      <c r="V181" s="77"/>
      <c r="W181" s="74"/>
      <c r="X181" s="74"/>
      <c r="Y181" s="74"/>
      <c r="Z181" s="74"/>
    </row>
    <row r="182" spans="1:26" ht="15.75" customHeight="1">
      <c r="A182" s="74"/>
      <c r="B182" s="74" t="b">
        <f t="shared" si="2"/>
        <v>1</v>
      </c>
      <c r="C182" s="77">
        <v>3811468</v>
      </c>
      <c r="D182" s="74">
        <v>3811468</v>
      </c>
      <c r="E182" s="79" t="s">
        <v>732</v>
      </c>
      <c r="F182" s="74" t="s">
        <v>25</v>
      </c>
      <c r="G182" s="74"/>
      <c r="H182" s="74"/>
      <c r="I182" s="76">
        <v>821</v>
      </c>
      <c r="J182" s="74">
        <v>821</v>
      </c>
      <c r="K182" s="74">
        <v>822</v>
      </c>
      <c r="L182" s="74">
        <v>1453</v>
      </c>
      <c r="M182" s="74">
        <v>1520</v>
      </c>
      <c r="N182" s="74">
        <v>1362</v>
      </c>
      <c r="O182" s="74">
        <v>1296</v>
      </c>
      <c r="P182" s="74">
        <v>1158</v>
      </c>
      <c r="Q182" s="74">
        <v>1424</v>
      </c>
      <c r="R182" s="74">
        <v>1556</v>
      </c>
      <c r="S182" s="74">
        <v>1595</v>
      </c>
      <c r="T182" s="74">
        <v>1669</v>
      </c>
      <c r="U182" s="74">
        <v>1277</v>
      </c>
      <c r="V182" s="77"/>
      <c r="W182" s="74"/>
      <c r="X182" s="74"/>
      <c r="Y182" s="74"/>
      <c r="Z182" s="74"/>
    </row>
    <row r="183" spans="1:26" ht="15.75" customHeight="1">
      <c r="A183" s="74"/>
      <c r="B183" s="74" t="b">
        <f t="shared" si="2"/>
        <v>1</v>
      </c>
      <c r="C183" s="77">
        <v>3808169</v>
      </c>
      <c r="D183" s="74">
        <v>3808169</v>
      </c>
      <c r="E183" s="79" t="s">
        <v>704</v>
      </c>
      <c r="F183" s="74" t="s">
        <v>25</v>
      </c>
      <c r="G183" s="74"/>
      <c r="H183" s="74"/>
      <c r="I183" s="76">
        <v>743</v>
      </c>
      <c r="J183" s="74">
        <v>502</v>
      </c>
      <c r="K183" s="74">
        <v>281</v>
      </c>
      <c r="L183" s="74">
        <v>542</v>
      </c>
      <c r="M183" s="74">
        <v>493</v>
      </c>
      <c r="N183" s="74">
        <v>481</v>
      </c>
      <c r="O183" s="74">
        <v>443</v>
      </c>
      <c r="P183" s="74">
        <v>276</v>
      </c>
      <c r="Q183" s="74">
        <v>373</v>
      </c>
      <c r="R183" s="74">
        <v>387</v>
      </c>
      <c r="S183" s="74">
        <v>527</v>
      </c>
      <c r="T183" s="74">
        <v>601</v>
      </c>
      <c r="U183" s="74">
        <v>496</v>
      </c>
      <c r="V183" s="77"/>
      <c r="W183" s="74"/>
      <c r="X183" s="74"/>
      <c r="Y183" s="74"/>
      <c r="Z183" s="74"/>
    </row>
    <row r="184" spans="1:26" ht="15.75" customHeight="1">
      <c r="A184" s="74"/>
      <c r="B184" s="74" t="b">
        <f t="shared" si="2"/>
        <v>1</v>
      </c>
      <c r="C184" s="77">
        <v>3808207</v>
      </c>
      <c r="D184" s="74">
        <v>3808207</v>
      </c>
      <c r="E184" s="79" t="s">
        <v>732</v>
      </c>
      <c r="F184" s="74" t="s">
        <v>25</v>
      </c>
      <c r="G184" s="74"/>
      <c r="H184" s="74"/>
      <c r="I184" s="76">
        <v>552</v>
      </c>
      <c r="J184" s="74">
        <v>208</v>
      </c>
      <c r="K184" s="74">
        <v>190</v>
      </c>
      <c r="L184" s="74">
        <v>469</v>
      </c>
      <c r="M184" s="74">
        <v>475</v>
      </c>
      <c r="N184" s="74">
        <v>465</v>
      </c>
      <c r="O184" s="74">
        <v>448</v>
      </c>
      <c r="P184" s="74">
        <v>328</v>
      </c>
      <c r="Q184" s="74">
        <v>436</v>
      </c>
      <c r="R184" s="74">
        <v>467</v>
      </c>
      <c r="S184" s="74">
        <v>532</v>
      </c>
      <c r="T184" s="74">
        <v>554</v>
      </c>
      <c r="U184" s="74">
        <v>418</v>
      </c>
      <c r="V184" s="77"/>
      <c r="W184" s="74"/>
      <c r="X184" s="74"/>
      <c r="Y184" s="74"/>
      <c r="Z184" s="74"/>
    </row>
    <row r="185" spans="1:26" ht="15.75" customHeight="1">
      <c r="A185" s="74"/>
      <c r="B185" s="74" t="b">
        <f t="shared" si="2"/>
        <v>1</v>
      </c>
      <c r="C185" s="77">
        <v>5209659</v>
      </c>
      <c r="D185" s="74">
        <v>5209659</v>
      </c>
      <c r="E185" s="79" t="s">
        <v>732</v>
      </c>
      <c r="F185" s="74" t="s">
        <v>25</v>
      </c>
      <c r="G185" s="74"/>
      <c r="H185" s="74"/>
      <c r="I185" s="76">
        <v>926</v>
      </c>
      <c r="J185" s="74">
        <v>469</v>
      </c>
      <c r="K185" s="74">
        <v>477</v>
      </c>
      <c r="L185" s="74">
        <v>830</v>
      </c>
      <c r="M185" s="74">
        <v>750</v>
      </c>
      <c r="N185" s="74">
        <v>755</v>
      </c>
      <c r="O185" s="74">
        <v>698</v>
      </c>
      <c r="P185" s="74">
        <v>461</v>
      </c>
      <c r="Q185" s="74">
        <v>686</v>
      </c>
      <c r="R185" s="74">
        <v>758</v>
      </c>
      <c r="S185" s="74">
        <v>783</v>
      </c>
      <c r="T185" s="74">
        <v>945</v>
      </c>
      <c r="U185" s="74">
        <v>736</v>
      </c>
      <c r="V185" s="77"/>
      <c r="W185" s="74"/>
      <c r="X185" s="74"/>
      <c r="Y185" s="74"/>
      <c r="Z185" s="74"/>
    </row>
    <row r="186" spans="1:26" ht="15.75" customHeight="1">
      <c r="A186" s="74"/>
      <c r="B186" s="74" t="b">
        <f t="shared" si="2"/>
        <v>1</v>
      </c>
      <c r="C186" s="77">
        <v>10261</v>
      </c>
      <c r="D186" s="74">
        <v>10261</v>
      </c>
      <c r="E186" s="79" t="s">
        <v>704</v>
      </c>
      <c r="F186" s="74" t="s">
        <v>25</v>
      </c>
      <c r="G186" s="74"/>
      <c r="H186" s="74"/>
      <c r="I186" s="76">
        <v>2318</v>
      </c>
      <c r="J186" s="74">
        <v>1891</v>
      </c>
      <c r="K186" s="74">
        <v>1628</v>
      </c>
      <c r="L186" s="74">
        <v>2477</v>
      </c>
      <c r="M186" s="74">
        <v>2617</v>
      </c>
      <c r="N186" s="74">
        <v>2250</v>
      </c>
      <c r="O186" s="74">
        <v>2399</v>
      </c>
      <c r="P186" s="74">
        <v>1675</v>
      </c>
      <c r="Q186" s="74">
        <v>2554</v>
      </c>
      <c r="R186" s="74">
        <v>2525</v>
      </c>
      <c r="S186" s="74">
        <v>2837</v>
      </c>
      <c r="T186" s="74">
        <v>2633</v>
      </c>
      <c r="U186" s="74">
        <v>2147</v>
      </c>
      <c r="V186" s="77"/>
      <c r="W186" s="74"/>
      <c r="X186" s="74"/>
      <c r="Y186" s="74"/>
      <c r="Z186" s="74"/>
    </row>
    <row r="187" spans="1:26" ht="15.75" customHeight="1">
      <c r="A187" s="74"/>
      <c r="B187" s="74" t="b">
        <f t="shared" si="2"/>
        <v>1</v>
      </c>
      <c r="C187" s="77">
        <v>7861260</v>
      </c>
      <c r="D187" s="74">
        <v>7861260</v>
      </c>
      <c r="E187" s="79" t="s">
        <v>704</v>
      </c>
      <c r="F187" s="74" t="s">
        <v>25</v>
      </c>
      <c r="G187" s="74"/>
      <c r="H187" s="74"/>
      <c r="I187" s="76">
        <v>4531</v>
      </c>
      <c r="J187" s="74">
        <v>2153</v>
      </c>
      <c r="K187" s="74">
        <v>1860</v>
      </c>
      <c r="L187" s="74">
        <v>3762</v>
      </c>
      <c r="M187" s="74">
        <v>3493</v>
      </c>
      <c r="N187" s="74">
        <v>3421</v>
      </c>
      <c r="O187" s="74">
        <v>2986</v>
      </c>
      <c r="P187" s="74">
        <v>1852</v>
      </c>
      <c r="Q187" s="74">
        <v>2648</v>
      </c>
      <c r="R187" s="74">
        <v>985</v>
      </c>
      <c r="S187" s="74">
        <v>1170</v>
      </c>
      <c r="T187" s="74">
        <v>1225</v>
      </c>
      <c r="U187" s="74">
        <v>1135</v>
      </c>
      <c r="V187" s="77"/>
      <c r="W187" s="74"/>
      <c r="X187" s="74"/>
      <c r="Y187" s="74"/>
      <c r="Z187" s="74"/>
    </row>
    <row r="188" spans="1:26" ht="15.75" customHeight="1">
      <c r="A188" s="74"/>
      <c r="B188" s="74" t="b">
        <f t="shared" si="2"/>
        <v>1</v>
      </c>
      <c r="C188" s="77">
        <v>5899338</v>
      </c>
      <c r="D188" s="74">
        <v>5899338</v>
      </c>
      <c r="E188" s="79" t="s">
        <v>704</v>
      </c>
      <c r="F188" s="74" t="s">
        <v>25</v>
      </c>
      <c r="G188" s="74"/>
      <c r="H188" s="74"/>
      <c r="I188" s="76">
        <v>644</v>
      </c>
      <c r="J188" s="74">
        <v>1189</v>
      </c>
      <c r="K188" s="74">
        <v>1115</v>
      </c>
      <c r="L188" s="74">
        <v>1337</v>
      </c>
      <c r="M188" s="74">
        <v>2581</v>
      </c>
      <c r="N188" s="74">
        <v>1550</v>
      </c>
      <c r="O188" s="74">
        <v>3593</v>
      </c>
      <c r="P188" s="74">
        <v>4513</v>
      </c>
      <c r="Q188" s="74">
        <v>4441</v>
      </c>
      <c r="R188" s="74">
        <v>2610</v>
      </c>
      <c r="S188" s="74">
        <v>3523</v>
      </c>
      <c r="T188" s="74">
        <v>4454</v>
      </c>
      <c r="U188" s="74">
        <v>2053</v>
      </c>
      <c r="V188" s="77"/>
      <c r="W188" s="74"/>
      <c r="X188" s="74"/>
      <c r="Y188" s="74"/>
      <c r="Z188" s="74"/>
    </row>
    <row r="189" spans="1:26" ht="15.75" customHeight="1">
      <c r="A189" s="74"/>
      <c r="B189" s="74" t="b">
        <f t="shared" si="2"/>
        <v>1</v>
      </c>
      <c r="C189" s="77">
        <v>3811456</v>
      </c>
      <c r="D189" s="74">
        <v>3811456</v>
      </c>
      <c r="E189" s="79" t="s">
        <v>704</v>
      </c>
      <c r="F189" s="74" t="s">
        <v>25</v>
      </c>
      <c r="G189" s="74"/>
      <c r="H189" s="74"/>
      <c r="I189" s="76">
        <v>4276</v>
      </c>
      <c r="J189" s="74">
        <v>3895</v>
      </c>
      <c r="K189" s="74">
        <v>2689</v>
      </c>
      <c r="L189" s="74">
        <v>3848</v>
      </c>
      <c r="M189" s="74">
        <v>3261</v>
      </c>
      <c r="N189" s="74">
        <v>4174</v>
      </c>
      <c r="O189" s="74">
        <v>3498</v>
      </c>
      <c r="P189" s="74">
        <v>2834</v>
      </c>
      <c r="Q189" s="74">
        <v>3290</v>
      </c>
      <c r="R189" s="74">
        <v>3601</v>
      </c>
      <c r="S189" s="74">
        <v>4834</v>
      </c>
      <c r="T189" s="74">
        <v>4816</v>
      </c>
      <c r="U189" s="74">
        <v>4821</v>
      </c>
      <c r="V189" s="77"/>
      <c r="W189" s="74"/>
      <c r="X189" s="74"/>
      <c r="Y189" s="74"/>
      <c r="Z189" s="74"/>
    </row>
    <row r="190" spans="1:26" ht="15.75" customHeight="1">
      <c r="A190" s="74"/>
      <c r="B190" s="74" t="b">
        <f t="shared" si="2"/>
        <v>1</v>
      </c>
      <c r="C190" s="77">
        <v>7861217</v>
      </c>
      <c r="D190" s="74">
        <v>7861217</v>
      </c>
      <c r="E190" s="79" t="s">
        <v>700</v>
      </c>
      <c r="F190" s="74" t="s">
        <v>25</v>
      </c>
      <c r="G190" s="74"/>
      <c r="H190" s="74"/>
      <c r="I190" s="76">
        <v>30</v>
      </c>
      <c r="J190" s="74">
        <v>30</v>
      </c>
      <c r="K190" s="74">
        <v>30</v>
      </c>
      <c r="L190" s="74">
        <v>30</v>
      </c>
      <c r="M190" s="74">
        <v>38</v>
      </c>
      <c r="N190" s="74">
        <v>30</v>
      </c>
      <c r="O190" s="74">
        <v>30</v>
      </c>
      <c r="P190" s="74">
        <v>30</v>
      </c>
      <c r="Q190" s="74">
        <v>301</v>
      </c>
      <c r="R190" s="74">
        <v>525</v>
      </c>
      <c r="S190" s="74">
        <v>558</v>
      </c>
      <c r="T190" s="74">
        <v>531</v>
      </c>
      <c r="U190" s="74">
        <v>545</v>
      </c>
      <c r="V190" s="77"/>
      <c r="W190" s="74"/>
      <c r="X190" s="74"/>
      <c r="Y190" s="74"/>
      <c r="Z190" s="74"/>
    </row>
    <row r="191" spans="1:26" ht="15.75" customHeight="1">
      <c r="A191" s="74"/>
      <c r="B191" s="74" t="b">
        <f t="shared" si="2"/>
        <v>1</v>
      </c>
      <c r="C191" s="77">
        <v>62575074</v>
      </c>
      <c r="D191" s="74">
        <v>62575074</v>
      </c>
      <c r="E191" s="79" t="s">
        <v>700</v>
      </c>
      <c r="F191" s="74" t="s">
        <v>25</v>
      </c>
      <c r="G191" s="74"/>
      <c r="H191" s="74"/>
      <c r="I191" s="76">
        <v>30</v>
      </c>
      <c r="J191" s="74">
        <v>30</v>
      </c>
      <c r="K191" s="74">
        <v>30</v>
      </c>
      <c r="L191" s="74">
        <v>30</v>
      </c>
      <c r="M191" s="74">
        <v>30</v>
      </c>
      <c r="N191" s="74">
        <v>30</v>
      </c>
      <c r="O191" s="74">
        <v>0</v>
      </c>
      <c r="P191" s="74">
        <v>55</v>
      </c>
      <c r="Q191" s="74">
        <v>85</v>
      </c>
      <c r="R191" s="74">
        <v>37</v>
      </c>
      <c r="S191" s="74">
        <v>30</v>
      </c>
      <c r="T191" s="74">
        <v>30</v>
      </c>
      <c r="U191" s="74">
        <v>30</v>
      </c>
      <c r="V191" s="77"/>
      <c r="W191" s="74"/>
      <c r="X191" s="74"/>
      <c r="Y191" s="74"/>
      <c r="Z191" s="74"/>
    </row>
    <row r="192" spans="1:26" ht="15.75" customHeight="1">
      <c r="A192" s="74"/>
      <c r="B192" s="74" t="b">
        <f t="shared" si="2"/>
        <v>1</v>
      </c>
      <c r="C192" s="77">
        <v>61252696</v>
      </c>
      <c r="D192" s="74">
        <v>61252696</v>
      </c>
      <c r="E192" s="79" t="s">
        <v>700</v>
      </c>
      <c r="F192" s="74" t="s">
        <v>25</v>
      </c>
      <c r="G192" s="74"/>
      <c r="H192" s="74"/>
      <c r="I192" s="76">
        <v>417</v>
      </c>
      <c r="J192" s="74">
        <v>337</v>
      </c>
      <c r="K192" s="74">
        <v>181</v>
      </c>
      <c r="L192" s="74">
        <v>325</v>
      </c>
      <c r="M192" s="74">
        <v>264</v>
      </c>
      <c r="N192" s="74">
        <v>348</v>
      </c>
      <c r="O192" s="74">
        <v>325</v>
      </c>
      <c r="P192" s="74">
        <v>100</v>
      </c>
      <c r="Q192" s="74">
        <v>30</v>
      </c>
      <c r="R192" s="74">
        <v>112</v>
      </c>
      <c r="S192" s="74">
        <v>110</v>
      </c>
      <c r="T192" s="74">
        <v>27</v>
      </c>
      <c r="U192" s="74">
        <v>69</v>
      </c>
      <c r="V192" s="77"/>
      <c r="W192" s="74"/>
      <c r="X192" s="74"/>
      <c r="Y192" s="74"/>
      <c r="Z192" s="74"/>
    </row>
    <row r="193" spans="1:26" ht="15.75" customHeight="1">
      <c r="A193" s="74"/>
      <c r="B193" s="74" t="b">
        <f t="shared" si="2"/>
        <v>1</v>
      </c>
      <c r="C193" s="77">
        <v>3808069</v>
      </c>
      <c r="D193" s="74">
        <v>3808069</v>
      </c>
      <c r="E193" s="79" t="s">
        <v>704</v>
      </c>
      <c r="F193" s="74" t="s">
        <v>25</v>
      </c>
      <c r="G193" s="74"/>
      <c r="H193" s="74"/>
      <c r="I193" s="76">
        <v>1834</v>
      </c>
      <c r="J193" s="74">
        <v>1857</v>
      </c>
      <c r="K193" s="74">
        <v>1879</v>
      </c>
      <c r="L193" s="74">
        <v>1808</v>
      </c>
      <c r="M193" s="74">
        <v>1799</v>
      </c>
      <c r="N193" s="74">
        <v>1805</v>
      </c>
      <c r="O193" s="74">
        <v>1805</v>
      </c>
      <c r="P193" s="74">
        <v>1801</v>
      </c>
      <c r="Q193" s="74">
        <v>1784</v>
      </c>
      <c r="R193" s="74">
        <v>1770</v>
      </c>
      <c r="S193" s="74">
        <v>1758</v>
      </c>
      <c r="T193" s="74">
        <v>2110</v>
      </c>
      <c r="U193" s="74">
        <v>2113</v>
      </c>
      <c r="V193" s="77"/>
      <c r="W193" s="74"/>
      <c r="X193" s="74"/>
      <c r="Y193" s="74"/>
      <c r="Z193" s="74"/>
    </row>
    <row r="194" spans="1:26" ht="15.75" customHeight="1">
      <c r="A194" s="74"/>
      <c r="B194" s="74" t="b">
        <f t="shared" ref="B194:B257" si="3">D194=C194</f>
        <v>1</v>
      </c>
      <c r="C194" s="77">
        <v>5311838</v>
      </c>
      <c r="D194" s="74">
        <v>5311838</v>
      </c>
      <c r="E194" s="79" t="s">
        <v>732</v>
      </c>
      <c r="F194" s="74" t="s">
        <v>25</v>
      </c>
      <c r="G194" s="74"/>
      <c r="H194" s="74"/>
      <c r="I194" s="76">
        <v>420</v>
      </c>
      <c r="J194" s="74">
        <v>404</v>
      </c>
      <c r="K194" s="74">
        <v>183</v>
      </c>
      <c r="L194" s="74">
        <v>475</v>
      </c>
      <c r="M194" s="74">
        <v>544</v>
      </c>
      <c r="N194" s="74">
        <v>487</v>
      </c>
      <c r="O194" s="74">
        <v>399</v>
      </c>
      <c r="P194" s="74">
        <v>445</v>
      </c>
      <c r="Q194" s="74">
        <v>491</v>
      </c>
      <c r="R194" s="74">
        <v>720</v>
      </c>
      <c r="S194" s="74">
        <v>845</v>
      </c>
      <c r="T194" s="74">
        <v>810</v>
      </c>
      <c r="U194" s="74">
        <v>851</v>
      </c>
      <c r="V194" s="77"/>
      <c r="W194" s="74"/>
      <c r="X194" s="74"/>
      <c r="Y194" s="74"/>
      <c r="Z194" s="74"/>
    </row>
    <row r="195" spans="1:26" ht="15.75" customHeight="1">
      <c r="A195" s="74"/>
      <c r="B195" s="74" t="b">
        <f t="shared" si="3"/>
        <v>1</v>
      </c>
      <c r="C195" s="77">
        <v>1096863</v>
      </c>
      <c r="D195" s="74">
        <v>1096863</v>
      </c>
      <c r="E195" s="79" t="s">
        <v>704</v>
      </c>
      <c r="F195" s="74" t="s">
        <v>25</v>
      </c>
      <c r="G195" s="74"/>
      <c r="H195" s="74"/>
      <c r="I195" s="76">
        <v>1067</v>
      </c>
      <c r="J195" s="74">
        <v>985</v>
      </c>
      <c r="K195" s="74">
        <v>351</v>
      </c>
      <c r="L195" s="74">
        <v>858</v>
      </c>
      <c r="M195" s="74">
        <v>1047</v>
      </c>
      <c r="N195" s="74">
        <v>935</v>
      </c>
      <c r="O195" s="74">
        <v>954</v>
      </c>
      <c r="P195" s="74">
        <v>824</v>
      </c>
      <c r="Q195" s="74">
        <v>690</v>
      </c>
      <c r="R195" s="74">
        <v>992</v>
      </c>
      <c r="S195" s="74">
        <v>1039</v>
      </c>
      <c r="T195" s="74">
        <v>1057</v>
      </c>
      <c r="U195" s="74">
        <v>1020</v>
      </c>
      <c r="V195" s="77"/>
      <c r="W195" s="74"/>
      <c r="X195" s="74"/>
      <c r="Y195" s="74"/>
      <c r="Z195" s="74"/>
    </row>
    <row r="196" spans="1:26" ht="15.75" customHeight="1">
      <c r="A196" s="74"/>
      <c r="B196" s="74" t="b">
        <f t="shared" si="3"/>
        <v>1</v>
      </c>
      <c r="C196" s="77">
        <v>1614077</v>
      </c>
      <c r="D196" s="74">
        <v>1614077</v>
      </c>
      <c r="E196" s="79" t="s">
        <v>704</v>
      </c>
      <c r="F196" s="74" t="s">
        <v>25</v>
      </c>
      <c r="G196" s="74"/>
      <c r="H196" s="74"/>
      <c r="I196" s="76">
        <v>740</v>
      </c>
      <c r="J196" s="74">
        <v>713</v>
      </c>
      <c r="K196" s="74">
        <v>464</v>
      </c>
      <c r="L196" s="74">
        <v>718</v>
      </c>
      <c r="M196" s="74">
        <v>881</v>
      </c>
      <c r="N196" s="74">
        <v>872</v>
      </c>
      <c r="O196" s="74">
        <v>826</v>
      </c>
      <c r="P196" s="74">
        <v>735</v>
      </c>
      <c r="Q196" s="74">
        <v>732</v>
      </c>
      <c r="R196" s="74">
        <v>835</v>
      </c>
      <c r="S196" s="74">
        <v>955</v>
      </c>
      <c r="T196" s="74">
        <v>922</v>
      </c>
      <c r="U196" s="74">
        <v>986</v>
      </c>
      <c r="V196" s="77"/>
      <c r="W196" s="74"/>
      <c r="X196" s="74"/>
      <c r="Y196" s="74"/>
      <c r="Z196" s="74"/>
    </row>
    <row r="197" spans="1:26" ht="15.75" customHeight="1">
      <c r="A197" s="74"/>
      <c r="B197" s="74" t="b">
        <f t="shared" si="3"/>
        <v>1</v>
      </c>
      <c r="C197" s="77">
        <v>8345008</v>
      </c>
      <c r="D197" s="74">
        <v>8345008</v>
      </c>
      <c r="E197" s="79" t="s">
        <v>732</v>
      </c>
      <c r="F197" s="74" t="s">
        <v>25</v>
      </c>
      <c r="G197" s="74"/>
      <c r="H197" s="74"/>
      <c r="I197" s="76">
        <v>1088</v>
      </c>
      <c r="J197" s="74">
        <v>1010</v>
      </c>
      <c r="K197" s="74">
        <v>641</v>
      </c>
      <c r="L197" s="74">
        <v>859</v>
      </c>
      <c r="M197" s="74">
        <v>1050</v>
      </c>
      <c r="N197" s="74">
        <v>1079</v>
      </c>
      <c r="O197" s="74">
        <v>994</v>
      </c>
      <c r="P197" s="74">
        <v>818</v>
      </c>
      <c r="Q197" s="74">
        <v>839</v>
      </c>
      <c r="R197" s="74">
        <v>986</v>
      </c>
      <c r="S197" s="74">
        <v>1238</v>
      </c>
      <c r="T197" s="74">
        <v>1283</v>
      </c>
      <c r="U197" s="74">
        <v>1551</v>
      </c>
      <c r="V197" s="77"/>
      <c r="W197" s="74"/>
      <c r="X197" s="74"/>
      <c r="Y197" s="74"/>
      <c r="Z197" s="74"/>
    </row>
    <row r="198" spans="1:26" ht="15.75" customHeight="1">
      <c r="A198" s="74"/>
      <c r="B198" s="74" t="b">
        <f t="shared" si="3"/>
        <v>1</v>
      </c>
      <c r="C198" s="77">
        <v>2730099</v>
      </c>
      <c r="D198" s="74">
        <v>2730099</v>
      </c>
      <c r="E198" s="79" t="s">
        <v>732</v>
      </c>
      <c r="F198" s="74" t="s">
        <v>25</v>
      </c>
      <c r="G198" s="74"/>
      <c r="H198" s="74"/>
      <c r="I198" s="76">
        <v>385</v>
      </c>
      <c r="J198" s="74">
        <v>304</v>
      </c>
      <c r="K198" s="74">
        <v>309</v>
      </c>
      <c r="L198" s="74">
        <v>341</v>
      </c>
      <c r="M198" s="74">
        <v>352</v>
      </c>
      <c r="N198" s="74">
        <v>346</v>
      </c>
      <c r="O198" s="74">
        <v>327</v>
      </c>
      <c r="P198" s="74">
        <v>297</v>
      </c>
      <c r="Q198" s="74">
        <v>292</v>
      </c>
      <c r="R198" s="74">
        <v>350</v>
      </c>
      <c r="S198" s="74">
        <v>412</v>
      </c>
      <c r="T198" s="74">
        <v>388</v>
      </c>
      <c r="U198" s="74">
        <v>309</v>
      </c>
      <c r="V198" s="77"/>
      <c r="W198" s="74"/>
      <c r="X198" s="74"/>
      <c r="Y198" s="74"/>
      <c r="Z198" s="74"/>
    </row>
    <row r="199" spans="1:26" ht="15.75" customHeight="1">
      <c r="A199" s="74"/>
      <c r="B199" s="74" t="b">
        <f t="shared" si="3"/>
        <v>1</v>
      </c>
      <c r="C199" s="77">
        <v>2759386</v>
      </c>
      <c r="D199" s="74">
        <v>2759386</v>
      </c>
      <c r="E199" s="79" t="s">
        <v>704</v>
      </c>
      <c r="F199" s="74" t="s">
        <v>25</v>
      </c>
      <c r="G199" s="74"/>
      <c r="H199" s="74"/>
      <c r="I199" s="76">
        <v>1527</v>
      </c>
      <c r="J199" s="74">
        <v>509</v>
      </c>
      <c r="K199" s="74">
        <v>590</v>
      </c>
      <c r="L199" s="74">
        <v>1541</v>
      </c>
      <c r="M199" s="74">
        <v>1591</v>
      </c>
      <c r="N199" s="74">
        <v>1475</v>
      </c>
      <c r="O199" s="74">
        <v>1187</v>
      </c>
      <c r="P199" s="74">
        <v>866</v>
      </c>
      <c r="Q199" s="74">
        <v>1439</v>
      </c>
      <c r="R199" s="74">
        <v>1721</v>
      </c>
      <c r="S199" s="74">
        <v>1656</v>
      </c>
      <c r="T199" s="74">
        <v>1649</v>
      </c>
      <c r="U199" s="74">
        <v>970</v>
      </c>
      <c r="V199" s="77"/>
      <c r="W199" s="74"/>
      <c r="X199" s="74"/>
      <c r="Y199" s="74"/>
      <c r="Z199" s="74"/>
    </row>
    <row r="200" spans="1:26" ht="15.75" customHeight="1">
      <c r="A200" s="74"/>
      <c r="B200" s="74" t="b">
        <f t="shared" si="3"/>
        <v>1</v>
      </c>
      <c r="C200" s="77">
        <v>3533231</v>
      </c>
      <c r="D200" s="74">
        <v>3533231</v>
      </c>
      <c r="E200" s="79" t="s">
        <v>732</v>
      </c>
      <c r="F200" s="74" t="s">
        <v>25</v>
      </c>
      <c r="G200" s="74"/>
      <c r="H200" s="74"/>
      <c r="I200" s="76">
        <v>1211</v>
      </c>
      <c r="J200" s="74">
        <v>427</v>
      </c>
      <c r="K200" s="74">
        <v>451</v>
      </c>
      <c r="L200" s="74">
        <v>968</v>
      </c>
      <c r="M200" s="74">
        <v>954</v>
      </c>
      <c r="N200" s="74">
        <v>919</v>
      </c>
      <c r="O200" s="74">
        <v>777</v>
      </c>
      <c r="P200" s="74">
        <v>639</v>
      </c>
      <c r="Q200" s="74">
        <v>778</v>
      </c>
      <c r="R200" s="74">
        <v>872</v>
      </c>
      <c r="S200" s="74">
        <v>929</v>
      </c>
      <c r="T200" s="74">
        <v>948</v>
      </c>
      <c r="U200" s="74">
        <v>754</v>
      </c>
      <c r="V200" s="77"/>
      <c r="W200" s="74"/>
      <c r="X200" s="74"/>
      <c r="Y200" s="74"/>
      <c r="Z200" s="74"/>
    </row>
    <row r="201" spans="1:26" ht="15.75" customHeight="1">
      <c r="A201" s="74"/>
      <c r="B201" s="74" t="b">
        <f t="shared" si="3"/>
        <v>1</v>
      </c>
      <c r="C201" s="77">
        <v>3435529</v>
      </c>
      <c r="D201" s="74">
        <v>3435529</v>
      </c>
      <c r="E201" s="79" t="s">
        <v>732</v>
      </c>
      <c r="F201" s="74" t="s">
        <v>25</v>
      </c>
      <c r="G201" s="74"/>
      <c r="H201" s="74"/>
      <c r="I201" s="76">
        <v>1884</v>
      </c>
      <c r="J201" s="74">
        <v>761</v>
      </c>
      <c r="K201" s="74">
        <v>1053</v>
      </c>
      <c r="L201" s="74">
        <v>2045</v>
      </c>
      <c r="M201" s="74">
        <v>2117</v>
      </c>
      <c r="N201" s="74">
        <v>2077</v>
      </c>
      <c r="O201" s="74">
        <v>1829</v>
      </c>
      <c r="P201" s="74">
        <v>1464</v>
      </c>
      <c r="Q201" s="74">
        <v>2029</v>
      </c>
      <c r="R201" s="74">
        <v>2055</v>
      </c>
      <c r="S201" s="74">
        <v>2221</v>
      </c>
      <c r="T201" s="74">
        <v>2121</v>
      </c>
      <c r="U201" s="74">
        <v>1442</v>
      </c>
      <c r="V201" s="77"/>
      <c r="W201" s="74"/>
      <c r="X201" s="74"/>
      <c r="Y201" s="74"/>
      <c r="Z201" s="74"/>
    </row>
    <row r="202" spans="1:26" ht="15.75" customHeight="1">
      <c r="A202" s="74"/>
      <c r="B202" s="74" t="b">
        <f t="shared" si="3"/>
        <v>1</v>
      </c>
      <c r="C202" s="77">
        <v>3364675</v>
      </c>
      <c r="D202" s="74">
        <v>3364675</v>
      </c>
      <c r="E202" s="79" t="s">
        <v>704</v>
      </c>
      <c r="F202" s="74" t="s">
        <v>25</v>
      </c>
      <c r="G202" s="74"/>
      <c r="H202" s="74"/>
      <c r="I202" s="76">
        <v>262</v>
      </c>
      <c r="J202" s="74">
        <v>100</v>
      </c>
      <c r="K202" s="74">
        <v>129</v>
      </c>
      <c r="L202" s="74">
        <v>226</v>
      </c>
      <c r="M202" s="74">
        <v>252</v>
      </c>
      <c r="N202" s="74">
        <v>240</v>
      </c>
      <c r="O202" s="74">
        <v>276</v>
      </c>
      <c r="P202" s="74">
        <v>209</v>
      </c>
      <c r="Q202" s="74">
        <v>268</v>
      </c>
      <c r="R202" s="74">
        <v>276</v>
      </c>
      <c r="S202" s="74">
        <v>305</v>
      </c>
      <c r="T202" s="74">
        <v>322</v>
      </c>
      <c r="U202" s="74">
        <v>255</v>
      </c>
      <c r="V202" s="77"/>
      <c r="W202" s="74"/>
      <c r="X202" s="74"/>
      <c r="Y202" s="74"/>
      <c r="Z202" s="74"/>
    </row>
    <row r="203" spans="1:26" ht="15.75" customHeight="1">
      <c r="A203" s="74"/>
      <c r="B203" s="74" t="b">
        <f t="shared" si="3"/>
        <v>1</v>
      </c>
      <c r="C203" s="77">
        <v>2521022</v>
      </c>
      <c r="D203" s="74">
        <v>2521022</v>
      </c>
      <c r="E203" s="79" t="s">
        <v>700</v>
      </c>
      <c r="F203" s="74" t="s">
        <v>25</v>
      </c>
      <c r="G203" s="74"/>
      <c r="H203" s="74"/>
      <c r="I203" s="76">
        <v>214</v>
      </c>
      <c r="J203" s="74">
        <v>238</v>
      </c>
      <c r="K203" s="74">
        <v>256</v>
      </c>
      <c r="L203" s="74">
        <v>279</v>
      </c>
      <c r="M203" s="74">
        <v>310</v>
      </c>
      <c r="N203" s="74">
        <v>272</v>
      </c>
      <c r="O203" s="74">
        <v>286</v>
      </c>
      <c r="P203" s="74">
        <v>276</v>
      </c>
      <c r="Q203" s="74">
        <v>267</v>
      </c>
      <c r="R203" s="74">
        <v>261</v>
      </c>
      <c r="S203" s="74">
        <v>283</v>
      </c>
      <c r="T203" s="74">
        <v>268</v>
      </c>
      <c r="U203" s="74">
        <v>202</v>
      </c>
      <c r="V203" s="77"/>
      <c r="W203" s="74"/>
      <c r="X203" s="74"/>
      <c r="Y203" s="74"/>
      <c r="Z203" s="74"/>
    </row>
    <row r="204" spans="1:26" ht="15.75" customHeight="1">
      <c r="A204" s="74"/>
      <c r="B204" s="74" t="b">
        <f t="shared" si="3"/>
        <v>1</v>
      </c>
      <c r="C204" s="77">
        <v>1450433</v>
      </c>
      <c r="D204" s="74">
        <v>1450433</v>
      </c>
      <c r="E204" s="79" t="s">
        <v>700</v>
      </c>
      <c r="F204" s="74" t="s">
        <v>25</v>
      </c>
      <c r="G204" s="74"/>
      <c r="H204" s="74"/>
      <c r="I204" s="76">
        <v>1831</v>
      </c>
      <c r="J204" s="74">
        <v>1559</v>
      </c>
      <c r="K204" s="74">
        <v>1498</v>
      </c>
      <c r="L204" s="74">
        <v>1429</v>
      </c>
      <c r="M204" s="74">
        <v>1404</v>
      </c>
      <c r="N204" s="74">
        <v>1324</v>
      </c>
      <c r="O204" s="74">
        <v>967</v>
      </c>
      <c r="P204" s="74">
        <v>929</v>
      </c>
      <c r="Q204" s="74">
        <v>1064</v>
      </c>
      <c r="R204" s="74">
        <v>1283</v>
      </c>
      <c r="S204" s="74">
        <v>1835</v>
      </c>
      <c r="T204" s="74">
        <v>1696</v>
      </c>
      <c r="U204" s="74">
        <v>2103</v>
      </c>
      <c r="V204" s="77"/>
      <c r="W204" s="74"/>
      <c r="X204" s="74"/>
      <c r="Y204" s="74"/>
      <c r="Z204" s="74"/>
    </row>
    <row r="205" spans="1:26" ht="15.75" customHeight="1">
      <c r="A205" s="74"/>
      <c r="B205" s="74" t="b">
        <f t="shared" si="3"/>
        <v>1</v>
      </c>
      <c r="C205" s="77">
        <v>6508096</v>
      </c>
      <c r="D205" s="74">
        <v>6508096</v>
      </c>
      <c r="E205" s="79" t="s">
        <v>704</v>
      </c>
      <c r="F205" s="74" t="s">
        <v>25</v>
      </c>
      <c r="G205" s="74"/>
      <c r="H205" s="74"/>
      <c r="I205" s="76">
        <v>1196</v>
      </c>
      <c r="J205" s="74">
        <v>1192</v>
      </c>
      <c r="K205" s="74">
        <v>1167</v>
      </c>
      <c r="L205" s="74">
        <v>1250</v>
      </c>
      <c r="M205" s="74">
        <v>1181</v>
      </c>
      <c r="N205" s="74">
        <v>1130</v>
      </c>
      <c r="O205" s="74">
        <v>1073</v>
      </c>
      <c r="P205" s="74">
        <v>858</v>
      </c>
      <c r="Q205" s="74">
        <v>1236</v>
      </c>
      <c r="R205" s="74">
        <v>1300</v>
      </c>
      <c r="S205" s="74">
        <v>1371</v>
      </c>
      <c r="T205" s="74">
        <v>1395</v>
      </c>
      <c r="U205" s="74">
        <v>1150</v>
      </c>
      <c r="V205" s="77"/>
      <c r="W205" s="74"/>
      <c r="X205" s="74"/>
      <c r="Y205" s="74"/>
      <c r="Z205" s="74"/>
    </row>
    <row r="206" spans="1:26" ht="15.75" customHeight="1">
      <c r="A206" s="74"/>
      <c r="B206" s="74" t="b">
        <f t="shared" si="3"/>
        <v>1</v>
      </c>
      <c r="C206" s="77">
        <v>7619143</v>
      </c>
      <c r="D206" s="74">
        <v>7619143</v>
      </c>
      <c r="E206" s="79" t="s">
        <v>704</v>
      </c>
      <c r="F206" s="74" t="s">
        <v>25</v>
      </c>
      <c r="G206" s="74"/>
      <c r="H206" s="74"/>
      <c r="I206" s="76">
        <v>3537</v>
      </c>
      <c r="J206" s="74">
        <v>1668</v>
      </c>
      <c r="K206" s="74">
        <v>1607</v>
      </c>
      <c r="L206" s="74">
        <v>3479</v>
      </c>
      <c r="M206" s="74">
        <v>3541</v>
      </c>
      <c r="N206" s="74">
        <v>3865</v>
      </c>
      <c r="O206" s="74">
        <v>3155</v>
      </c>
      <c r="P206" s="74">
        <v>1872</v>
      </c>
      <c r="Q206" s="74">
        <v>3101</v>
      </c>
      <c r="R206" s="74">
        <v>3161</v>
      </c>
      <c r="S206" s="74">
        <v>3598</v>
      </c>
      <c r="T206" s="74">
        <v>3681</v>
      </c>
      <c r="U206" s="74">
        <v>2339</v>
      </c>
      <c r="V206" s="77"/>
      <c r="W206" s="74"/>
      <c r="X206" s="74"/>
      <c r="Y206" s="74"/>
      <c r="Z206" s="74"/>
    </row>
    <row r="207" spans="1:26" ht="15.75" customHeight="1">
      <c r="A207" s="74"/>
      <c r="B207" s="74" t="b">
        <f t="shared" si="3"/>
        <v>1</v>
      </c>
      <c r="C207" s="77">
        <v>26207</v>
      </c>
      <c r="D207" s="74">
        <v>26207</v>
      </c>
      <c r="E207" s="79" t="s">
        <v>700</v>
      </c>
      <c r="F207" s="74" t="s">
        <v>25</v>
      </c>
      <c r="G207" s="74"/>
      <c r="H207" s="74"/>
      <c r="I207" s="76">
        <v>215</v>
      </c>
      <c r="J207" s="74">
        <v>372</v>
      </c>
      <c r="K207" s="74">
        <v>360</v>
      </c>
      <c r="L207" s="74">
        <v>425</v>
      </c>
      <c r="M207" s="74">
        <v>483</v>
      </c>
      <c r="N207" s="74">
        <v>445</v>
      </c>
      <c r="O207" s="74">
        <v>391</v>
      </c>
      <c r="P207" s="74">
        <v>404</v>
      </c>
      <c r="Q207" s="74">
        <v>396</v>
      </c>
      <c r="R207" s="74">
        <v>462</v>
      </c>
      <c r="S207" s="74">
        <v>490</v>
      </c>
      <c r="T207" s="74">
        <v>971</v>
      </c>
      <c r="U207" s="74">
        <v>575</v>
      </c>
      <c r="V207" s="77"/>
      <c r="W207" s="74"/>
      <c r="X207" s="74"/>
      <c r="Y207" s="74"/>
      <c r="Z207" s="74"/>
    </row>
    <row r="208" spans="1:26" ht="15.75" customHeight="1">
      <c r="A208" s="74"/>
      <c r="B208" s="74" t="b">
        <f t="shared" si="3"/>
        <v>1</v>
      </c>
      <c r="C208" s="77">
        <v>21502</v>
      </c>
      <c r="D208" s="74">
        <v>21502</v>
      </c>
      <c r="E208" s="79" t="s">
        <v>704</v>
      </c>
      <c r="F208" s="74" t="s">
        <v>25</v>
      </c>
      <c r="G208" s="74"/>
      <c r="H208" s="74"/>
      <c r="I208" s="76">
        <v>1474</v>
      </c>
      <c r="J208" s="74">
        <v>600</v>
      </c>
      <c r="K208" s="74">
        <v>630</v>
      </c>
      <c r="L208" s="74">
        <v>1055</v>
      </c>
      <c r="M208" s="74">
        <v>1095</v>
      </c>
      <c r="N208" s="74">
        <v>1037</v>
      </c>
      <c r="O208" s="74">
        <v>893</v>
      </c>
      <c r="P208" s="74">
        <v>763</v>
      </c>
      <c r="Q208" s="74">
        <v>957</v>
      </c>
      <c r="R208" s="74">
        <v>1025</v>
      </c>
      <c r="S208" s="74">
        <v>1071</v>
      </c>
      <c r="T208" s="74">
        <v>1176</v>
      </c>
      <c r="U208" s="74">
        <v>975</v>
      </c>
      <c r="V208" s="77"/>
      <c r="W208" s="74"/>
      <c r="X208" s="74"/>
      <c r="Y208" s="74"/>
      <c r="Z208" s="74"/>
    </row>
    <row r="209" spans="1:26" ht="15.75" customHeight="1">
      <c r="A209" s="74"/>
      <c r="B209" s="74" t="b">
        <f t="shared" si="3"/>
        <v>1</v>
      </c>
      <c r="C209" s="77">
        <v>21865</v>
      </c>
      <c r="D209" s="74">
        <v>21865</v>
      </c>
      <c r="E209" s="79" t="s">
        <v>704</v>
      </c>
      <c r="F209" s="74" t="s">
        <v>25</v>
      </c>
      <c r="G209" s="74"/>
      <c r="H209" s="74"/>
      <c r="I209" s="76">
        <v>5181</v>
      </c>
      <c r="J209" s="74">
        <v>10359</v>
      </c>
      <c r="K209" s="74">
        <v>6107</v>
      </c>
      <c r="L209" s="74">
        <v>12249</v>
      </c>
      <c r="M209" s="74">
        <v>5480</v>
      </c>
      <c r="N209" s="74">
        <v>5211</v>
      </c>
      <c r="O209" s="74">
        <v>4389</v>
      </c>
      <c r="P209" s="74">
        <v>3380</v>
      </c>
      <c r="Q209" s="74">
        <v>5202</v>
      </c>
      <c r="R209" s="74">
        <v>5535</v>
      </c>
      <c r="S209" s="74">
        <v>13478</v>
      </c>
      <c r="T209" s="74">
        <v>4690</v>
      </c>
      <c r="U209" s="74">
        <v>4724</v>
      </c>
      <c r="V209" s="77"/>
      <c r="W209" s="74"/>
      <c r="X209" s="74"/>
      <c r="Y209" s="74"/>
      <c r="Z209" s="74"/>
    </row>
    <row r="210" spans="1:26" ht="15.75" customHeight="1">
      <c r="A210" s="74"/>
      <c r="B210" s="74" t="b">
        <f t="shared" si="3"/>
        <v>1</v>
      </c>
      <c r="C210" s="77">
        <v>10237</v>
      </c>
      <c r="D210" s="74">
        <v>10237</v>
      </c>
      <c r="E210" s="79" t="s">
        <v>704</v>
      </c>
      <c r="F210" s="74" t="s">
        <v>25</v>
      </c>
      <c r="G210" s="74"/>
      <c r="H210" s="74"/>
      <c r="I210" s="76">
        <v>2948</v>
      </c>
      <c r="J210" s="74">
        <v>2999</v>
      </c>
      <c r="K210" s="74">
        <v>2668</v>
      </c>
      <c r="L210" s="74">
        <v>2373</v>
      </c>
      <c r="M210" s="74">
        <v>2717</v>
      </c>
      <c r="N210" s="74">
        <v>2197</v>
      </c>
      <c r="O210" s="74">
        <v>2073</v>
      </c>
      <c r="P210" s="74">
        <v>2071</v>
      </c>
      <c r="Q210" s="74">
        <v>1817</v>
      </c>
      <c r="R210" s="74">
        <v>2067</v>
      </c>
      <c r="S210" s="74">
        <v>1977</v>
      </c>
      <c r="T210" s="74">
        <v>1984</v>
      </c>
      <c r="U210" s="74">
        <v>2057</v>
      </c>
      <c r="V210" s="77"/>
      <c r="W210" s="74"/>
      <c r="X210" s="74"/>
      <c r="Y210" s="74"/>
      <c r="Z210" s="74"/>
    </row>
    <row r="211" spans="1:26" ht="15.75" customHeight="1">
      <c r="A211" s="74"/>
      <c r="B211" s="74" t="b">
        <f t="shared" si="3"/>
        <v>1</v>
      </c>
      <c r="C211" s="77">
        <v>6948025</v>
      </c>
      <c r="D211" s="74">
        <v>6948025</v>
      </c>
      <c r="E211" s="79" t="s">
        <v>700</v>
      </c>
      <c r="F211" s="74" t="s">
        <v>25</v>
      </c>
      <c r="G211" s="74"/>
      <c r="H211" s="74"/>
      <c r="I211" s="76">
        <v>30</v>
      </c>
      <c r="J211" s="74">
        <v>30</v>
      </c>
      <c r="K211" s="74">
        <v>30</v>
      </c>
      <c r="L211" s="74">
        <v>30</v>
      </c>
      <c r="M211" s="74">
        <v>30</v>
      </c>
      <c r="N211" s="74">
        <v>30</v>
      </c>
      <c r="O211" s="74">
        <v>30</v>
      </c>
      <c r="P211" s="74">
        <v>99</v>
      </c>
      <c r="Q211" s="74">
        <v>467</v>
      </c>
      <c r="R211" s="74">
        <v>524</v>
      </c>
      <c r="S211" s="74">
        <v>598</v>
      </c>
      <c r="T211" s="74">
        <v>604</v>
      </c>
      <c r="U211" s="74">
        <v>529</v>
      </c>
      <c r="V211" s="77"/>
      <c r="W211" s="74"/>
      <c r="X211" s="74"/>
      <c r="Y211" s="74"/>
      <c r="Z211" s="74"/>
    </row>
    <row r="212" spans="1:26" ht="15.75" customHeight="1">
      <c r="A212" s="74"/>
      <c r="B212" s="74" t="b">
        <f t="shared" si="3"/>
        <v>1</v>
      </c>
      <c r="C212" s="77">
        <v>10314</v>
      </c>
      <c r="D212" s="74">
        <v>10314</v>
      </c>
      <c r="E212" s="79" t="s">
        <v>704</v>
      </c>
      <c r="F212" s="74" t="s">
        <v>25</v>
      </c>
      <c r="G212" s="74"/>
      <c r="H212" s="74"/>
      <c r="I212" s="76">
        <v>3020</v>
      </c>
      <c r="J212" s="74">
        <v>1770</v>
      </c>
      <c r="K212" s="74">
        <v>1833</v>
      </c>
      <c r="L212" s="74">
        <v>3571</v>
      </c>
      <c r="M212" s="74">
        <v>3828</v>
      </c>
      <c r="N212" s="74">
        <v>3954</v>
      </c>
      <c r="O212" s="74">
        <v>3869</v>
      </c>
      <c r="P212" s="74">
        <v>1872</v>
      </c>
      <c r="Q212" s="74">
        <v>219</v>
      </c>
      <c r="R212" s="74">
        <v>100</v>
      </c>
      <c r="S212" s="74">
        <v>299</v>
      </c>
      <c r="T212" s="74">
        <v>367</v>
      </c>
      <c r="U212" s="74">
        <v>358</v>
      </c>
      <c r="V212" s="77"/>
      <c r="W212" s="74"/>
      <c r="X212" s="74"/>
      <c r="Y212" s="74"/>
      <c r="Z212" s="74"/>
    </row>
    <row r="213" spans="1:26" ht="15.75" customHeight="1">
      <c r="A213" s="74"/>
      <c r="B213" s="74" t="b">
        <f t="shared" si="3"/>
        <v>1</v>
      </c>
      <c r="C213" s="77">
        <v>10308</v>
      </c>
      <c r="D213" s="74">
        <v>10308</v>
      </c>
      <c r="E213" s="79" t="s">
        <v>704</v>
      </c>
      <c r="F213" s="74" t="s">
        <v>25</v>
      </c>
      <c r="G213" s="74"/>
      <c r="H213" s="74"/>
      <c r="I213" s="76">
        <v>2722</v>
      </c>
      <c r="J213" s="74">
        <v>1385</v>
      </c>
      <c r="K213" s="74">
        <v>1226</v>
      </c>
      <c r="L213" s="74">
        <v>2779</v>
      </c>
      <c r="M213" s="74">
        <v>3002</v>
      </c>
      <c r="N213" s="74">
        <v>2916</v>
      </c>
      <c r="O213" s="74">
        <v>2762</v>
      </c>
      <c r="P213" s="74">
        <v>2176</v>
      </c>
      <c r="Q213" s="74">
        <v>2560</v>
      </c>
      <c r="R213" s="74">
        <v>2698</v>
      </c>
      <c r="S213" s="74">
        <v>2556</v>
      </c>
      <c r="T213" s="74">
        <v>2408</v>
      </c>
      <c r="U213" s="74">
        <v>2544</v>
      </c>
      <c r="V213" s="77"/>
      <c r="W213" s="74"/>
      <c r="X213" s="74"/>
      <c r="Y213" s="74"/>
      <c r="Z213" s="74"/>
    </row>
    <row r="214" spans="1:26" ht="15.75" customHeight="1">
      <c r="A214" s="74"/>
      <c r="B214" s="74" t="b">
        <f t="shared" si="3"/>
        <v>1</v>
      </c>
      <c r="C214" s="77">
        <v>3521888</v>
      </c>
      <c r="D214" s="74">
        <v>3521888</v>
      </c>
      <c r="E214" s="79" t="s">
        <v>704</v>
      </c>
      <c r="F214" s="74" t="s">
        <v>25</v>
      </c>
      <c r="G214" s="74"/>
      <c r="H214" s="74"/>
      <c r="I214" s="76">
        <v>1294</v>
      </c>
      <c r="J214" s="74">
        <v>831</v>
      </c>
      <c r="K214" s="74">
        <v>843</v>
      </c>
      <c r="L214" s="74">
        <v>1342</v>
      </c>
      <c r="M214" s="74">
        <v>1500</v>
      </c>
      <c r="N214" s="74">
        <v>1446</v>
      </c>
      <c r="O214" s="74">
        <v>1448</v>
      </c>
      <c r="P214" s="74">
        <v>1180</v>
      </c>
      <c r="Q214" s="74">
        <v>1385</v>
      </c>
      <c r="R214" s="74">
        <v>1626</v>
      </c>
      <c r="S214" s="74">
        <v>1816</v>
      </c>
      <c r="T214" s="74">
        <v>1782</v>
      </c>
      <c r="U214" s="74">
        <v>1618</v>
      </c>
      <c r="V214" s="77"/>
      <c r="W214" s="74"/>
      <c r="X214" s="74"/>
      <c r="Y214" s="74"/>
      <c r="Z214" s="74"/>
    </row>
    <row r="215" spans="1:26" ht="15.75" customHeight="1">
      <c r="A215" s="74"/>
      <c r="B215" s="74" t="b">
        <f t="shared" si="3"/>
        <v>1</v>
      </c>
      <c r="C215" s="77">
        <v>2953108</v>
      </c>
      <c r="D215" s="74">
        <v>2953108</v>
      </c>
      <c r="E215" s="79" t="s">
        <v>704</v>
      </c>
      <c r="F215" s="74" t="s">
        <v>25</v>
      </c>
      <c r="G215" s="74"/>
      <c r="H215" s="74"/>
      <c r="I215" s="76">
        <v>2758</v>
      </c>
      <c r="J215" s="74">
        <v>1954</v>
      </c>
      <c r="K215" s="74">
        <v>973</v>
      </c>
      <c r="L215" s="74">
        <v>2614</v>
      </c>
      <c r="M215" s="74">
        <v>2233</v>
      </c>
      <c r="N215" s="74">
        <v>2318</v>
      </c>
      <c r="O215" s="74">
        <v>1810</v>
      </c>
      <c r="P215" s="74">
        <v>1439</v>
      </c>
      <c r="Q215" s="74">
        <v>1577</v>
      </c>
      <c r="R215" s="74">
        <v>2342</v>
      </c>
      <c r="S215" s="74">
        <v>2826</v>
      </c>
      <c r="T215" s="74">
        <v>2857</v>
      </c>
      <c r="U215" s="74">
        <v>2509</v>
      </c>
      <c r="V215" s="77"/>
      <c r="W215" s="74"/>
      <c r="X215" s="74"/>
      <c r="Y215" s="74"/>
      <c r="Z215" s="74"/>
    </row>
    <row r="216" spans="1:26" ht="15.75" customHeight="1">
      <c r="A216" s="74"/>
      <c r="B216" s="74" t="b">
        <f t="shared" si="3"/>
        <v>1</v>
      </c>
      <c r="C216" s="77">
        <v>4853564</v>
      </c>
      <c r="D216" s="74">
        <v>4853564</v>
      </c>
      <c r="E216" s="79" t="s">
        <v>732</v>
      </c>
      <c r="F216" s="74" t="s">
        <v>25</v>
      </c>
      <c r="G216" s="74"/>
      <c r="H216" s="74"/>
      <c r="I216" s="76">
        <v>361</v>
      </c>
      <c r="J216" s="74">
        <v>365</v>
      </c>
      <c r="K216" s="74">
        <v>359</v>
      </c>
      <c r="L216" s="74">
        <v>356</v>
      </c>
      <c r="M216" s="74">
        <v>365</v>
      </c>
      <c r="N216" s="74">
        <v>367</v>
      </c>
      <c r="O216" s="74">
        <v>373</v>
      </c>
      <c r="P216" s="74">
        <v>283</v>
      </c>
      <c r="Q216" s="74">
        <v>296</v>
      </c>
      <c r="R216" s="74">
        <v>377</v>
      </c>
      <c r="S216" s="74">
        <v>430</v>
      </c>
      <c r="T216" s="74">
        <v>401</v>
      </c>
      <c r="U216" s="74">
        <v>409</v>
      </c>
      <c r="V216" s="77"/>
      <c r="W216" s="74"/>
      <c r="X216" s="74"/>
      <c r="Y216" s="74"/>
      <c r="Z216" s="74"/>
    </row>
    <row r="217" spans="1:26" ht="15.75" customHeight="1">
      <c r="A217" s="74"/>
      <c r="B217" s="74" t="b">
        <f t="shared" si="3"/>
        <v>1</v>
      </c>
      <c r="C217" s="77">
        <v>4043785</v>
      </c>
      <c r="D217" s="74">
        <v>4043785</v>
      </c>
      <c r="E217" s="79" t="s">
        <v>704</v>
      </c>
      <c r="F217" s="74" t="s">
        <v>25</v>
      </c>
      <c r="G217" s="74"/>
      <c r="H217" s="74"/>
      <c r="I217" s="76">
        <v>1901</v>
      </c>
      <c r="J217" s="74">
        <v>1643</v>
      </c>
      <c r="K217" s="74">
        <v>1107</v>
      </c>
      <c r="L217" s="74">
        <v>2051</v>
      </c>
      <c r="M217" s="74">
        <v>1855</v>
      </c>
      <c r="N217" s="74">
        <v>1804</v>
      </c>
      <c r="O217" s="74">
        <v>1630</v>
      </c>
      <c r="P217" s="74">
        <v>1291</v>
      </c>
      <c r="Q217" s="74">
        <v>1457</v>
      </c>
      <c r="R217" s="74">
        <v>1771</v>
      </c>
      <c r="S217" s="74">
        <v>2089</v>
      </c>
      <c r="T217" s="74">
        <v>2389</v>
      </c>
      <c r="U217" s="74">
        <v>2107</v>
      </c>
      <c r="V217" s="77"/>
      <c r="W217" s="74"/>
      <c r="X217" s="74"/>
      <c r="Y217" s="74"/>
      <c r="Z217" s="74"/>
    </row>
    <row r="218" spans="1:26" ht="15.75" customHeight="1">
      <c r="A218" s="74"/>
      <c r="B218" s="74" t="b">
        <f t="shared" si="3"/>
        <v>1</v>
      </c>
      <c r="C218" s="77">
        <v>3808202</v>
      </c>
      <c r="D218" s="74">
        <v>3808202</v>
      </c>
      <c r="E218" s="79" t="s">
        <v>704</v>
      </c>
      <c r="F218" s="74" t="s">
        <v>25</v>
      </c>
      <c r="G218" s="74"/>
      <c r="H218" s="74"/>
      <c r="I218" s="76">
        <v>1007</v>
      </c>
      <c r="J218" s="74">
        <v>656</v>
      </c>
      <c r="K218" s="74">
        <v>473</v>
      </c>
      <c r="L218" s="74">
        <v>964</v>
      </c>
      <c r="M218" s="74">
        <v>959</v>
      </c>
      <c r="N218" s="74">
        <v>954</v>
      </c>
      <c r="O218" s="74">
        <v>734</v>
      </c>
      <c r="P218" s="74">
        <v>548</v>
      </c>
      <c r="Q218" s="74">
        <v>581</v>
      </c>
      <c r="R218" s="74">
        <v>670</v>
      </c>
      <c r="S218" s="74">
        <v>771</v>
      </c>
      <c r="T218" s="74">
        <v>788</v>
      </c>
      <c r="U218" s="74">
        <v>705</v>
      </c>
      <c r="V218" s="77"/>
      <c r="W218" s="74"/>
      <c r="X218" s="74"/>
      <c r="Y218" s="74"/>
      <c r="Z218" s="74"/>
    </row>
    <row r="219" spans="1:26" ht="15.75" customHeight="1">
      <c r="A219" s="74"/>
      <c r="B219" s="74" t="b">
        <f t="shared" si="3"/>
        <v>1</v>
      </c>
      <c r="C219" s="77">
        <v>2259213</v>
      </c>
      <c r="D219" s="74">
        <v>2259213</v>
      </c>
      <c r="E219" s="79" t="s">
        <v>700</v>
      </c>
      <c r="F219" s="74" t="s">
        <v>25</v>
      </c>
      <c r="G219" s="74"/>
      <c r="H219" s="74"/>
      <c r="I219" s="76">
        <v>447</v>
      </c>
      <c r="J219" s="74">
        <v>386</v>
      </c>
      <c r="K219" s="74">
        <v>246</v>
      </c>
      <c r="L219" s="74">
        <v>470</v>
      </c>
      <c r="M219" s="74">
        <v>426</v>
      </c>
      <c r="N219" s="74">
        <v>355</v>
      </c>
      <c r="O219" s="74">
        <v>338</v>
      </c>
      <c r="P219" s="74">
        <v>288</v>
      </c>
      <c r="Q219" s="74">
        <v>292</v>
      </c>
      <c r="R219" s="74">
        <v>324</v>
      </c>
      <c r="S219" s="74">
        <v>366</v>
      </c>
      <c r="T219" s="74">
        <v>366</v>
      </c>
      <c r="U219" s="74">
        <v>364</v>
      </c>
      <c r="V219" s="77"/>
      <c r="W219" s="74"/>
      <c r="X219" s="74"/>
      <c r="Y219" s="74"/>
      <c r="Z219" s="74"/>
    </row>
    <row r="220" spans="1:26" ht="15.75" customHeight="1">
      <c r="A220" s="74"/>
      <c r="B220" s="74" t="b">
        <f t="shared" si="3"/>
        <v>1</v>
      </c>
      <c r="C220" s="77">
        <v>2595712</v>
      </c>
      <c r="D220" s="74">
        <v>2595712</v>
      </c>
      <c r="E220" s="79" t="s">
        <v>704</v>
      </c>
      <c r="F220" s="74" t="s">
        <v>25</v>
      </c>
      <c r="G220" s="74"/>
      <c r="H220" s="74"/>
      <c r="I220" s="76">
        <v>472</v>
      </c>
      <c r="J220" s="74">
        <v>421</v>
      </c>
      <c r="K220" s="74">
        <v>205</v>
      </c>
      <c r="L220" s="74">
        <v>460</v>
      </c>
      <c r="M220" s="74">
        <v>446</v>
      </c>
      <c r="N220" s="74">
        <v>409</v>
      </c>
      <c r="O220" s="74">
        <v>100</v>
      </c>
      <c r="P220" s="74">
        <v>100</v>
      </c>
      <c r="Q220" s="74">
        <v>100</v>
      </c>
      <c r="R220" s="74">
        <v>100</v>
      </c>
      <c r="S220" s="74">
        <v>100</v>
      </c>
      <c r="T220" s="74">
        <v>100</v>
      </c>
      <c r="U220" s="74">
        <v>385</v>
      </c>
      <c r="V220" s="77"/>
      <c r="W220" s="74"/>
      <c r="X220" s="74"/>
      <c r="Y220" s="74"/>
      <c r="Z220" s="74"/>
    </row>
    <row r="221" spans="1:26" ht="15.75" customHeight="1">
      <c r="A221" s="74"/>
      <c r="B221" s="74" t="b">
        <f t="shared" si="3"/>
        <v>1</v>
      </c>
      <c r="C221" s="77">
        <v>5585256</v>
      </c>
      <c r="D221" s="74">
        <v>5585256</v>
      </c>
      <c r="E221" s="79" t="s">
        <v>732</v>
      </c>
      <c r="F221" s="74" t="s">
        <v>25</v>
      </c>
      <c r="G221" s="74"/>
      <c r="H221" s="74"/>
      <c r="I221" s="76">
        <v>396</v>
      </c>
      <c r="J221" s="74">
        <v>398</v>
      </c>
      <c r="K221" s="74">
        <v>339</v>
      </c>
      <c r="L221" s="74">
        <v>459</v>
      </c>
      <c r="M221" s="74">
        <v>421</v>
      </c>
      <c r="N221" s="74">
        <v>421</v>
      </c>
      <c r="O221" s="74">
        <v>406</v>
      </c>
      <c r="P221" s="74">
        <v>349</v>
      </c>
      <c r="Q221" s="74">
        <v>349</v>
      </c>
      <c r="R221" s="74">
        <v>398</v>
      </c>
      <c r="S221" s="74">
        <v>402</v>
      </c>
      <c r="T221" s="74">
        <v>419</v>
      </c>
      <c r="U221" s="74">
        <v>411</v>
      </c>
      <c r="V221" s="77"/>
      <c r="W221" s="74"/>
      <c r="X221" s="74"/>
      <c r="Y221" s="74"/>
      <c r="Z221" s="74"/>
    </row>
    <row r="222" spans="1:26" ht="15.75" customHeight="1">
      <c r="A222" s="74"/>
      <c r="B222" s="74" t="b">
        <f t="shared" si="3"/>
        <v>1</v>
      </c>
      <c r="C222" s="77">
        <v>10207</v>
      </c>
      <c r="D222" s="74">
        <v>10207</v>
      </c>
      <c r="E222" s="79" t="s">
        <v>704</v>
      </c>
      <c r="F222" s="74" t="s">
        <v>25</v>
      </c>
      <c r="G222" s="74"/>
      <c r="H222" s="74"/>
      <c r="I222" s="76">
        <v>760</v>
      </c>
      <c r="J222" s="74">
        <v>800</v>
      </c>
      <c r="K222" s="74">
        <v>600</v>
      </c>
      <c r="L222" s="74">
        <v>960</v>
      </c>
      <c r="M222" s="74">
        <v>920</v>
      </c>
      <c r="N222" s="74">
        <v>880</v>
      </c>
      <c r="O222" s="74">
        <v>880</v>
      </c>
      <c r="P222" s="74">
        <v>720</v>
      </c>
      <c r="Q222" s="74">
        <v>840</v>
      </c>
      <c r="R222" s="74">
        <v>1000</v>
      </c>
      <c r="S222" s="74">
        <v>1040</v>
      </c>
      <c r="T222" s="74">
        <v>1160</v>
      </c>
      <c r="U222" s="74">
        <v>1080</v>
      </c>
      <c r="V222" s="77"/>
      <c r="W222" s="74"/>
      <c r="X222" s="74"/>
      <c r="Y222" s="74"/>
      <c r="Z222" s="74"/>
    </row>
    <row r="223" spans="1:26" ht="15.75" customHeight="1">
      <c r="A223" s="74"/>
      <c r="B223" s="74" t="b">
        <f t="shared" si="3"/>
        <v>1</v>
      </c>
      <c r="C223" s="77">
        <v>25498</v>
      </c>
      <c r="D223" s="74">
        <v>25498</v>
      </c>
      <c r="E223" s="79" t="s">
        <v>732</v>
      </c>
      <c r="F223" s="74" t="s">
        <v>25</v>
      </c>
      <c r="G223" s="74"/>
      <c r="H223" s="74"/>
      <c r="I223" s="76">
        <v>438</v>
      </c>
      <c r="J223" s="74">
        <v>420</v>
      </c>
      <c r="K223" s="74">
        <v>308</v>
      </c>
      <c r="L223" s="74">
        <v>483</v>
      </c>
      <c r="M223" s="74">
        <v>494</v>
      </c>
      <c r="N223" s="74">
        <v>483</v>
      </c>
      <c r="O223" s="74">
        <v>479</v>
      </c>
      <c r="P223" s="74">
        <v>483</v>
      </c>
      <c r="Q223" s="74">
        <v>486</v>
      </c>
      <c r="R223" s="74">
        <v>527</v>
      </c>
      <c r="S223" s="74">
        <v>514</v>
      </c>
      <c r="T223" s="74">
        <v>493</v>
      </c>
      <c r="U223" s="74">
        <v>353</v>
      </c>
      <c r="V223" s="77"/>
      <c r="W223" s="74"/>
      <c r="X223" s="74"/>
      <c r="Y223" s="74"/>
      <c r="Z223" s="74"/>
    </row>
    <row r="224" spans="1:26" ht="15.75" customHeight="1">
      <c r="A224" s="74"/>
      <c r="B224" s="74" t="b">
        <f t="shared" si="3"/>
        <v>1</v>
      </c>
      <c r="C224" s="77">
        <v>25714</v>
      </c>
      <c r="D224" s="74">
        <v>25714</v>
      </c>
      <c r="E224" s="79" t="s">
        <v>732</v>
      </c>
      <c r="F224" s="74" t="s">
        <v>25</v>
      </c>
      <c r="G224" s="74"/>
      <c r="H224" s="74"/>
      <c r="I224" s="76">
        <v>451</v>
      </c>
      <c r="J224" s="74">
        <v>392</v>
      </c>
      <c r="K224" s="74">
        <v>270</v>
      </c>
      <c r="L224" s="74">
        <v>494</v>
      </c>
      <c r="M224" s="74">
        <v>566</v>
      </c>
      <c r="N224" s="74">
        <v>330</v>
      </c>
      <c r="O224" s="74">
        <v>420</v>
      </c>
      <c r="P224" s="74">
        <v>405</v>
      </c>
      <c r="Q224" s="74">
        <v>418</v>
      </c>
      <c r="R224" s="74">
        <v>540</v>
      </c>
      <c r="S224" s="74">
        <v>530</v>
      </c>
      <c r="T224" s="74">
        <v>498</v>
      </c>
      <c r="U224" s="74">
        <v>417</v>
      </c>
      <c r="V224" s="77"/>
      <c r="W224" s="74"/>
      <c r="X224" s="74"/>
      <c r="Y224" s="74"/>
      <c r="Z224" s="74"/>
    </row>
    <row r="225" spans="1:26" ht="15.75" customHeight="1">
      <c r="A225" s="74"/>
      <c r="B225" s="74" t="b">
        <f t="shared" si="3"/>
        <v>1</v>
      </c>
      <c r="C225" s="77">
        <v>10399</v>
      </c>
      <c r="D225" s="74">
        <v>10399</v>
      </c>
      <c r="E225" s="79" t="s">
        <v>704</v>
      </c>
      <c r="F225" s="74" t="s">
        <v>25</v>
      </c>
      <c r="G225" s="74"/>
      <c r="H225" s="74"/>
      <c r="I225" s="76">
        <v>4580</v>
      </c>
      <c r="J225" s="74">
        <v>3302</v>
      </c>
      <c r="K225" s="74">
        <v>2113</v>
      </c>
      <c r="L225" s="74">
        <v>4440</v>
      </c>
      <c r="M225" s="74">
        <v>4432</v>
      </c>
      <c r="N225" s="74">
        <v>4067</v>
      </c>
      <c r="O225" s="74">
        <v>3892</v>
      </c>
      <c r="P225" s="74">
        <v>3389</v>
      </c>
      <c r="Q225" s="74">
        <v>3519</v>
      </c>
      <c r="R225" s="74">
        <v>4947</v>
      </c>
      <c r="S225" s="74">
        <v>5643</v>
      </c>
      <c r="T225" s="74">
        <v>5941</v>
      </c>
      <c r="U225" s="74">
        <v>5010</v>
      </c>
      <c r="V225" s="77"/>
      <c r="W225" s="74"/>
      <c r="X225" s="74"/>
      <c r="Y225" s="74"/>
      <c r="Z225" s="74"/>
    </row>
    <row r="226" spans="1:26" ht="15.75" customHeight="1">
      <c r="A226" s="74"/>
      <c r="B226" s="74" t="b">
        <f t="shared" si="3"/>
        <v>1</v>
      </c>
      <c r="C226" s="77">
        <v>10269</v>
      </c>
      <c r="D226" s="74">
        <v>10269</v>
      </c>
      <c r="E226" s="79" t="s">
        <v>704</v>
      </c>
      <c r="F226" s="74" t="s">
        <v>25</v>
      </c>
      <c r="G226" s="74"/>
      <c r="H226" s="74"/>
      <c r="I226" s="76">
        <v>1288</v>
      </c>
      <c r="J226" s="74">
        <v>1072</v>
      </c>
      <c r="K226" s="74">
        <v>456</v>
      </c>
      <c r="L226" s="74">
        <v>873</v>
      </c>
      <c r="M226" s="74">
        <v>674</v>
      </c>
      <c r="N226" s="74">
        <v>674</v>
      </c>
      <c r="O226" s="74">
        <v>674</v>
      </c>
      <c r="P226" s="74">
        <v>100</v>
      </c>
      <c r="Q226" s="74">
        <v>543</v>
      </c>
      <c r="R226" s="74">
        <v>1073</v>
      </c>
      <c r="S226" s="74">
        <v>1241</v>
      </c>
      <c r="T226" s="74">
        <v>1385</v>
      </c>
      <c r="U226" s="74">
        <v>1076</v>
      </c>
      <c r="V226" s="77"/>
      <c r="W226" s="74"/>
      <c r="X226" s="74"/>
      <c r="Y226" s="74"/>
      <c r="Z226" s="74"/>
    </row>
    <row r="227" spans="1:26" ht="15.75" customHeight="1">
      <c r="A227" s="74"/>
      <c r="B227" s="74" t="b">
        <f t="shared" si="3"/>
        <v>1</v>
      </c>
      <c r="C227" s="77">
        <v>7995593</v>
      </c>
      <c r="D227" s="74">
        <v>7995593</v>
      </c>
      <c r="E227" s="79" t="s">
        <v>704</v>
      </c>
      <c r="F227" s="74" t="s">
        <v>25</v>
      </c>
      <c r="G227" s="74"/>
      <c r="H227" s="74"/>
      <c r="I227" s="76">
        <v>5521</v>
      </c>
      <c r="J227" s="74">
        <v>6443</v>
      </c>
      <c r="K227" s="74">
        <v>5001</v>
      </c>
      <c r="L227" s="74">
        <v>4875</v>
      </c>
      <c r="M227" s="74">
        <v>3971</v>
      </c>
      <c r="N227" s="74">
        <v>3502</v>
      </c>
      <c r="O227" s="74">
        <v>4126</v>
      </c>
      <c r="P227" s="74">
        <v>4406</v>
      </c>
      <c r="Q227" s="74">
        <v>4553</v>
      </c>
      <c r="R227" s="74">
        <v>4955</v>
      </c>
      <c r="S227" s="74">
        <v>5326</v>
      </c>
      <c r="T227" s="74">
        <v>4532</v>
      </c>
      <c r="U227" s="74">
        <v>5670</v>
      </c>
      <c r="V227" s="77"/>
      <c r="W227" s="74"/>
      <c r="X227" s="74"/>
      <c r="Y227" s="74"/>
      <c r="Z227" s="74"/>
    </row>
    <row r="228" spans="1:26" ht="15.75" customHeight="1">
      <c r="A228" s="74"/>
      <c r="B228" s="74" t="b">
        <f t="shared" si="3"/>
        <v>1</v>
      </c>
      <c r="C228" s="77">
        <v>10421</v>
      </c>
      <c r="D228" s="74">
        <v>10421</v>
      </c>
      <c r="E228" s="79" t="s">
        <v>704</v>
      </c>
      <c r="F228" s="74" t="s">
        <v>25</v>
      </c>
      <c r="G228" s="74"/>
      <c r="H228" s="74"/>
      <c r="I228" s="76">
        <v>1080</v>
      </c>
      <c r="J228" s="74">
        <v>780</v>
      </c>
      <c r="K228" s="74">
        <v>360</v>
      </c>
      <c r="L228" s="74">
        <v>1180</v>
      </c>
      <c r="M228" s="74">
        <v>1210</v>
      </c>
      <c r="N228" s="74">
        <v>1190</v>
      </c>
      <c r="O228" s="74">
        <v>1050</v>
      </c>
      <c r="P228" s="74">
        <v>870</v>
      </c>
      <c r="Q228" s="74">
        <v>1020</v>
      </c>
      <c r="R228" s="74">
        <v>1320</v>
      </c>
      <c r="S228" s="74">
        <v>1390</v>
      </c>
      <c r="T228" s="74">
        <v>1450</v>
      </c>
      <c r="U228" s="74">
        <v>1300</v>
      </c>
      <c r="V228" s="77"/>
      <c r="W228" s="74"/>
      <c r="X228" s="74"/>
      <c r="Y228" s="74"/>
      <c r="Z228" s="74"/>
    </row>
    <row r="229" spans="1:26" ht="15.75" customHeight="1">
      <c r="A229" s="74"/>
      <c r="B229" s="74" t="b">
        <f t="shared" si="3"/>
        <v>1</v>
      </c>
      <c r="C229" s="77">
        <v>10363</v>
      </c>
      <c r="D229" s="74">
        <v>10363</v>
      </c>
      <c r="E229" s="79" t="s">
        <v>700</v>
      </c>
      <c r="F229" s="74" t="s">
        <v>25</v>
      </c>
      <c r="G229" s="74"/>
      <c r="H229" s="74"/>
      <c r="I229" s="76">
        <v>677</v>
      </c>
      <c r="J229" s="74">
        <v>520</v>
      </c>
      <c r="K229" s="74">
        <v>396</v>
      </c>
      <c r="L229" s="74">
        <v>629</v>
      </c>
      <c r="M229" s="74">
        <v>700</v>
      </c>
      <c r="N229" s="74">
        <v>648</v>
      </c>
      <c r="O229" s="74">
        <v>670</v>
      </c>
      <c r="P229" s="74">
        <v>332</v>
      </c>
      <c r="Q229" s="74">
        <v>396</v>
      </c>
      <c r="R229" s="74">
        <v>395</v>
      </c>
      <c r="S229" s="74">
        <v>485</v>
      </c>
      <c r="T229" s="74">
        <v>513</v>
      </c>
      <c r="U229" s="74">
        <v>566</v>
      </c>
      <c r="V229" s="77"/>
      <c r="W229" s="74"/>
      <c r="X229" s="74"/>
      <c r="Y229" s="74"/>
      <c r="Z229" s="74"/>
    </row>
    <row r="230" spans="1:26" ht="15.75" customHeight="1">
      <c r="A230" s="74"/>
      <c r="B230" s="74" t="b">
        <f t="shared" si="3"/>
        <v>1</v>
      </c>
      <c r="C230" s="77">
        <v>10441</v>
      </c>
      <c r="D230" s="74">
        <v>10441</v>
      </c>
      <c r="E230" s="79" t="s">
        <v>732</v>
      </c>
      <c r="F230" s="74" t="s">
        <v>25</v>
      </c>
      <c r="G230" s="74"/>
      <c r="H230" s="74"/>
      <c r="I230" s="76">
        <v>570</v>
      </c>
      <c r="J230" s="74">
        <v>435</v>
      </c>
      <c r="K230" s="74">
        <v>241</v>
      </c>
      <c r="L230" s="74">
        <v>415</v>
      </c>
      <c r="M230" s="74">
        <v>438</v>
      </c>
      <c r="N230" s="74">
        <v>396</v>
      </c>
      <c r="O230" s="74">
        <v>322</v>
      </c>
      <c r="P230" s="74">
        <v>249</v>
      </c>
      <c r="Q230" s="74">
        <v>308</v>
      </c>
      <c r="R230" s="74">
        <v>316</v>
      </c>
      <c r="S230" s="74">
        <v>398</v>
      </c>
      <c r="T230" s="74">
        <v>419</v>
      </c>
      <c r="U230" s="74">
        <v>396</v>
      </c>
      <c r="V230" s="77"/>
      <c r="W230" s="74"/>
      <c r="X230" s="74"/>
      <c r="Y230" s="74"/>
      <c r="Z230" s="74"/>
    </row>
    <row r="231" spans="1:26" ht="15.75" customHeight="1">
      <c r="A231" s="74"/>
      <c r="B231" s="74" t="b">
        <f t="shared" si="3"/>
        <v>1</v>
      </c>
      <c r="C231" s="77">
        <v>10080</v>
      </c>
      <c r="D231" s="74">
        <v>10080</v>
      </c>
      <c r="E231" s="79" t="s">
        <v>704</v>
      </c>
      <c r="F231" s="74" t="s">
        <v>25</v>
      </c>
      <c r="G231" s="74"/>
      <c r="H231" s="74"/>
      <c r="I231" s="76">
        <v>3894</v>
      </c>
      <c r="J231" s="74">
        <v>3026</v>
      </c>
      <c r="K231" s="74">
        <v>950</v>
      </c>
      <c r="L231" s="74">
        <v>3400</v>
      </c>
      <c r="M231" s="74">
        <v>3202</v>
      </c>
      <c r="N231" s="74">
        <v>2463</v>
      </c>
      <c r="O231" s="74">
        <v>2530</v>
      </c>
      <c r="P231" s="74">
        <v>1654</v>
      </c>
      <c r="Q231" s="74">
        <v>1912</v>
      </c>
      <c r="R231" s="74">
        <v>2488</v>
      </c>
      <c r="S231" s="74">
        <v>3407</v>
      </c>
      <c r="T231" s="74">
        <v>3811</v>
      </c>
      <c r="U231" s="74">
        <v>3712</v>
      </c>
      <c r="V231" s="77"/>
      <c r="W231" s="74"/>
      <c r="X231" s="74"/>
      <c r="Y231" s="74"/>
      <c r="Z231" s="74"/>
    </row>
    <row r="232" spans="1:26" ht="15.75" customHeight="1">
      <c r="A232" s="74"/>
      <c r="B232" s="74" t="b">
        <f t="shared" si="3"/>
        <v>1</v>
      </c>
      <c r="C232" s="77">
        <v>2572661</v>
      </c>
      <c r="D232" s="74">
        <v>2572661</v>
      </c>
      <c r="E232" s="79" t="s">
        <v>704</v>
      </c>
      <c r="F232" s="74" t="s">
        <v>25</v>
      </c>
      <c r="G232" s="74"/>
      <c r="H232" s="74"/>
      <c r="I232" s="76">
        <v>410</v>
      </c>
      <c r="J232" s="74">
        <v>400</v>
      </c>
      <c r="K232" s="74">
        <v>430</v>
      </c>
      <c r="L232" s="74">
        <v>395</v>
      </c>
      <c r="M232" s="74">
        <v>463</v>
      </c>
      <c r="N232" s="74">
        <v>482</v>
      </c>
      <c r="O232" s="74">
        <v>370</v>
      </c>
      <c r="P232" s="74">
        <v>270</v>
      </c>
      <c r="Q232" s="74">
        <v>285</v>
      </c>
      <c r="R232" s="74">
        <v>296</v>
      </c>
      <c r="S232" s="74">
        <v>282</v>
      </c>
      <c r="T232" s="74">
        <v>196</v>
      </c>
      <c r="U232" s="74">
        <v>100</v>
      </c>
      <c r="V232" s="77"/>
      <c r="W232" s="74"/>
      <c r="X232" s="74"/>
      <c r="Y232" s="74"/>
      <c r="Z232" s="74"/>
    </row>
    <row r="233" spans="1:26" ht="15.75" customHeight="1">
      <c r="A233" s="74"/>
      <c r="B233" s="74" t="b">
        <f t="shared" si="3"/>
        <v>1</v>
      </c>
      <c r="C233" s="77">
        <v>2379521</v>
      </c>
      <c r="D233" s="74">
        <v>2379521</v>
      </c>
      <c r="E233" s="79" t="s">
        <v>704</v>
      </c>
      <c r="F233" s="74" t="s">
        <v>25</v>
      </c>
      <c r="G233" s="74"/>
      <c r="H233" s="74"/>
      <c r="I233" s="76">
        <v>1531</v>
      </c>
      <c r="J233" s="74">
        <v>1119</v>
      </c>
      <c r="K233" s="74">
        <v>1200</v>
      </c>
      <c r="L233" s="74">
        <v>1350</v>
      </c>
      <c r="M233" s="74">
        <v>1270</v>
      </c>
      <c r="N233" s="74">
        <v>1145</v>
      </c>
      <c r="O233" s="74">
        <v>1295</v>
      </c>
      <c r="P233" s="74">
        <v>970</v>
      </c>
      <c r="Q233" s="74">
        <v>1049</v>
      </c>
      <c r="R233" s="74">
        <v>1281</v>
      </c>
      <c r="S233" s="74">
        <v>1510</v>
      </c>
      <c r="T233" s="74">
        <v>1463</v>
      </c>
      <c r="U233" s="74">
        <v>1291</v>
      </c>
      <c r="V233" s="77"/>
      <c r="W233" s="74"/>
      <c r="X233" s="74"/>
      <c r="Y233" s="74"/>
      <c r="Z233" s="74"/>
    </row>
    <row r="234" spans="1:26" ht="15.75" customHeight="1">
      <c r="A234" s="74"/>
      <c r="B234" s="74" t="b">
        <f t="shared" si="3"/>
        <v>1</v>
      </c>
      <c r="C234" s="77">
        <v>25713</v>
      </c>
      <c r="D234" s="74">
        <v>25713</v>
      </c>
      <c r="E234" s="79" t="s">
        <v>704</v>
      </c>
      <c r="F234" s="74" t="s">
        <v>25</v>
      </c>
      <c r="G234" s="74"/>
      <c r="H234" s="74"/>
      <c r="I234" s="76">
        <v>3275</v>
      </c>
      <c r="J234" s="74">
        <v>3392</v>
      </c>
      <c r="K234" s="74">
        <v>3326</v>
      </c>
      <c r="L234" s="74">
        <v>3221</v>
      </c>
      <c r="M234" s="74">
        <v>3348</v>
      </c>
      <c r="N234" s="74">
        <v>3283</v>
      </c>
      <c r="O234" s="74">
        <v>2770</v>
      </c>
      <c r="P234" s="74">
        <v>1805</v>
      </c>
      <c r="Q234" s="74">
        <v>2338</v>
      </c>
      <c r="R234" s="74">
        <v>3062</v>
      </c>
      <c r="S234" s="74">
        <v>4463</v>
      </c>
      <c r="T234" s="74">
        <v>5021</v>
      </c>
      <c r="U234" s="74">
        <v>4680</v>
      </c>
      <c r="V234" s="77"/>
      <c r="W234" s="74"/>
      <c r="X234" s="74"/>
      <c r="Y234" s="74"/>
      <c r="Z234" s="74"/>
    </row>
    <row r="235" spans="1:26" ht="15.75" customHeight="1">
      <c r="A235" s="74"/>
      <c r="B235" s="74" t="b">
        <f t="shared" si="3"/>
        <v>1</v>
      </c>
      <c r="C235" s="77">
        <v>6231791</v>
      </c>
      <c r="D235" s="74">
        <v>6231791</v>
      </c>
      <c r="E235" s="79" t="s">
        <v>704</v>
      </c>
      <c r="F235" s="74" t="s">
        <v>25</v>
      </c>
      <c r="G235" s="74"/>
      <c r="H235" s="74"/>
      <c r="I235" s="76">
        <v>6444</v>
      </c>
      <c r="J235" s="74">
        <v>4350</v>
      </c>
      <c r="K235" s="74">
        <v>3112</v>
      </c>
      <c r="L235" s="74">
        <v>3128</v>
      </c>
      <c r="M235" s="74">
        <v>4293</v>
      </c>
      <c r="N235" s="74">
        <v>3374</v>
      </c>
      <c r="O235" s="74">
        <v>3461</v>
      </c>
      <c r="P235" s="74">
        <v>2296</v>
      </c>
      <c r="Q235" s="74">
        <v>3175</v>
      </c>
      <c r="R235" s="74">
        <v>4458</v>
      </c>
      <c r="S235" s="74">
        <v>5960</v>
      </c>
      <c r="T235" s="74">
        <v>5190</v>
      </c>
      <c r="U235" s="74">
        <v>550</v>
      </c>
      <c r="V235" s="77"/>
      <c r="W235" s="74"/>
      <c r="X235" s="74"/>
      <c r="Y235" s="74"/>
      <c r="Z235" s="74"/>
    </row>
    <row r="236" spans="1:26" ht="15" customHeight="1">
      <c r="A236" s="74"/>
      <c r="B236" s="74" t="b">
        <f t="shared" si="3"/>
        <v>1</v>
      </c>
      <c r="C236" s="77">
        <v>56399424</v>
      </c>
      <c r="D236" s="74">
        <v>56399424</v>
      </c>
      <c r="E236" s="79" t="s">
        <v>704</v>
      </c>
      <c r="F236" s="74" t="s">
        <v>25</v>
      </c>
      <c r="G236" s="74"/>
      <c r="H236" s="74"/>
      <c r="I236" s="76">
        <v>100</v>
      </c>
      <c r="J236" s="74">
        <v>100</v>
      </c>
      <c r="K236" s="74">
        <v>100</v>
      </c>
      <c r="L236" s="74">
        <v>100</v>
      </c>
      <c r="M236" s="74">
        <v>100</v>
      </c>
      <c r="N236" s="74">
        <v>100</v>
      </c>
      <c r="O236" s="74">
        <v>100</v>
      </c>
      <c r="P236" s="74">
        <v>100</v>
      </c>
      <c r="Q236" s="74">
        <v>100</v>
      </c>
      <c r="R236" s="74">
        <v>100</v>
      </c>
      <c r="S236" s="74">
        <v>100</v>
      </c>
      <c r="T236" s="74">
        <v>562</v>
      </c>
      <c r="U236" s="74">
        <v>1178</v>
      </c>
      <c r="V236" s="77"/>
      <c r="W236" s="74"/>
      <c r="X236" s="74"/>
      <c r="Y236" s="74"/>
      <c r="Z236" s="74"/>
    </row>
    <row r="237" spans="1:26" ht="15" customHeight="1">
      <c r="A237" s="74"/>
      <c r="B237" s="74" t="b">
        <f t="shared" si="3"/>
        <v>1</v>
      </c>
      <c r="C237" s="77">
        <v>3476742</v>
      </c>
      <c r="D237" s="74">
        <v>3476742</v>
      </c>
      <c r="E237" s="79" t="s">
        <v>704</v>
      </c>
      <c r="F237" s="74" t="s">
        <v>25</v>
      </c>
      <c r="G237" s="74"/>
      <c r="H237" s="74"/>
      <c r="I237" s="76">
        <v>2091</v>
      </c>
      <c r="J237" s="74">
        <v>1314</v>
      </c>
      <c r="K237" s="74">
        <v>624</v>
      </c>
      <c r="L237" s="74">
        <v>1845</v>
      </c>
      <c r="M237" s="74">
        <v>2071</v>
      </c>
      <c r="N237" s="74">
        <v>1681</v>
      </c>
      <c r="O237" s="74">
        <v>1783</v>
      </c>
      <c r="P237" s="74">
        <v>1220</v>
      </c>
      <c r="Q237" s="74">
        <v>1574</v>
      </c>
      <c r="R237" s="74">
        <v>2090</v>
      </c>
      <c r="S237" s="74">
        <v>2127</v>
      </c>
      <c r="T237" s="74">
        <v>2292</v>
      </c>
      <c r="U237" s="74">
        <v>1886</v>
      </c>
      <c r="V237" s="77"/>
      <c r="W237" s="74"/>
      <c r="X237" s="74"/>
      <c r="Y237" s="74"/>
      <c r="Z237" s="74"/>
    </row>
    <row r="238" spans="1:26" ht="15" customHeight="1">
      <c r="A238" s="74"/>
      <c r="B238" s="74" t="b">
        <f t="shared" si="3"/>
        <v>1</v>
      </c>
      <c r="C238" s="77">
        <v>3608572</v>
      </c>
      <c r="D238" s="74">
        <v>3608572</v>
      </c>
      <c r="E238" s="79" t="s">
        <v>732</v>
      </c>
      <c r="F238" s="74" t="s">
        <v>25</v>
      </c>
      <c r="G238" s="74"/>
      <c r="H238" s="74"/>
      <c r="I238" s="76">
        <v>402</v>
      </c>
      <c r="J238" s="74">
        <v>339</v>
      </c>
      <c r="K238" s="74">
        <v>149</v>
      </c>
      <c r="L238" s="74">
        <v>204</v>
      </c>
      <c r="M238" s="74">
        <v>294</v>
      </c>
      <c r="N238" s="74">
        <v>288</v>
      </c>
      <c r="O238" s="74">
        <v>266</v>
      </c>
      <c r="P238" s="74">
        <v>271</v>
      </c>
      <c r="Q238" s="74">
        <v>346</v>
      </c>
      <c r="R238" s="74">
        <v>371</v>
      </c>
      <c r="S238" s="74">
        <v>372</v>
      </c>
      <c r="T238" s="74">
        <v>369</v>
      </c>
      <c r="U238" s="74">
        <v>377</v>
      </c>
      <c r="V238" s="77"/>
      <c r="W238" s="74"/>
      <c r="X238" s="74"/>
      <c r="Y238" s="74"/>
      <c r="Z238" s="74"/>
    </row>
    <row r="239" spans="1:26" ht="15" customHeight="1">
      <c r="A239" s="74"/>
      <c r="B239" s="74" t="b">
        <f t="shared" si="3"/>
        <v>1</v>
      </c>
      <c r="C239" s="77">
        <v>921880</v>
      </c>
      <c r="D239" s="74">
        <v>921880</v>
      </c>
      <c r="E239" s="79" t="s">
        <v>704</v>
      </c>
      <c r="F239" s="74" t="s">
        <v>25</v>
      </c>
      <c r="G239" s="74"/>
      <c r="H239" s="74"/>
      <c r="I239" s="76">
        <v>2456</v>
      </c>
      <c r="J239" s="74">
        <v>2410</v>
      </c>
      <c r="K239" s="74">
        <v>1725</v>
      </c>
      <c r="L239" s="74">
        <v>2578</v>
      </c>
      <c r="M239" s="74">
        <v>2543</v>
      </c>
      <c r="N239" s="74">
        <v>2381</v>
      </c>
      <c r="O239" s="74">
        <v>1994</v>
      </c>
      <c r="P239" s="74">
        <v>1737</v>
      </c>
      <c r="Q239" s="74">
        <v>1775</v>
      </c>
      <c r="R239" s="74">
        <v>1995</v>
      </c>
      <c r="S239" s="74">
        <v>2889</v>
      </c>
      <c r="T239" s="74">
        <v>2955</v>
      </c>
      <c r="U239" s="74">
        <v>2582</v>
      </c>
      <c r="V239" s="77"/>
      <c r="W239" s="74"/>
      <c r="X239" s="74"/>
      <c r="Y239" s="74"/>
      <c r="Z239" s="74"/>
    </row>
    <row r="240" spans="1:26" ht="15" customHeight="1">
      <c r="A240" s="74"/>
      <c r="B240" s="74" t="b">
        <f t="shared" si="3"/>
        <v>1</v>
      </c>
      <c r="C240" s="77">
        <v>7531923</v>
      </c>
      <c r="D240" s="74">
        <v>7531923</v>
      </c>
      <c r="E240" s="79" t="s">
        <v>704</v>
      </c>
      <c r="F240" s="74" t="s">
        <v>25</v>
      </c>
      <c r="G240" s="74"/>
      <c r="H240" s="74"/>
      <c r="I240" s="76">
        <v>2830</v>
      </c>
      <c r="J240" s="74">
        <v>2274</v>
      </c>
      <c r="K240" s="74">
        <v>1016</v>
      </c>
      <c r="L240" s="74">
        <v>2660</v>
      </c>
      <c r="M240" s="74">
        <v>2862</v>
      </c>
      <c r="N240" s="74">
        <v>2602</v>
      </c>
      <c r="O240" s="74">
        <v>2319</v>
      </c>
      <c r="P240" s="74">
        <v>1707</v>
      </c>
      <c r="Q240" s="74">
        <v>1898</v>
      </c>
      <c r="R240" s="74">
        <v>2939</v>
      </c>
      <c r="S240" s="74">
        <v>3047</v>
      </c>
      <c r="T240" s="74">
        <v>3534</v>
      </c>
      <c r="U240" s="74">
        <v>3175</v>
      </c>
      <c r="V240" s="77"/>
      <c r="W240" s="74"/>
      <c r="X240" s="74"/>
      <c r="Y240" s="74"/>
      <c r="Z240" s="74"/>
    </row>
    <row r="241" spans="1:26" ht="15" customHeight="1">
      <c r="A241" s="74"/>
      <c r="B241" s="74" t="b">
        <f t="shared" si="3"/>
        <v>1</v>
      </c>
      <c r="C241" s="77">
        <v>10128</v>
      </c>
      <c r="D241" s="74">
        <v>10128</v>
      </c>
      <c r="E241" s="79" t="s">
        <v>704</v>
      </c>
      <c r="F241" s="74" t="s">
        <v>25</v>
      </c>
      <c r="G241" s="74"/>
      <c r="H241" s="74"/>
      <c r="I241" s="76">
        <v>686</v>
      </c>
      <c r="J241" s="74">
        <v>513</v>
      </c>
      <c r="K241" s="74">
        <v>432</v>
      </c>
      <c r="L241" s="74">
        <v>620</v>
      </c>
      <c r="M241" s="74">
        <v>603</v>
      </c>
      <c r="N241" s="74">
        <v>627</v>
      </c>
      <c r="O241" s="74">
        <v>552</v>
      </c>
      <c r="P241" s="74">
        <v>573</v>
      </c>
      <c r="Q241" s="74">
        <v>576</v>
      </c>
      <c r="R241" s="74">
        <v>676</v>
      </c>
      <c r="S241" s="74">
        <v>767</v>
      </c>
      <c r="T241" s="74">
        <v>937</v>
      </c>
      <c r="U241" s="74">
        <v>1053</v>
      </c>
      <c r="V241" s="77"/>
      <c r="W241" s="74"/>
      <c r="X241" s="74"/>
      <c r="Y241" s="74"/>
      <c r="Z241" s="74"/>
    </row>
    <row r="242" spans="1:26" ht="15" customHeight="1">
      <c r="A242" s="74"/>
      <c r="B242" s="74" t="b">
        <f t="shared" si="3"/>
        <v>1</v>
      </c>
      <c r="C242" s="77">
        <v>10330</v>
      </c>
      <c r="D242" s="74">
        <v>10330</v>
      </c>
      <c r="E242" s="79" t="s">
        <v>704</v>
      </c>
      <c r="F242" s="74" t="s">
        <v>25</v>
      </c>
      <c r="G242" s="74"/>
      <c r="H242" s="74"/>
      <c r="I242" s="76">
        <v>540</v>
      </c>
      <c r="J242" s="74">
        <v>376</v>
      </c>
      <c r="K242" s="74">
        <v>162</v>
      </c>
      <c r="L242" s="74">
        <v>474</v>
      </c>
      <c r="M242" s="74">
        <v>480</v>
      </c>
      <c r="N242" s="74">
        <v>484</v>
      </c>
      <c r="O242" s="74">
        <v>451</v>
      </c>
      <c r="P242" s="74">
        <v>378</v>
      </c>
      <c r="Q242" s="74">
        <v>394</v>
      </c>
      <c r="R242" s="74">
        <v>486</v>
      </c>
      <c r="S242" s="74">
        <v>526</v>
      </c>
      <c r="T242" s="74">
        <v>502</v>
      </c>
      <c r="U242" s="74">
        <v>504</v>
      </c>
      <c r="V242" s="77"/>
      <c r="W242" s="74"/>
      <c r="X242" s="74"/>
      <c r="Y242" s="74"/>
      <c r="Z242" s="74"/>
    </row>
    <row r="243" spans="1:26" ht="15" customHeight="1">
      <c r="A243" s="74"/>
      <c r="B243" s="74" t="b">
        <f t="shared" si="3"/>
        <v>1</v>
      </c>
      <c r="C243" s="77">
        <v>10362</v>
      </c>
      <c r="D243" s="74">
        <v>10362</v>
      </c>
      <c r="E243" s="79" t="s">
        <v>732</v>
      </c>
      <c r="F243" s="74" t="s">
        <v>25</v>
      </c>
      <c r="G243" s="74"/>
      <c r="H243" s="74"/>
      <c r="I243" s="76">
        <v>766</v>
      </c>
      <c r="J243" s="74">
        <v>551</v>
      </c>
      <c r="K243" s="74">
        <v>349</v>
      </c>
      <c r="L243" s="74">
        <v>637</v>
      </c>
      <c r="M243" s="74">
        <v>646</v>
      </c>
      <c r="N243" s="74">
        <v>633</v>
      </c>
      <c r="O243" s="74">
        <v>636</v>
      </c>
      <c r="P243" s="74">
        <v>550</v>
      </c>
      <c r="Q243" s="74">
        <v>545</v>
      </c>
      <c r="R243" s="74">
        <v>650</v>
      </c>
      <c r="S243" s="74">
        <v>728</v>
      </c>
      <c r="T243" s="74">
        <v>747</v>
      </c>
      <c r="U243" s="74">
        <v>645</v>
      </c>
      <c r="V243" s="77"/>
      <c r="W243" s="74"/>
      <c r="X243" s="74"/>
      <c r="Y243" s="74"/>
      <c r="Z243" s="74"/>
    </row>
    <row r="244" spans="1:26" ht="15" customHeight="1">
      <c r="A244" s="74"/>
      <c r="B244" s="74" t="b">
        <f t="shared" si="3"/>
        <v>1</v>
      </c>
      <c r="C244" s="77">
        <v>2421073</v>
      </c>
      <c r="D244" s="74">
        <v>2421073</v>
      </c>
      <c r="E244" s="79" t="s">
        <v>700</v>
      </c>
      <c r="F244" s="74" t="s">
        <v>25</v>
      </c>
      <c r="G244" s="74"/>
      <c r="H244" s="74"/>
      <c r="I244" s="76">
        <v>290</v>
      </c>
      <c r="J244" s="74">
        <v>200</v>
      </c>
      <c r="K244" s="74">
        <v>160</v>
      </c>
      <c r="L244" s="74">
        <v>282</v>
      </c>
      <c r="M244" s="74">
        <v>277</v>
      </c>
      <c r="N244" s="74">
        <v>249</v>
      </c>
      <c r="O244" s="74">
        <v>227</v>
      </c>
      <c r="P244" s="74">
        <v>206</v>
      </c>
      <c r="Q244" s="74">
        <v>242</v>
      </c>
      <c r="R244" s="74">
        <v>263</v>
      </c>
      <c r="S244" s="74">
        <v>298</v>
      </c>
      <c r="T244" s="74">
        <v>307</v>
      </c>
      <c r="U244" s="74">
        <v>299</v>
      </c>
      <c r="V244" s="77"/>
      <c r="W244" s="74"/>
      <c r="X244" s="74"/>
      <c r="Y244" s="74"/>
      <c r="Z244" s="74"/>
    </row>
    <row r="245" spans="1:26" ht="15" customHeight="1">
      <c r="A245" s="74"/>
      <c r="B245" s="74" t="b">
        <f t="shared" si="3"/>
        <v>1</v>
      </c>
      <c r="C245" s="77">
        <v>429335</v>
      </c>
      <c r="D245" s="74">
        <v>429335</v>
      </c>
      <c r="E245" s="79" t="s">
        <v>704</v>
      </c>
      <c r="F245" s="74" t="s">
        <v>25</v>
      </c>
      <c r="G245" s="74"/>
      <c r="H245" s="74"/>
      <c r="I245" s="76">
        <v>695</v>
      </c>
      <c r="J245" s="74">
        <v>201</v>
      </c>
      <c r="K245" s="74">
        <v>220</v>
      </c>
      <c r="L245" s="74">
        <v>597</v>
      </c>
      <c r="M245" s="74">
        <v>627</v>
      </c>
      <c r="N245" s="74">
        <v>702</v>
      </c>
      <c r="O245" s="74">
        <v>610</v>
      </c>
      <c r="P245" s="74">
        <v>568</v>
      </c>
      <c r="Q245" s="74">
        <v>606</v>
      </c>
      <c r="R245" s="74">
        <v>664</v>
      </c>
      <c r="S245" s="74">
        <v>768</v>
      </c>
      <c r="T245" s="74">
        <v>766</v>
      </c>
      <c r="U245" s="74">
        <v>624</v>
      </c>
      <c r="V245" s="77"/>
      <c r="W245" s="74"/>
      <c r="X245" s="74"/>
      <c r="Y245" s="74"/>
      <c r="Z245" s="74"/>
    </row>
    <row r="246" spans="1:26" ht="15" customHeight="1">
      <c r="A246" s="74"/>
      <c r="B246" s="74" t="b">
        <f t="shared" si="3"/>
        <v>1</v>
      </c>
      <c r="C246" s="77">
        <v>24128</v>
      </c>
      <c r="D246" s="74">
        <v>24128</v>
      </c>
      <c r="E246" s="79" t="s">
        <v>704</v>
      </c>
      <c r="F246" s="74" t="s">
        <v>25</v>
      </c>
      <c r="G246" s="74"/>
      <c r="H246" s="74"/>
      <c r="I246" s="76">
        <v>2916</v>
      </c>
      <c r="J246" s="74">
        <v>2948</v>
      </c>
      <c r="K246" s="74">
        <v>2981</v>
      </c>
      <c r="L246" s="74">
        <v>2998</v>
      </c>
      <c r="M246" s="74">
        <v>2958</v>
      </c>
      <c r="N246" s="74">
        <v>2923</v>
      </c>
      <c r="O246" s="74">
        <v>2887</v>
      </c>
      <c r="P246" s="74">
        <v>2854</v>
      </c>
      <c r="Q246" s="74">
        <v>2767</v>
      </c>
      <c r="R246" s="74">
        <v>2741</v>
      </c>
      <c r="S246" s="74">
        <v>2754</v>
      </c>
      <c r="T246" s="74">
        <v>3260</v>
      </c>
      <c r="U246" s="74">
        <v>3308</v>
      </c>
      <c r="V246" s="77"/>
      <c r="W246" s="74"/>
      <c r="X246" s="74"/>
      <c r="Y246" s="74"/>
      <c r="Z246" s="74"/>
    </row>
    <row r="247" spans="1:26" ht="15" customHeight="1">
      <c r="A247" s="74"/>
      <c r="B247" s="74" t="b">
        <f t="shared" si="3"/>
        <v>1</v>
      </c>
      <c r="C247" s="77">
        <v>7861289</v>
      </c>
      <c r="D247" s="74">
        <v>7861289</v>
      </c>
      <c r="E247" s="79" t="s">
        <v>704</v>
      </c>
      <c r="F247" s="74" t="s">
        <v>25</v>
      </c>
      <c r="G247" s="74"/>
      <c r="H247" s="74"/>
      <c r="I247" s="76">
        <v>1144</v>
      </c>
      <c r="J247" s="74">
        <v>663</v>
      </c>
      <c r="K247" s="74">
        <v>604</v>
      </c>
      <c r="L247" s="74">
        <v>1095</v>
      </c>
      <c r="M247" s="74">
        <v>1050</v>
      </c>
      <c r="N247" s="74">
        <v>1142</v>
      </c>
      <c r="O247" s="74">
        <v>1003</v>
      </c>
      <c r="P247" s="74">
        <v>765</v>
      </c>
      <c r="Q247" s="74">
        <v>1047</v>
      </c>
      <c r="R247" s="74">
        <v>1186</v>
      </c>
      <c r="S247" s="74">
        <v>1297</v>
      </c>
      <c r="T247" s="74">
        <v>1316</v>
      </c>
      <c r="U247" s="74">
        <v>925</v>
      </c>
      <c r="V247" s="77"/>
      <c r="W247" s="74"/>
      <c r="X247" s="74"/>
      <c r="Y247" s="74"/>
      <c r="Z247" s="74"/>
    </row>
    <row r="248" spans="1:26" ht="15" customHeight="1">
      <c r="A248" s="74"/>
      <c r="B248" s="74" t="b">
        <f t="shared" si="3"/>
        <v>1</v>
      </c>
      <c r="C248" s="77">
        <v>347491</v>
      </c>
      <c r="D248" s="74">
        <v>347491</v>
      </c>
      <c r="E248" s="79" t="s">
        <v>700</v>
      </c>
      <c r="F248" s="74" t="s">
        <v>25</v>
      </c>
      <c r="G248" s="74"/>
      <c r="H248" s="74"/>
      <c r="I248" s="76">
        <v>250</v>
      </c>
      <c r="J248" s="74">
        <v>246</v>
      </c>
      <c r="K248" s="74">
        <v>257</v>
      </c>
      <c r="L248" s="74">
        <v>297</v>
      </c>
      <c r="M248" s="74">
        <v>256</v>
      </c>
      <c r="N248" s="74">
        <v>0</v>
      </c>
      <c r="O248" s="74">
        <v>343</v>
      </c>
      <c r="P248" s="74">
        <v>158</v>
      </c>
      <c r="Q248" s="74">
        <v>221</v>
      </c>
      <c r="R248" s="74">
        <v>275</v>
      </c>
      <c r="S248" s="74">
        <v>301</v>
      </c>
      <c r="T248" s="74">
        <v>336</v>
      </c>
      <c r="U248" s="74">
        <v>275</v>
      </c>
      <c r="V248" s="77"/>
      <c r="W248" s="74"/>
      <c r="X248" s="74"/>
      <c r="Y248" s="74"/>
      <c r="Z248" s="74"/>
    </row>
    <row r="249" spans="1:26" ht="15" customHeight="1">
      <c r="A249" s="74"/>
      <c r="B249" s="74" t="b">
        <f t="shared" si="3"/>
        <v>1</v>
      </c>
      <c r="C249" s="77" t="s">
        <v>520</v>
      </c>
      <c r="D249" s="77" t="s">
        <v>520</v>
      </c>
      <c r="E249" s="79" t="s">
        <v>700</v>
      </c>
      <c r="F249" s="74" t="s">
        <v>25</v>
      </c>
      <c r="G249" s="74"/>
      <c r="H249" s="74"/>
      <c r="I249" s="76">
        <v>30</v>
      </c>
      <c r="J249" s="76">
        <v>30</v>
      </c>
      <c r="K249" s="76">
        <v>30</v>
      </c>
      <c r="L249" s="76">
        <v>30</v>
      </c>
      <c r="M249" s="76">
        <v>30</v>
      </c>
      <c r="N249" s="76">
        <v>30</v>
      </c>
      <c r="O249" s="76">
        <v>30</v>
      </c>
      <c r="P249" s="76">
        <v>30</v>
      </c>
      <c r="Q249" s="76">
        <v>30</v>
      </c>
      <c r="R249" s="76">
        <v>30</v>
      </c>
      <c r="S249" s="76">
        <v>0</v>
      </c>
      <c r="T249" s="76">
        <v>31</v>
      </c>
      <c r="U249" s="76">
        <v>30</v>
      </c>
      <c r="V249" s="77"/>
      <c r="W249" s="74"/>
      <c r="X249" s="74"/>
      <c r="Y249" s="74"/>
      <c r="Z249" s="74"/>
    </row>
    <row r="250" spans="1:26" ht="15" customHeight="1">
      <c r="A250" s="74"/>
      <c r="B250" s="74" t="b">
        <f t="shared" si="3"/>
        <v>1</v>
      </c>
      <c r="C250" s="77">
        <v>3808180</v>
      </c>
      <c r="D250" s="74">
        <v>3808180</v>
      </c>
      <c r="E250" s="79" t="s">
        <v>700</v>
      </c>
      <c r="F250" s="74" t="s">
        <v>25</v>
      </c>
      <c r="G250" s="74"/>
      <c r="H250" s="74"/>
      <c r="I250" s="76">
        <v>507</v>
      </c>
      <c r="J250" s="74">
        <v>344</v>
      </c>
      <c r="K250" s="74">
        <v>305</v>
      </c>
      <c r="L250" s="74">
        <v>585</v>
      </c>
      <c r="M250" s="74">
        <v>605</v>
      </c>
      <c r="N250" s="74">
        <v>629</v>
      </c>
      <c r="O250" s="74">
        <v>548</v>
      </c>
      <c r="P250" s="74">
        <v>468</v>
      </c>
      <c r="Q250" s="74">
        <v>549</v>
      </c>
      <c r="R250" s="74">
        <v>669</v>
      </c>
      <c r="S250" s="74">
        <v>741</v>
      </c>
      <c r="T250" s="74">
        <v>662</v>
      </c>
      <c r="U250" s="74">
        <v>638</v>
      </c>
      <c r="V250" s="77"/>
      <c r="W250" s="74"/>
      <c r="X250" s="74"/>
      <c r="Y250" s="74"/>
      <c r="Z250" s="74"/>
    </row>
    <row r="251" spans="1:26" ht="15" customHeight="1">
      <c r="A251" s="74"/>
      <c r="B251" s="74" t="b">
        <f t="shared" si="3"/>
        <v>1</v>
      </c>
      <c r="C251" s="77">
        <v>3121328</v>
      </c>
      <c r="D251" s="74">
        <v>3121328</v>
      </c>
      <c r="E251" s="79" t="s">
        <v>704</v>
      </c>
      <c r="F251" s="74" t="s">
        <v>25</v>
      </c>
      <c r="G251" s="74"/>
      <c r="H251" s="74"/>
      <c r="I251" s="76">
        <v>769</v>
      </c>
      <c r="J251" s="74">
        <v>321</v>
      </c>
      <c r="K251" s="74">
        <v>330</v>
      </c>
      <c r="L251" s="74">
        <v>783</v>
      </c>
      <c r="M251" s="74">
        <v>800</v>
      </c>
      <c r="N251" s="74">
        <v>811</v>
      </c>
      <c r="O251" s="74">
        <v>706</v>
      </c>
      <c r="P251" s="74">
        <v>528</v>
      </c>
      <c r="Q251" s="74">
        <v>765</v>
      </c>
      <c r="R251" s="74">
        <v>810</v>
      </c>
      <c r="S251" s="74">
        <v>883</v>
      </c>
      <c r="T251" s="74">
        <v>992</v>
      </c>
      <c r="U251" s="74">
        <v>788</v>
      </c>
      <c r="V251" s="77"/>
      <c r="W251" s="74"/>
      <c r="X251" s="74"/>
      <c r="Y251" s="74"/>
      <c r="Z251" s="74"/>
    </row>
    <row r="252" spans="1:26" ht="15" customHeight="1">
      <c r="A252" s="74"/>
      <c r="B252" s="74" t="b">
        <f t="shared" si="3"/>
        <v>1</v>
      </c>
      <c r="C252" s="77">
        <v>5617767</v>
      </c>
      <c r="D252" s="74">
        <v>5617767</v>
      </c>
      <c r="E252" s="79" t="s">
        <v>704</v>
      </c>
      <c r="F252" s="74" t="s">
        <v>25</v>
      </c>
      <c r="G252" s="74"/>
      <c r="H252" s="74"/>
      <c r="I252" s="76">
        <v>1212</v>
      </c>
      <c r="J252" s="74">
        <v>836</v>
      </c>
      <c r="K252" s="74">
        <v>787</v>
      </c>
      <c r="L252" s="74">
        <v>1202</v>
      </c>
      <c r="M252" s="74">
        <v>1202</v>
      </c>
      <c r="N252" s="74">
        <v>1185</v>
      </c>
      <c r="O252" s="74">
        <v>1047</v>
      </c>
      <c r="P252" s="74">
        <v>929</v>
      </c>
      <c r="Q252" s="74">
        <v>1115</v>
      </c>
      <c r="R252" s="74">
        <v>1396</v>
      </c>
      <c r="S252" s="74">
        <v>1245</v>
      </c>
      <c r="T252" s="74">
        <v>1088</v>
      </c>
      <c r="U252" s="74">
        <v>766</v>
      </c>
      <c r="V252" s="77"/>
      <c r="W252" s="74"/>
      <c r="X252" s="74"/>
      <c r="Y252" s="74"/>
      <c r="Z252" s="74"/>
    </row>
    <row r="253" spans="1:26" ht="15" customHeight="1">
      <c r="A253" s="74"/>
      <c r="B253" s="74" t="b">
        <f t="shared" si="3"/>
        <v>1</v>
      </c>
      <c r="C253" s="77">
        <v>5030024</v>
      </c>
      <c r="D253" s="74">
        <v>5030024</v>
      </c>
      <c r="E253" s="79" t="s">
        <v>704</v>
      </c>
      <c r="F253" s="74" t="s">
        <v>25</v>
      </c>
      <c r="G253" s="74"/>
      <c r="H253" s="74"/>
      <c r="I253" s="76">
        <v>822</v>
      </c>
      <c r="J253" s="74">
        <v>1223</v>
      </c>
      <c r="K253" s="74">
        <v>1895</v>
      </c>
      <c r="L253" s="74">
        <v>2317</v>
      </c>
      <c r="M253" s="74">
        <v>2187</v>
      </c>
      <c r="N253" s="74">
        <v>2037</v>
      </c>
      <c r="O253" s="74">
        <v>1573</v>
      </c>
      <c r="P253" s="74">
        <v>1514</v>
      </c>
      <c r="Q253" s="74">
        <v>2549</v>
      </c>
      <c r="R253" s="74">
        <v>2506</v>
      </c>
      <c r="S253" s="74">
        <v>2876</v>
      </c>
      <c r="T253" s="74">
        <v>2143</v>
      </c>
      <c r="U253" s="74">
        <v>830</v>
      </c>
      <c r="V253" s="77"/>
      <c r="W253" s="74"/>
      <c r="X253" s="74"/>
      <c r="Y253" s="74"/>
      <c r="Z253" s="74"/>
    </row>
    <row r="254" spans="1:26" ht="15" customHeight="1">
      <c r="A254" s="74"/>
      <c r="B254" s="74" t="b">
        <f t="shared" si="3"/>
        <v>1</v>
      </c>
      <c r="C254" s="77">
        <v>10284</v>
      </c>
      <c r="D254" s="74">
        <v>10284</v>
      </c>
      <c r="E254" s="79" t="s">
        <v>704</v>
      </c>
      <c r="F254" s="74" t="s">
        <v>25</v>
      </c>
      <c r="G254" s="74"/>
      <c r="H254" s="74"/>
      <c r="I254" s="76">
        <v>2426</v>
      </c>
      <c r="J254" s="74">
        <v>842</v>
      </c>
      <c r="K254" s="74">
        <v>1030</v>
      </c>
      <c r="L254" s="74">
        <v>1679</v>
      </c>
      <c r="M254" s="74">
        <v>1658</v>
      </c>
      <c r="N254" s="74">
        <v>1767</v>
      </c>
      <c r="O254" s="74">
        <v>1297</v>
      </c>
      <c r="P254" s="74">
        <v>1043</v>
      </c>
      <c r="Q254" s="74">
        <v>1431</v>
      </c>
      <c r="R254" s="74">
        <v>1736</v>
      </c>
      <c r="S254" s="74">
        <v>1961</v>
      </c>
      <c r="T254" s="74">
        <v>1958</v>
      </c>
      <c r="U254" s="74">
        <v>1636</v>
      </c>
      <c r="V254" s="77"/>
      <c r="W254" s="74"/>
      <c r="X254" s="74"/>
      <c r="Y254" s="74"/>
      <c r="Z254" s="74"/>
    </row>
    <row r="255" spans="1:26" ht="15" customHeight="1">
      <c r="A255" s="74"/>
      <c r="B255" s="74" t="b">
        <f t="shared" si="3"/>
        <v>1</v>
      </c>
      <c r="C255" s="77">
        <v>8008786</v>
      </c>
      <c r="D255" s="74">
        <v>8008786</v>
      </c>
      <c r="E255" s="79" t="s">
        <v>704</v>
      </c>
      <c r="F255" s="74" t="s">
        <v>25</v>
      </c>
      <c r="G255" s="74"/>
      <c r="H255" s="74"/>
      <c r="I255" s="76">
        <v>1695</v>
      </c>
      <c r="J255" s="74">
        <v>983</v>
      </c>
      <c r="K255" s="74">
        <v>1097</v>
      </c>
      <c r="L255" s="74">
        <v>1772</v>
      </c>
      <c r="M255" s="74">
        <v>1934</v>
      </c>
      <c r="N255" s="74">
        <v>1909</v>
      </c>
      <c r="O255" s="74">
        <v>1685</v>
      </c>
      <c r="P255" s="74">
        <v>1397</v>
      </c>
      <c r="Q255" s="74">
        <v>1769</v>
      </c>
      <c r="R255" s="74">
        <v>1841</v>
      </c>
      <c r="S255" s="74">
        <v>1944</v>
      </c>
      <c r="T255" s="74">
        <v>1868</v>
      </c>
      <c r="U255" s="74">
        <v>1309</v>
      </c>
      <c r="V255" s="77"/>
      <c r="W255" s="74"/>
      <c r="X255" s="74"/>
      <c r="Y255" s="74"/>
      <c r="Z255" s="74"/>
    </row>
    <row r="256" spans="1:26" ht="15" customHeight="1">
      <c r="A256" s="74"/>
      <c r="B256" s="74" t="b">
        <f t="shared" si="3"/>
        <v>1</v>
      </c>
      <c r="C256" s="77">
        <v>10309</v>
      </c>
      <c r="D256" s="74">
        <v>10309</v>
      </c>
      <c r="E256" s="79" t="s">
        <v>704</v>
      </c>
      <c r="F256" s="74" t="s">
        <v>25</v>
      </c>
      <c r="G256" s="74"/>
      <c r="H256" s="74"/>
      <c r="I256" s="76">
        <v>2365</v>
      </c>
      <c r="J256" s="74">
        <v>618</v>
      </c>
      <c r="K256" s="74">
        <v>1248</v>
      </c>
      <c r="L256" s="74">
        <v>2626</v>
      </c>
      <c r="M256" s="74">
        <v>4315</v>
      </c>
      <c r="N256" s="74">
        <v>4347</v>
      </c>
      <c r="O256" s="74">
        <v>1571</v>
      </c>
      <c r="P256" s="74">
        <v>1124</v>
      </c>
      <c r="Q256" s="74">
        <v>1850</v>
      </c>
      <c r="R256" s="74">
        <v>2652</v>
      </c>
      <c r="S256" s="74">
        <v>2881</v>
      </c>
      <c r="T256" s="74">
        <v>2787</v>
      </c>
      <c r="U256" s="74">
        <v>1939</v>
      </c>
      <c r="V256" s="77"/>
      <c r="W256" s="74"/>
      <c r="X256" s="74"/>
      <c r="Y256" s="74"/>
      <c r="Z256" s="74"/>
    </row>
    <row r="257" spans="1:26" ht="15" customHeight="1">
      <c r="A257" s="74"/>
      <c r="B257" s="74" t="b">
        <f t="shared" si="3"/>
        <v>1</v>
      </c>
      <c r="C257" s="77">
        <v>21618</v>
      </c>
      <c r="D257" s="74">
        <v>21618</v>
      </c>
      <c r="E257" s="79" t="s">
        <v>700</v>
      </c>
      <c r="F257" s="74" t="s">
        <v>25</v>
      </c>
      <c r="G257" s="74"/>
      <c r="H257" s="74"/>
      <c r="I257" s="76">
        <v>375</v>
      </c>
      <c r="J257" s="74">
        <v>182</v>
      </c>
      <c r="K257" s="74">
        <v>227</v>
      </c>
      <c r="L257" s="74">
        <v>311</v>
      </c>
      <c r="M257" s="74">
        <v>337</v>
      </c>
      <c r="N257" s="74">
        <v>304</v>
      </c>
      <c r="O257" s="74">
        <v>288</v>
      </c>
      <c r="P257" s="74">
        <v>257</v>
      </c>
      <c r="Q257" s="74">
        <v>302</v>
      </c>
      <c r="R257" s="74">
        <v>348</v>
      </c>
      <c r="S257" s="74">
        <v>359</v>
      </c>
      <c r="T257" s="74">
        <v>382</v>
      </c>
      <c r="U257" s="74">
        <v>291</v>
      </c>
      <c r="V257" s="77"/>
      <c r="W257" s="74"/>
      <c r="X257" s="74"/>
      <c r="Y257" s="74"/>
      <c r="Z257" s="74"/>
    </row>
    <row r="258" spans="1:26" ht="15" customHeight="1">
      <c r="A258" s="74"/>
      <c r="B258" s="74" t="b">
        <f t="shared" ref="B258:B321" si="4">D258=C258</f>
        <v>1</v>
      </c>
      <c r="C258" s="77">
        <v>10304</v>
      </c>
      <c r="D258" s="74">
        <v>10304</v>
      </c>
      <c r="E258" s="79" t="s">
        <v>732</v>
      </c>
      <c r="F258" s="74" t="s">
        <v>25</v>
      </c>
      <c r="G258" s="74"/>
      <c r="H258" s="74"/>
      <c r="I258" s="76">
        <v>104</v>
      </c>
      <c r="J258" s="74">
        <v>50</v>
      </c>
      <c r="K258" s="74">
        <v>50</v>
      </c>
      <c r="L258" s="74">
        <v>50</v>
      </c>
      <c r="M258" s="74">
        <v>50</v>
      </c>
      <c r="N258" s="74">
        <v>50</v>
      </c>
      <c r="O258" s="74">
        <v>50</v>
      </c>
      <c r="P258" s="74">
        <v>50</v>
      </c>
      <c r="Q258" s="74">
        <v>50</v>
      </c>
      <c r="R258" s="74">
        <v>50</v>
      </c>
      <c r="S258" s="74">
        <v>50</v>
      </c>
      <c r="T258" s="74">
        <v>50</v>
      </c>
      <c r="U258" s="74">
        <v>50</v>
      </c>
      <c r="V258" s="77"/>
      <c r="W258" s="74"/>
      <c r="X258" s="74"/>
      <c r="Y258" s="74"/>
      <c r="Z258" s="74"/>
    </row>
    <row r="259" spans="1:26" ht="15" customHeight="1">
      <c r="A259" s="74"/>
      <c r="B259" s="74" t="b">
        <f t="shared" si="4"/>
        <v>1</v>
      </c>
      <c r="C259" s="77">
        <v>25882</v>
      </c>
      <c r="D259" s="74">
        <v>25882</v>
      </c>
      <c r="E259" s="79" t="s">
        <v>704</v>
      </c>
      <c r="F259" s="74" t="s">
        <v>25</v>
      </c>
      <c r="G259" s="74"/>
      <c r="H259" s="74"/>
      <c r="I259" s="76">
        <v>961</v>
      </c>
      <c r="J259" s="74">
        <v>321</v>
      </c>
      <c r="K259" s="74">
        <v>433</v>
      </c>
      <c r="L259" s="74">
        <v>832</v>
      </c>
      <c r="M259" s="74">
        <v>864</v>
      </c>
      <c r="N259" s="74">
        <v>805</v>
      </c>
      <c r="O259" s="74">
        <v>724</v>
      </c>
      <c r="P259" s="74">
        <v>537</v>
      </c>
      <c r="Q259" s="74">
        <v>772</v>
      </c>
      <c r="R259" s="74">
        <v>863</v>
      </c>
      <c r="S259" s="74">
        <v>975</v>
      </c>
      <c r="T259" s="74">
        <v>994</v>
      </c>
      <c r="U259" s="74">
        <v>800</v>
      </c>
      <c r="V259" s="77"/>
      <c r="W259" s="74"/>
      <c r="X259" s="74"/>
      <c r="Y259" s="74"/>
      <c r="Z259" s="74"/>
    </row>
    <row r="260" spans="1:26" ht="15" customHeight="1">
      <c r="A260" s="74"/>
      <c r="B260" s="74" t="b">
        <f t="shared" si="4"/>
        <v>1</v>
      </c>
      <c r="C260" s="77">
        <v>6289987</v>
      </c>
      <c r="D260" s="74">
        <v>6289987</v>
      </c>
      <c r="E260" s="79" t="s">
        <v>704</v>
      </c>
      <c r="F260" s="74" t="s">
        <v>25</v>
      </c>
      <c r="G260" s="74"/>
      <c r="H260" s="74"/>
      <c r="I260" s="76">
        <v>2471</v>
      </c>
      <c r="J260" s="74">
        <v>1613</v>
      </c>
      <c r="K260" s="74">
        <v>1900</v>
      </c>
      <c r="L260" s="74">
        <v>2188</v>
      </c>
      <c r="M260" s="74">
        <v>2375</v>
      </c>
      <c r="N260" s="74">
        <v>2141</v>
      </c>
      <c r="O260" s="74">
        <v>2055</v>
      </c>
      <c r="P260" s="74">
        <v>2014</v>
      </c>
      <c r="Q260" s="74">
        <v>2264</v>
      </c>
      <c r="R260" s="74">
        <v>2795</v>
      </c>
      <c r="S260" s="74">
        <v>2740</v>
      </c>
      <c r="T260" s="74">
        <v>3054</v>
      </c>
      <c r="U260" s="74">
        <v>2874</v>
      </c>
      <c r="V260" s="77"/>
      <c r="W260" s="74"/>
      <c r="X260" s="74"/>
      <c r="Y260" s="74"/>
      <c r="Z260" s="74"/>
    </row>
    <row r="261" spans="1:26" ht="15" customHeight="1">
      <c r="A261" s="74"/>
      <c r="B261" s="74" t="b">
        <f t="shared" si="4"/>
        <v>1</v>
      </c>
      <c r="C261" s="77">
        <v>6734506</v>
      </c>
      <c r="D261" s="74">
        <v>6734506</v>
      </c>
      <c r="E261" s="79" t="s">
        <v>704</v>
      </c>
      <c r="F261" s="74" t="s">
        <v>25</v>
      </c>
      <c r="G261" s="74"/>
      <c r="H261" s="74"/>
      <c r="I261" s="76">
        <v>1304</v>
      </c>
      <c r="J261" s="74">
        <v>482</v>
      </c>
      <c r="K261" s="74">
        <v>586</v>
      </c>
      <c r="L261" s="74">
        <v>925</v>
      </c>
      <c r="M261" s="74">
        <v>1014</v>
      </c>
      <c r="N261" s="74">
        <v>784</v>
      </c>
      <c r="O261" s="74">
        <v>683</v>
      </c>
      <c r="P261" s="74">
        <v>561</v>
      </c>
      <c r="Q261" s="74">
        <v>804</v>
      </c>
      <c r="R261" s="74">
        <v>1161</v>
      </c>
      <c r="S261" s="74">
        <v>1161</v>
      </c>
      <c r="T261" s="74">
        <v>1629</v>
      </c>
      <c r="U261" s="74">
        <v>1568</v>
      </c>
      <c r="V261" s="77"/>
      <c r="W261" s="74"/>
      <c r="X261" s="74"/>
      <c r="Y261" s="74"/>
      <c r="Z261" s="74"/>
    </row>
    <row r="262" spans="1:26" ht="15" customHeight="1">
      <c r="A262" s="74"/>
      <c r="B262" s="74" t="b">
        <f t="shared" si="4"/>
        <v>1</v>
      </c>
      <c r="C262" s="77">
        <v>7553707</v>
      </c>
      <c r="D262" s="74">
        <v>7553707</v>
      </c>
      <c r="E262" s="79" t="s">
        <v>704</v>
      </c>
      <c r="F262" s="74" t="s">
        <v>25</v>
      </c>
      <c r="G262" s="74"/>
      <c r="H262" s="74"/>
      <c r="I262" s="76">
        <v>2558</v>
      </c>
      <c r="J262" s="74">
        <v>1130</v>
      </c>
      <c r="K262" s="74">
        <v>1200</v>
      </c>
      <c r="L262" s="74">
        <v>2443</v>
      </c>
      <c r="M262" s="74">
        <v>1853</v>
      </c>
      <c r="N262" s="74">
        <v>1691</v>
      </c>
      <c r="O262" s="74">
        <v>1159</v>
      </c>
      <c r="P262" s="74">
        <v>986</v>
      </c>
      <c r="Q262" s="74">
        <v>1451</v>
      </c>
      <c r="R262" s="74">
        <v>1812</v>
      </c>
      <c r="S262" s="74">
        <v>2217</v>
      </c>
      <c r="T262" s="74">
        <v>2675</v>
      </c>
      <c r="U262" s="74">
        <v>2213</v>
      </c>
      <c r="V262" s="77"/>
      <c r="W262" s="74"/>
      <c r="X262" s="74"/>
      <c r="Y262" s="74"/>
      <c r="Z262" s="74"/>
    </row>
    <row r="263" spans="1:26" ht="15" customHeight="1">
      <c r="A263" s="74"/>
      <c r="B263" s="74" t="b">
        <f t="shared" si="4"/>
        <v>1</v>
      </c>
      <c r="C263" s="77">
        <v>5144160</v>
      </c>
      <c r="D263" s="74">
        <v>5144160</v>
      </c>
      <c r="E263" s="79" t="s">
        <v>704</v>
      </c>
      <c r="F263" s="74" t="s">
        <v>25</v>
      </c>
      <c r="G263" s="74"/>
      <c r="H263" s="74"/>
      <c r="I263" s="76">
        <v>1997</v>
      </c>
      <c r="J263" s="74">
        <v>924</v>
      </c>
      <c r="K263" s="74">
        <v>1265</v>
      </c>
      <c r="L263" s="74">
        <v>1988</v>
      </c>
      <c r="M263" s="74">
        <v>1929</v>
      </c>
      <c r="N263" s="74">
        <v>1904</v>
      </c>
      <c r="O263" s="74">
        <v>1629</v>
      </c>
      <c r="P263" s="74">
        <v>1250</v>
      </c>
      <c r="Q263" s="74">
        <v>1801</v>
      </c>
      <c r="R263" s="74">
        <v>2109</v>
      </c>
      <c r="S263" s="74">
        <v>2212</v>
      </c>
      <c r="T263" s="74">
        <v>1976</v>
      </c>
      <c r="U263" s="74">
        <v>1752</v>
      </c>
      <c r="V263" s="77"/>
      <c r="W263" s="74"/>
      <c r="X263" s="74"/>
      <c r="Y263" s="74"/>
      <c r="Z263" s="74"/>
    </row>
    <row r="264" spans="1:26" ht="15" customHeight="1">
      <c r="A264" s="74"/>
      <c r="B264" s="74" t="b">
        <f t="shared" si="4"/>
        <v>1</v>
      </c>
      <c r="C264" s="77">
        <v>4640198</v>
      </c>
      <c r="D264" s="74">
        <v>4640198</v>
      </c>
      <c r="E264" s="79" t="s">
        <v>704</v>
      </c>
      <c r="F264" s="74" t="s">
        <v>25</v>
      </c>
      <c r="G264" s="74"/>
      <c r="H264" s="74"/>
      <c r="I264" s="76">
        <v>6676</v>
      </c>
      <c r="J264" s="74">
        <v>2522</v>
      </c>
      <c r="K264" s="74">
        <v>3726</v>
      </c>
      <c r="L264" s="74">
        <v>5644</v>
      </c>
      <c r="M264" s="74">
        <v>5538</v>
      </c>
      <c r="N264" s="74">
        <v>5597</v>
      </c>
      <c r="O264" s="74">
        <v>4209</v>
      </c>
      <c r="P264" s="74">
        <v>3964</v>
      </c>
      <c r="Q264" s="74">
        <v>4709</v>
      </c>
      <c r="R264" s="74">
        <v>5982</v>
      </c>
      <c r="S264" s="74">
        <v>6806</v>
      </c>
      <c r="T264" s="74">
        <v>6998</v>
      </c>
      <c r="U264" s="74">
        <v>4754</v>
      </c>
      <c r="V264" s="77"/>
      <c r="W264" s="74"/>
      <c r="X264" s="74"/>
      <c r="Y264" s="74"/>
      <c r="Z264" s="74"/>
    </row>
    <row r="265" spans="1:26" ht="15" customHeight="1">
      <c r="A265" s="74"/>
      <c r="B265" s="74" t="b">
        <f t="shared" si="4"/>
        <v>1</v>
      </c>
      <c r="C265" s="77">
        <v>2051151</v>
      </c>
      <c r="D265" s="74">
        <v>2051151</v>
      </c>
      <c r="E265" s="79" t="s">
        <v>700</v>
      </c>
      <c r="F265" s="74" t="s">
        <v>25</v>
      </c>
      <c r="G265" s="74"/>
      <c r="H265" s="74"/>
      <c r="I265" s="76">
        <v>380</v>
      </c>
      <c r="J265" s="74">
        <v>361</v>
      </c>
      <c r="K265" s="74">
        <v>301</v>
      </c>
      <c r="L265" s="74">
        <v>223</v>
      </c>
      <c r="M265" s="74">
        <v>278</v>
      </c>
      <c r="N265" s="74">
        <v>259</v>
      </c>
      <c r="O265" s="74">
        <v>211</v>
      </c>
      <c r="P265" s="74">
        <v>261</v>
      </c>
      <c r="Q265" s="74">
        <v>292</v>
      </c>
      <c r="R265" s="74">
        <v>361</v>
      </c>
      <c r="S265" s="74">
        <v>371</v>
      </c>
      <c r="T265" s="74">
        <v>355</v>
      </c>
      <c r="U265" s="74">
        <v>237</v>
      </c>
      <c r="V265" s="77"/>
      <c r="W265" s="74"/>
      <c r="X265" s="74"/>
      <c r="Y265" s="74"/>
      <c r="Z265" s="74"/>
    </row>
    <row r="266" spans="1:26" ht="15" customHeight="1">
      <c r="A266" s="74"/>
      <c r="B266" s="74" t="b">
        <f t="shared" si="4"/>
        <v>1</v>
      </c>
      <c r="C266" s="77">
        <v>4356375</v>
      </c>
      <c r="D266" s="74">
        <v>4356375</v>
      </c>
      <c r="E266" s="79" t="s">
        <v>704</v>
      </c>
      <c r="F266" s="74" t="s">
        <v>25</v>
      </c>
      <c r="G266" s="74"/>
      <c r="H266" s="74"/>
      <c r="I266" s="76">
        <v>1215</v>
      </c>
      <c r="J266" s="74">
        <v>1522</v>
      </c>
      <c r="K266" s="74">
        <v>1434</v>
      </c>
      <c r="L266" s="74">
        <v>666</v>
      </c>
      <c r="M266" s="74">
        <v>660</v>
      </c>
      <c r="N266" s="74">
        <v>538</v>
      </c>
      <c r="O266" s="74">
        <v>513</v>
      </c>
      <c r="P266" s="74">
        <v>497</v>
      </c>
      <c r="Q266" s="74">
        <v>434</v>
      </c>
      <c r="R266" s="74">
        <v>729</v>
      </c>
      <c r="S266" s="74">
        <v>864</v>
      </c>
      <c r="T266" s="74">
        <v>824</v>
      </c>
      <c r="U266" s="74">
        <v>1026</v>
      </c>
      <c r="V266" s="77"/>
      <c r="W266" s="74"/>
      <c r="X266" s="74"/>
      <c r="Y266" s="74"/>
      <c r="Z266" s="74"/>
    </row>
    <row r="267" spans="1:26" ht="15" customHeight="1">
      <c r="A267" s="74"/>
      <c r="B267" s="74" t="b">
        <f t="shared" si="4"/>
        <v>1</v>
      </c>
      <c r="C267" s="77">
        <v>3811477</v>
      </c>
      <c r="D267" s="74">
        <v>3811477</v>
      </c>
      <c r="E267" s="79" t="s">
        <v>732</v>
      </c>
      <c r="F267" s="74" t="s">
        <v>25</v>
      </c>
      <c r="G267" s="74"/>
      <c r="H267" s="74"/>
      <c r="I267" s="76">
        <v>1714</v>
      </c>
      <c r="J267" s="74">
        <v>715</v>
      </c>
      <c r="K267" s="74">
        <v>1040</v>
      </c>
      <c r="L267" s="74">
        <v>1676</v>
      </c>
      <c r="M267" s="74">
        <v>1285</v>
      </c>
      <c r="N267" s="74">
        <v>1434</v>
      </c>
      <c r="O267" s="74">
        <v>1436</v>
      </c>
      <c r="P267" s="74">
        <v>50</v>
      </c>
      <c r="Q267" s="74">
        <v>802</v>
      </c>
      <c r="R267" s="74">
        <v>1616</v>
      </c>
      <c r="S267" s="74">
        <v>1851</v>
      </c>
      <c r="T267" s="74">
        <v>1682</v>
      </c>
      <c r="U267" s="74">
        <v>1748</v>
      </c>
      <c r="V267" s="77"/>
      <c r="W267" s="74"/>
      <c r="X267" s="74"/>
      <c r="Y267" s="74"/>
      <c r="Z267" s="74"/>
    </row>
    <row r="268" spans="1:26" ht="15" customHeight="1">
      <c r="A268" s="74"/>
      <c r="B268" s="74" t="b">
        <f t="shared" si="4"/>
        <v>1</v>
      </c>
      <c r="C268" s="77">
        <v>2866635</v>
      </c>
      <c r="D268" s="74">
        <v>2866635</v>
      </c>
      <c r="E268" s="79" t="s">
        <v>704</v>
      </c>
      <c r="F268" s="74" t="s">
        <v>25</v>
      </c>
      <c r="G268" s="74"/>
      <c r="H268" s="74"/>
      <c r="I268" s="76">
        <v>2626</v>
      </c>
      <c r="J268" s="74">
        <v>1236</v>
      </c>
      <c r="K268" s="74">
        <v>1390</v>
      </c>
      <c r="L268" s="74">
        <v>1900</v>
      </c>
      <c r="M268" s="74">
        <v>1997</v>
      </c>
      <c r="N268" s="74">
        <v>1950</v>
      </c>
      <c r="O268" s="74">
        <v>1639</v>
      </c>
      <c r="P268" s="74">
        <v>1271</v>
      </c>
      <c r="Q268" s="74">
        <v>1639</v>
      </c>
      <c r="R268" s="74">
        <v>1946</v>
      </c>
      <c r="S268" s="74">
        <v>2149</v>
      </c>
      <c r="T268" s="74">
        <v>2192</v>
      </c>
      <c r="U268" s="74">
        <v>1535</v>
      </c>
      <c r="V268" s="77"/>
      <c r="W268" s="74"/>
      <c r="X268" s="74"/>
      <c r="Y268" s="74"/>
      <c r="Z268" s="74"/>
    </row>
    <row r="269" spans="1:26" ht="15" customHeight="1">
      <c r="A269" s="74"/>
      <c r="B269" s="74" t="b">
        <f t="shared" si="4"/>
        <v>1</v>
      </c>
      <c r="C269" s="77">
        <v>1276467</v>
      </c>
      <c r="D269" s="74">
        <v>1276467</v>
      </c>
      <c r="E269" s="79" t="s">
        <v>704</v>
      </c>
      <c r="F269" s="74" t="s">
        <v>25</v>
      </c>
      <c r="G269" s="74"/>
      <c r="H269" s="74"/>
      <c r="I269" s="76">
        <v>1435</v>
      </c>
      <c r="J269" s="74">
        <v>1635</v>
      </c>
      <c r="K269" s="74">
        <v>700</v>
      </c>
      <c r="L269" s="74">
        <v>897</v>
      </c>
      <c r="M269" s="74">
        <v>1306</v>
      </c>
      <c r="N269" s="74">
        <v>1429</v>
      </c>
      <c r="O269" s="74">
        <v>1443</v>
      </c>
      <c r="P269" s="74">
        <v>1081</v>
      </c>
      <c r="Q269" s="74">
        <v>879</v>
      </c>
      <c r="R269" s="74">
        <v>1023</v>
      </c>
      <c r="S269" s="74">
        <v>1324</v>
      </c>
      <c r="T269" s="74">
        <v>1578</v>
      </c>
      <c r="U269" s="74">
        <v>1316</v>
      </c>
      <c r="V269" s="77"/>
      <c r="W269" s="74"/>
      <c r="X269" s="74"/>
      <c r="Y269" s="74"/>
      <c r="Z269" s="74"/>
    </row>
    <row r="270" spans="1:26" ht="15" customHeight="1">
      <c r="A270" s="74"/>
      <c r="B270" s="74" t="b">
        <f t="shared" si="4"/>
        <v>1</v>
      </c>
      <c r="C270" s="77">
        <v>1349590</v>
      </c>
      <c r="D270" s="74">
        <v>1349590</v>
      </c>
      <c r="E270" s="79" t="s">
        <v>700</v>
      </c>
      <c r="F270" s="74" t="s">
        <v>25</v>
      </c>
      <c r="G270" s="74"/>
      <c r="H270" s="74"/>
      <c r="I270" s="76">
        <v>432</v>
      </c>
      <c r="J270" s="74">
        <v>471</v>
      </c>
      <c r="K270" s="74">
        <v>433</v>
      </c>
      <c r="L270" s="74">
        <v>582</v>
      </c>
      <c r="M270" s="74">
        <v>347</v>
      </c>
      <c r="N270" s="74">
        <v>806</v>
      </c>
      <c r="O270" s="74">
        <v>1036</v>
      </c>
      <c r="P270" s="74">
        <v>901</v>
      </c>
      <c r="Q270" s="74">
        <v>1064</v>
      </c>
      <c r="R270" s="74">
        <v>986</v>
      </c>
      <c r="S270" s="74">
        <v>1155</v>
      </c>
      <c r="T270" s="74">
        <v>1140</v>
      </c>
      <c r="U270" s="74">
        <v>1055</v>
      </c>
      <c r="V270" s="77"/>
      <c r="W270" s="74"/>
      <c r="X270" s="74"/>
      <c r="Y270" s="74"/>
      <c r="Z270" s="74"/>
    </row>
    <row r="271" spans="1:26" ht="15" customHeight="1">
      <c r="A271" s="74"/>
      <c r="B271" s="74" t="b">
        <f t="shared" si="4"/>
        <v>1</v>
      </c>
      <c r="C271" s="77">
        <v>1533610</v>
      </c>
      <c r="D271" s="74">
        <v>1533610</v>
      </c>
      <c r="E271" s="79" t="s">
        <v>704</v>
      </c>
      <c r="F271" s="74" t="s">
        <v>25</v>
      </c>
      <c r="G271" s="74"/>
      <c r="H271" s="74"/>
      <c r="I271" s="76">
        <v>2070</v>
      </c>
      <c r="J271" s="74">
        <v>2130</v>
      </c>
      <c r="K271" s="74">
        <v>840</v>
      </c>
      <c r="L271" s="74">
        <v>1520</v>
      </c>
      <c r="M271" s="74">
        <v>1710</v>
      </c>
      <c r="N271" s="74">
        <v>1740</v>
      </c>
      <c r="O271" s="74">
        <v>1620</v>
      </c>
      <c r="P271" s="74">
        <v>1290</v>
      </c>
      <c r="Q271" s="74">
        <v>1230</v>
      </c>
      <c r="R271" s="74">
        <v>1520</v>
      </c>
      <c r="S271" s="74">
        <v>1780</v>
      </c>
      <c r="T271" s="74">
        <v>1760</v>
      </c>
      <c r="U271" s="74">
        <v>1930</v>
      </c>
      <c r="V271" s="77"/>
      <c r="W271" s="74"/>
      <c r="X271" s="74"/>
      <c r="Y271" s="74"/>
      <c r="Z271" s="74"/>
    </row>
    <row r="272" spans="1:26" ht="15" customHeight="1">
      <c r="A272" s="74"/>
      <c r="B272" s="74" t="b">
        <f t="shared" si="4"/>
        <v>1</v>
      </c>
      <c r="C272" s="77">
        <v>10238</v>
      </c>
      <c r="D272" s="74">
        <v>10238</v>
      </c>
      <c r="E272" s="79" t="s">
        <v>704</v>
      </c>
      <c r="F272" s="74" t="s">
        <v>25</v>
      </c>
      <c r="G272" s="74"/>
      <c r="H272" s="74"/>
      <c r="I272" s="76">
        <v>3092</v>
      </c>
      <c r="J272" s="74">
        <v>2956</v>
      </c>
      <c r="K272" s="74">
        <v>1348</v>
      </c>
      <c r="L272" s="74">
        <v>2123</v>
      </c>
      <c r="M272" s="74">
        <v>2555</v>
      </c>
      <c r="N272" s="74">
        <v>1876</v>
      </c>
      <c r="O272" s="74">
        <v>2636</v>
      </c>
      <c r="P272" s="74">
        <v>2103</v>
      </c>
      <c r="Q272" s="74">
        <v>1948</v>
      </c>
      <c r="R272" s="74">
        <v>2413</v>
      </c>
      <c r="S272" s="74">
        <v>3148</v>
      </c>
      <c r="T272" s="74">
        <v>2979</v>
      </c>
      <c r="U272" s="74">
        <v>3160</v>
      </c>
      <c r="V272" s="77"/>
      <c r="W272" s="74"/>
      <c r="X272" s="74"/>
      <c r="Y272" s="74"/>
      <c r="Z272" s="74"/>
    </row>
    <row r="273" spans="1:26" ht="15" customHeight="1">
      <c r="A273" s="74"/>
      <c r="B273" s="74" t="b">
        <f t="shared" si="4"/>
        <v>1</v>
      </c>
      <c r="C273" s="77">
        <v>10235</v>
      </c>
      <c r="D273" s="74">
        <v>10235</v>
      </c>
      <c r="E273" s="79" t="s">
        <v>704</v>
      </c>
      <c r="F273" s="74" t="s">
        <v>25</v>
      </c>
      <c r="G273" s="74"/>
      <c r="H273" s="74"/>
      <c r="I273" s="76">
        <v>4190</v>
      </c>
      <c r="J273" s="74">
        <v>4694</v>
      </c>
      <c r="K273" s="74">
        <v>1514</v>
      </c>
      <c r="L273" s="74">
        <v>2878</v>
      </c>
      <c r="M273" s="74">
        <v>4281</v>
      </c>
      <c r="N273" s="74">
        <v>4160</v>
      </c>
      <c r="O273" s="74">
        <v>4235</v>
      </c>
      <c r="P273" s="74">
        <v>3216</v>
      </c>
      <c r="Q273" s="74">
        <v>3045</v>
      </c>
      <c r="R273" s="74">
        <v>3738</v>
      </c>
      <c r="S273" s="74">
        <v>4756</v>
      </c>
      <c r="T273" s="74">
        <v>4587</v>
      </c>
      <c r="U273" s="74">
        <v>4770</v>
      </c>
      <c r="V273" s="77"/>
      <c r="W273" s="74"/>
      <c r="X273" s="74"/>
      <c r="Y273" s="74"/>
      <c r="Z273" s="74"/>
    </row>
    <row r="274" spans="1:26" ht="15" customHeight="1">
      <c r="A274" s="74"/>
      <c r="B274" s="74" t="b">
        <f t="shared" si="4"/>
        <v>1</v>
      </c>
      <c r="C274" s="77">
        <v>10312</v>
      </c>
      <c r="D274" s="74">
        <v>10312</v>
      </c>
      <c r="E274" s="79" t="s">
        <v>732</v>
      </c>
      <c r="F274" s="74" t="s">
        <v>25</v>
      </c>
      <c r="G274" s="74"/>
      <c r="H274" s="74"/>
      <c r="I274" s="76">
        <v>50</v>
      </c>
      <c r="J274" s="74">
        <v>50</v>
      </c>
      <c r="K274" s="74">
        <v>50</v>
      </c>
      <c r="L274" s="74">
        <v>50</v>
      </c>
      <c r="M274" s="74">
        <v>50</v>
      </c>
      <c r="N274" s="74">
        <v>50</v>
      </c>
      <c r="O274" s="74">
        <v>50</v>
      </c>
      <c r="P274" s="74">
        <v>50</v>
      </c>
      <c r="Q274" s="74">
        <v>50</v>
      </c>
      <c r="R274" s="74">
        <v>50</v>
      </c>
      <c r="S274" s="74">
        <v>50</v>
      </c>
      <c r="T274" s="74">
        <v>50</v>
      </c>
      <c r="U274" s="74">
        <v>50</v>
      </c>
      <c r="V274" s="77"/>
      <c r="W274" s="74"/>
      <c r="X274" s="74"/>
      <c r="Y274" s="74"/>
      <c r="Z274" s="74"/>
    </row>
    <row r="275" spans="1:26" ht="15" customHeight="1">
      <c r="A275" s="74"/>
      <c r="B275" s="74" t="b">
        <f t="shared" si="4"/>
        <v>1</v>
      </c>
      <c r="C275" s="77">
        <v>10356</v>
      </c>
      <c r="D275" s="74">
        <v>10356</v>
      </c>
      <c r="E275" s="79" t="s">
        <v>704</v>
      </c>
      <c r="F275" s="74" t="s">
        <v>25</v>
      </c>
      <c r="G275" s="74"/>
      <c r="H275" s="74"/>
      <c r="I275" s="76">
        <v>907</v>
      </c>
      <c r="J275" s="74">
        <v>882</v>
      </c>
      <c r="K275" s="74">
        <v>372</v>
      </c>
      <c r="L275" s="74">
        <v>641</v>
      </c>
      <c r="M275" s="74">
        <v>852</v>
      </c>
      <c r="N275" s="74">
        <v>875</v>
      </c>
      <c r="O275" s="74">
        <v>935</v>
      </c>
      <c r="P275" s="74">
        <v>726</v>
      </c>
      <c r="Q275" s="74">
        <v>699</v>
      </c>
      <c r="R275" s="74">
        <v>779</v>
      </c>
      <c r="S275" s="74">
        <v>761</v>
      </c>
      <c r="T275" s="74">
        <v>935</v>
      </c>
      <c r="U275" s="74">
        <v>1018</v>
      </c>
      <c r="V275" s="77"/>
      <c r="W275" s="74"/>
      <c r="X275" s="74"/>
      <c r="Y275" s="74"/>
      <c r="Z275" s="74"/>
    </row>
    <row r="276" spans="1:26" ht="15" customHeight="1">
      <c r="A276" s="74"/>
      <c r="B276" s="74" t="b">
        <f t="shared" si="4"/>
        <v>1</v>
      </c>
      <c r="C276" s="77">
        <v>4043779</v>
      </c>
      <c r="D276" s="74">
        <v>4043779</v>
      </c>
      <c r="E276" s="79" t="s">
        <v>732</v>
      </c>
      <c r="F276" s="74" t="s">
        <v>25</v>
      </c>
      <c r="G276" s="74"/>
      <c r="H276" s="74"/>
      <c r="I276" s="76">
        <v>760</v>
      </c>
      <c r="J276" s="74">
        <v>649</v>
      </c>
      <c r="K276" s="74">
        <v>334</v>
      </c>
      <c r="L276" s="74">
        <v>605</v>
      </c>
      <c r="M276" s="74">
        <v>848</v>
      </c>
      <c r="N276" s="74">
        <v>827</v>
      </c>
      <c r="O276" s="74">
        <v>783</v>
      </c>
      <c r="P276" s="74">
        <v>677</v>
      </c>
      <c r="Q276" s="74">
        <v>628</v>
      </c>
      <c r="R276" s="74">
        <v>749</v>
      </c>
      <c r="S276" s="74">
        <v>1306</v>
      </c>
      <c r="T276" s="74">
        <v>1594</v>
      </c>
      <c r="U276" s="74">
        <v>1777</v>
      </c>
      <c r="V276" s="77"/>
      <c r="W276" s="74"/>
      <c r="X276" s="74"/>
      <c r="Y276" s="74"/>
      <c r="Z276" s="74"/>
    </row>
    <row r="277" spans="1:26" ht="15" customHeight="1">
      <c r="A277" s="74"/>
      <c r="B277" s="74" t="b">
        <f t="shared" si="4"/>
        <v>1</v>
      </c>
      <c r="C277" s="77">
        <v>3971447</v>
      </c>
      <c r="D277" s="74">
        <v>3971447</v>
      </c>
      <c r="E277" s="79" t="s">
        <v>700</v>
      </c>
      <c r="F277" s="74" t="s">
        <v>25</v>
      </c>
      <c r="G277" s="74"/>
      <c r="H277" s="74"/>
      <c r="I277" s="76">
        <v>450</v>
      </c>
      <c r="J277" s="74">
        <v>469</v>
      </c>
      <c r="K277" s="74">
        <v>218</v>
      </c>
      <c r="L277" s="74">
        <v>350</v>
      </c>
      <c r="M277" s="74">
        <v>455</v>
      </c>
      <c r="N277" s="74">
        <v>488</v>
      </c>
      <c r="O277" s="74">
        <v>433</v>
      </c>
      <c r="P277" s="74">
        <v>333</v>
      </c>
      <c r="Q277" s="74">
        <v>317</v>
      </c>
      <c r="R277" s="74">
        <v>365</v>
      </c>
      <c r="S277" s="74">
        <v>523</v>
      </c>
      <c r="T277" s="74">
        <v>455</v>
      </c>
      <c r="U277" s="74">
        <v>467</v>
      </c>
      <c r="V277" s="77"/>
      <c r="W277" s="74"/>
      <c r="X277" s="74"/>
      <c r="Y277" s="74"/>
      <c r="Z277" s="74"/>
    </row>
    <row r="278" spans="1:26" ht="15" customHeight="1">
      <c r="A278" s="74"/>
      <c r="B278" s="74" t="b">
        <f t="shared" si="4"/>
        <v>1</v>
      </c>
      <c r="C278" s="77">
        <v>3655170</v>
      </c>
      <c r="D278" s="74">
        <v>3655170</v>
      </c>
      <c r="E278" s="79" t="s">
        <v>732</v>
      </c>
      <c r="F278" s="74" t="s">
        <v>25</v>
      </c>
      <c r="G278" s="74"/>
      <c r="H278" s="74"/>
      <c r="I278" s="76">
        <v>172</v>
      </c>
      <c r="J278" s="74">
        <v>155</v>
      </c>
      <c r="K278" s="74">
        <v>135</v>
      </c>
      <c r="L278" s="74">
        <v>158</v>
      </c>
      <c r="M278" s="74">
        <v>154</v>
      </c>
      <c r="N278" s="74">
        <v>198</v>
      </c>
      <c r="O278" s="74">
        <v>173</v>
      </c>
      <c r="P278" s="74">
        <v>155</v>
      </c>
      <c r="Q278" s="74">
        <v>242</v>
      </c>
      <c r="R278" s="74">
        <v>242</v>
      </c>
      <c r="S278" s="74">
        <v>242</v>
      </c>
      <c r="T278" s="74">
        <v>274</v>
      </c>
      <c r="U278" s="74">
        <v>185</v>
      </c>
      <c r="V278" s="77"/>
      <c r="W278" s="74"/>
      <c r="X278" s="74"/>
      <c r="Y278" s="74"/>
      <c r="Z278" s="74"/>
    </row>
    <row r="279" spans="1:26" ht="15" customHeight="1">
      <c r="A279" s="74"/>
      <c r="B279" s="74" t="b">
        <f t="shared" si="4"/>
        <v>1</v>
      </c>
      <c r="C279" s="77">
        <v>7567808</v>
      </c>
      <c r="D279" s="74">
        <v>7567808</v>
      </c>
      <c r="E279" s="79" t="s">
        <v>732</v>
      </c>
      <c r="F279" s="74" t="s">
        <v>25</v>
      </c>
      <c r="G279" s="74"/>
      <c r="H279" s="74"/>
      <c r="I279" s="76">
        <v>443</v>
      </c>
      <c r="J279" s="74">
        <v>454</v>
      </c>
      <c r="K279" s="74">
        <v>183</v>
      </c>
      <c r="L279" s="74">
        <v>304</v>
      </c>
      <c r="M279" s="74">
        <v>421</v>
      </c>
      <c r="N279" s="74">
        <v>423</v>
      </c>
      <c r="O279" s="74">
        <v>384</v>
      </c>
      <c r="P279" s="74">
        <v>340</v>
      </c>
      <c r="Q279" s="74">
        <v>333</v>
      </c>
      <c r="R279" s="74">
        <v>359</v>
      </c>
      <c r="S279" s="74">
        <v>431</v>
      </c>
      <c r="T279" s="74">
        <v>395</v>
      </c>
      <c r="U279" s="74">
        <v>456</v>
      </c>
      <c r="V279" s="77"/>
      <c r="W279" s="74"/>
      <c r="X279" s="74"/>
      <c r="Y279" s="74"/>
      <c r="Z279" s="74"/>
    </row>
    <row r="280" spans="1:26" ht="15" customHeight="1">
      <c r="A280" s="74"/>
      <c r="B280" s="74" t="b">
        <f t="shared" si="4"/>
        <v>1</v>
      </c>
      <c r="C280" s="77">
        <v>7999665</v>
      </c>
      <c r="D280" s="74">
        <v>7999665</v>
      </c>
      <c r="E280" s="79" t="s">
        <v>704</v>
      </c>
      <c r="F280" s="74" t="s">
        <v>25</v>
      </c>
      <c r="G280" s="74"/>
      <c r="H280" s="74"/>
      <c r="I280" s="76">
        <v>1081</v>
      </c>
      <c r="J280" s="74">
        <v>1100</v>
      </c>
      <c r="K280" s="74">
        <v>731</v>
      </c>
      <c r="L280" s="74">
        <v>1068</v>
      </c>
      <c r="M280" s="74">
        <v>1373</v>
      </c>
      <c r="N280" s="74">
        <v>1303</v>
      </c>
      <c r="O280" s="74">
        <v>1274</v>
      </c>
      <c r="P280" s="74">
        <v>762</v>
      </c>
      <c r="Q280" s="74">
        <v>679</v>
      </c>
      <c r="R280" s="74">
        <v>980</v>
      </c>
      <c r="S280" s="74">
        <v>1462</v>
      </c>
      <c r="T280" s="74">
        <v>1161</v>
      </c>
      <c r="U280" s="74">
        <v>1302</v>
      </c>
      <c r="V280" s="77"/>
      <c r="W280" s="74"/>
      <c r="X280" s="74"/>
      <c r="Y280" s="74"/>
      <c r="Z280" s="74"/>
    </row>
    <row r="281" spans="1:26" ht="15" customHeight="1">
      <c r="A281" s="74"/>
      <c r="B281" s="74" t="b">
        <f t="shared" si="4"/>
        <v>1</v>
      </c>
      <c r="C281" s="77">
        <v>8433361</v>
      </c>
      <c r="D281" s="74">
        <v>8433361</v>
      </c>
      <c r="E281" s="79" t="s">
        <v>732</v>
      </c>
      <c r="F281" s="74" t="s">
        <v>25</v>
      </c>
      <c r="G281" s="74"/>
      <c r="H281" s="74"/>
      <c r="I281" s="76">
        <v>310</v>
      </c>
      <c r="J281" s="74">
        <v>329</v>
      </c>
      <c r="K281" s="74">
        <v>146</v>
      </c>
      <c r="L281" s="74">
        <v>210</v>
      </c>
      <c r="M281" s="74">
        <v>269</v>
      </c>
      <c r="N281" s="74">
        <v>261</v>
      </c>
      <c r="O281" s="74">
        <v>254</v>
      </c>
      <c r="P281" s="74">
        <v>169</v>
      </c>
      <c r="Q281" s="74">
        <v>173</v>
      </c>
      <c r="R281" s="74">
        <v>237</v>
      </c>
      <c r="S281" s="74">
        <v>323</v>
      </c>
      <c r="T281" s="74">
        <v>312</v>
      </c>
      <c r="U281" s="74">
        <v>342</v>
      </c>
      <c r="V281" s="77"/>
      <c r="W281" s="74"/>
      <c r="X281" s="74"/>
      <c r="Y281" s="74"/>
      <c r="Z281" s="74"/>
    </row>
    <row r="282" spans="1:26" ht="15" customHeight="1">
      <c r="A282" s="74"/>
      <c r="B282" s="74" t="b">
        <f t="shared" si="4"/>
        <v>1</v>
      </c>
      <c r="C282" s="77">
        <v>8433457</v>
      </c>
      <c r="D282" s="74">
        <v>8433457</v>
      </c>
      <c r="E282" s="79" t="s">
        <v>700</v>
      </c>
      <c r="F282" s="74" t="s">
        <v>25</v>
      </c>
      <c r="G282" s="74"/>
      <c r="H282" s="74"/>
      <c r="I282" s="76">
        <v>121</v>
      </c>
      <c r="J282" s="74">
        <v>120</v>
      </c>
      <c r="K282" s="74">
        <v>30</v>
      </c>
      <c r="L282" s="74">
        <v>71</v>
      </c>
      <c r="M282" s="74">
        <v>105</v>
      </c>
      <c r="N282" s="74">
        <v>112</v>
      </c>
      <c r="O282" s="74">
        <v>110</v>
      </c>
      <c r="P282" s="74">
        <v>96</v>
      </c>
      <c r="Q282" s="74">
        <v>75</v>
      </c>
      <c r="R282" s="74">
        <v>110</v>
      </c>
      <c r="S282" s="74">
        <v>123</v>
      </c>
      <c r="T282" s="74">
        <v>104</v>
      </c>
      <c r="U282" s="74">
        <v>114</v>
      </c>
      <c r="V282" s="77"/>
      <c r="W282" s="74"/>
      <c r="X282" s="74"/>
      <c r="Y282" s="74"/>
      <c r="Z282" s="74"/>
    </row>
    <row r="283" spans="1:26" ht="15" customHeight="1">
      <c r="A283" s="74"/>
      <c r="B283" s="74" t="b">
        <f t="shared" si="4"/>
        <v>1</v>
      </c>
      <c r="C283" s="77">
        <v>6627286</v>
      </c>
      <c r="D283" s="74">
        <v>6627286</v>
      </c>
      <c r="E283" s="79" t="s">
        <v>704</v>
      </c>
      <c r="F283" s="74" t="s">
        <v>25</v>
      </c>
      <c r="G283" s="74"/>
      <c r="H283" s="74"/>
      <c r="I283" s="76">
        <v>2797</v>
      </c>
      <c r="J283" s="74">
        <v>2476</v>
      </c>
      <c r="K283" s="74">
        <v>645</v>
      </c>
      <c r="L283" s="74">
        <v>2518</v>
      </c>
      <c r="M283" s="74">
        <v>2346</v>
      </c>
      <c r="N283" s="74">
        <v>2315</v>
      </c>
      <c r="O283" s="74">
        <v>1873</v>
      </c>
      <c r="P283" s="74">
        <v>1523</v>
      </c>
      <c r="Q283" s="74">
        <v>1327</v>
      </c>
      <c r="R283" s="74">
        <v>1883</v>
      </c>
      <c r="S283" s="74">
        <v>2185</v>
      </c>
      <c r="T283" s="74">
        <v>1793</v>
      </c>
      <c r="U283" s="74">
        <v>2076</v>
      </c>
      <c r="V283" s="77"/>
      <c r="W283" s="74"/>
      <c r="X283" s="74"/>
      <c r="Y283" s="74"/>
      <c r="Z283" s="74"/>
    </row>
    <row r="284" spans="1:26" ht="15" customHeight="1">
      <c r="A284" s="74"/>
      <c r="B284" s="74" t="b">
        <f t="shared" si="4"/>
        <v>1</v>
      </c>
      <c r="C284" s="77">
        <v>10259</v>
      </c>
      <c r="D284" s="74">
        <v>10259</v>
      </c>
      <c r="E284" s="79" t="s">
        <v>732</v>
      </c>
      <c r="F284" s="74" t="s">
        <v>25</v>
      </c>
      <c r="G284" s="74"/>
      <c r="H284" s="74"/>
      <c r="I284" s="76">
        <v>1519</v>
      </c>
      <c r="J284" s="74">
        <v>1445</v>
      </c>
      <c r="K284" s="74">
        <v>708</v>
      </c>
      <c r="L284" s="74">
        <v>1927</v>
      </c>
      <c r="M284" s="74">
        <v>135</v>
      </c>
      <c r="N284" s="74">
        <v>126</v>
      </c>
      <c r="O284" s="74">
        <v>3846</v>
      </c>
      <c r="P284" s="74">
        <v>204</v>
      </c>
      <c r="Q284" s="74">
        <v>1075</v>
      </c>
      <c r="R284" s="74">
        <v>1384</v>
      </c>
      <c r="S284" s="74">
        <v>1391</v>
      </c>
      <c r="T284" s="74">
        <v>1387</v>
      </c>
      <c r="U284" s="74">
        <v>1639</v>
      </c>
      <c r="V284" s="77"/>
      <c r="W284" s="74"/>
      <c r="X284" s="74"/>
      <c r="Y284" s="74"/>
      <c r="Z284" s="74"/>
    </row>
    <row r="285" spans="1:26" ht="15" customHeight="1">
      <c r="A285" s="74"/>
      <c r="B285" s="74" t="b">
        <f t="shared" si="4"/>
        <v>1</v>
      </c>
      <c r="C285" s="77">
        <v>10321</v>
      </c>
      <c r="D285" s="74">
        <v>10321</v>
      </c>
      <c r="E285" s="79" t="s">
        <v>704</v>
      </c>
      <c r="F285" s="74" t="s">
        <v>25</v>
      </c>
      <c r="G285" s="74"/>
      <c r="H285" s="74"/>
      <c r="I285" s="76">
        <v>373</v>
      </c>
      <c r="J285" s="74">
        <v>378</v>
      </c>
      <c r="K285" s="74">
        <v>429</v>
      </c>
      <c r="L285" s="74">
        <v>455</v>
      </c>
      <c r="M285" s="74">
        <v>453</v>
      </c>
      <c r="N285" s="74">
        <v>394</v>
      </c>
      <c r="O285" s="74">
        <v>426</v>
      </c>
      <c r="P285" s="74">
        <v>383</v>
      </c>
      <c r="Q285" s="74">
        <v>505</v>
      </c>
      <c r="R285" s="74">
        <v>493</v>
      </c>
      <c r="S285" s="74">
        <v>236</v>
      </c>
      <c r="T285" s="74">
        <v>315</v>
      </c>
      <c r="U285" s="74">
        <v>192</v>
      </c>
      <c r="V285" s="77"/>
      <c r="W285" s="74"/>
      <c r="X285" s="74"/>
      <c r="Y285" s="74"/>
      <c r="Z285" s="74"/>
    </row>
    <row r="286" spans="1:26" ht="15" customHeight="1">
      <c r="A286" s="74"/>
      <c r="B286" s="74" t="b">
        <f t="shared" si="4"/>
        <v>1</v>
      </c>
      <c r="C286" s="77">
        <v>24499</v>
      </c>
      <c r="D286" s="74">
        <v>24499</v>
      </c>
      <c r="E286" s="79" t="s">
        <v>704</v>
      </c>
      <c r="F286" s="74" t="s">
        <v>25</v>
      </c>
      <c r="G286" s="74"/>
      <c r="H286" s="74"/>
      <c r="I286" s="76">
        <v>1095</v>
      </c>
      <c r="J286" s="74">
        <v>883</v>
      </c>
      <c r="K286" s="74">
        <v>620</v>
      </c>
      <c r="L286" s="74">
        <v>1015</v>
      </c>
      <c r="M286" s="74">
        <v>1294</v>
      </c>
      <c r="N286" s="74">
        <v>1063</v>
      </c>
      <c r="O286" s="74">
        <v>990</v>
      </c>
      <c r="P286" s="74">
        <v>840</v>
      </c>
      <c r="Q286" s="74">
        <v>1728</v>
      </c>
      <c r="R286" s="74">
        <v>1973</v>
      </c>
      <c r="S286" s="74">
        <v>1489</v>
      </c>
      <c r="T286" s="74">
        <v>1367</v>
      </c>
      <c r="U286" s="74">
        <v>1441</v>
      </c>
      <c r="V286" s="77"/>
      <c r="W286" s="74"/>
      <c r="X286" s="74"/>
      <c r="Y286" s="74"/>
      <c r="Z286" s="74"/>
    </row>
    <row r="287" spans="1:26" ht="15" customHeight="1">
      <c r="A287" s="74"/>
      <c r="B287" s="74" t="b">
        <f t="shared" si="4"/>
        <v>1</v>
      </c>
      <c r="C287" s="77">
        <v>2541910</v>
      </c>
      <c r="D287" s="74">
        <v>2541910</v>
      </c>
      <c r="E287" s="79" t="s">
        <v>704</v>
      </c>
      <c r="F287" s="74" t="s">
        <v>25</v>
      </c>
      <c r="G287" s="74"/>
      <c r="H287" s="74"/>
      <c r="I287" s="76">
        <v>3080</v>
      </c>
      <c r="J287" s="74">
        <v>3040</v>
      </c>
      <c r="K287" s="74">
        <v>680</v>
      </c>
      <c r="L287" s="74">
        <v>2580</v>
      </c>
      <c r="M287" s="74">
        <v>2346</v>
      </c>
      <c r="N287" s="74">
        <v>1701</v>
      </c>
      <c r="O287" s="74">
        <v>1601</v>
      </c>
      <c r="P287" s="74">
        <v>1634</v>
      </c>
      <c r="Q287" s="74">
        <v>100</v>
      </c>
      <c r="R287" s="74">
        <v>100</v>
      </c>
      <c r="S287" s="74">
        <v>100</v>
      </c>
      <c r="T287" s="74">
        <v>100</v>
      </c>
      <c r="U287" s="74">
        <v>100</v>
      </c>
      <c r="V287" s="77"/>
      <c r="W287" s="74"/>
      <c r="X287" s="74"/>
      <c r="Y287" s="74"/>
      <c r="Z287" s="74"/>
    </row>
    <row r="288" spans="1:26" ht="15" customHeight="1">
      <c r="A288" s="74"/>
      <c r="B288" s="74" t="b">
        <f t="shared" si="4"/>
        <v>1</v>
      </c>
      <c r="C288" s="77">
        <v>3021104</v>
      </c>
      <c r="D288" s="74">
        <v>3021104</v>
      </c>
      <c r="E288" s="79" t="s">
        <v>704</v>
      </c>
      <c r="F288" s="74" t="s">
        <v>25</v>
      </c>
      <c r="G288" s="74"/>
      <c r="H288" s="74"/>
      <c r="I288" s="76">
        <v>1178</v>
      </c>
      <c r="J288" s="74">
        <v>999</v>
      </c>
      <c r="K288" s="74">
        <v>433</v>
      </c>
      <c r="L288" s="74">
        <v>776</v>
      </c>
      <c r="M288" s="74">
        <v>981</v>
      </c>
      <c r="N288" s="74">
        <v>902</v>
      </c>
      <c r="O288" s="74">
        <v>932</v>
      </c>
      <c r="P288" s="74">
        <v>827</v>
      </c>
      <c r="Q288" s="74">
        <v>816</v>
      </c>
      <c r="R288" s="74">
        <v>1078</v>
      </c>
      <c r="S288" s="74">
        <v>1067</v>
      </c>
      <c r="T288" s="74">
        <v>1101</v>
      </c>
      <c r="U288" s="74">
        <v>1106</v>
      </c>
      <c r="V288" s="77"/>
      <c r="W288" s="74"/>
      <c r="X288" s="74"/>
      <c r="Y288" s="74"/>
      <c r="Z288" s="74"/>
    </row>
    <row r="289" spans="1:26" ht="15" customHeight="1">
      <c r="A289" s="74"/>
      <c r="B289" s="74" t="b">
        <f t="shared" si="4"/>
        <v>1</v>
      </c>
      <c r="C289" s="77">
        <v>2811648</v>
      </c>
      <c r="D289" s="74">
        <v>2811648</v>
      </c>
      <c r="E289" s="79" t="s">
        <v>704</v>
      </c>
      <c r="F289" s="74" t="s">
        <v>25</v>
      </c>
      <c r="G289" s="74"/>
      <c r="H289" s="74"/>
      <c r="I289" s="76">
        <v>2607</v>
      </c>
      <c r="J289" s="74">
        <v>2267</v>
      </c>
      <c r="K289" s="74">
        <v>832</v>
      </c>
      <c r="L289" s="74">
        <v>2028</v>
      </c>
      <c r="M289" s="74">
        <v>2628</v>
      </c>
      <c r="N289" s="74">
        <v>2538</v>
      </c>
      <c r="O289" s="74">
        <v>2669</v>
      </c>
      <c r="P289" s="74">
        <v>2129</v>
      </c>
      <c r="Q289" s="74">
        <v>1803</v>
      </c>
      <c r="R289" s="74">
        <v>2737</v>
      </c>
      <c r="S289" s="74">
        <v>3042</v>
      </c>
      <c r="T289" s="74">
        <v>2919</v>
      </c>
      <c r="U289" s="74">
        <v>3309</v>
      </c>
      <c r="V289" s="77"/>
      <c r="W289" s="74"/>
      <c r="X289" s="74"/>
      <c r="Y289" s="74"/>
      <c r="Z289" s="74"/>
    </row>
    <row r="290" spans="1:26" ht="15" customHeight="1">
      <c r="A290" s="74"/>
      <c r="B290" s="74" t="b">
        <f t="shared" si="4"/>
        <v>1</v>
      </c>
      <c r="C290" s="77">
        <v>3808176</v>
      </c>
      <c r="D290" s="74">
        <v>3808176</v>
      </c>
      <c r="E290" s="79" t="s">
        <v>704</v>
      </c>
      <c r="F290" s="74" t="s">
        <v>25</v>
      </c>
      <c r="G290" s="74"/>
      <c r="H290" s="74"/>
      <c r="I290" s="76">
        <v>141</v>
      </c>
      <c r="J290" s="74">
        <v>180</v>
      </c>
      <c r="K290" s="74">
        <v>190</v>
      </c>
      <c r="L290" s="74">
        <v>230</v>
      </c>
      <c r="M290" s="74">
        <v>188</v>
      </c>
      <c r="N290" s="74">
        <v>180</v>
      </c>
      <c r="O290" s="74">
        <v>171</v>
      </c>
      <c r="P290" s="74">
        <v>177</v>
      </c>
      <c r="Q290" s="74">
        <v>191</v>
      </c>
      <c r="R290" s="74">
        <v>195</v>
      </c>
      <c r="S290" s="74">
        <v>200</v>
      </c>
      <c r="T290" s="74">
        <v>196</v>
      </c>
      <c r="U290" s="74">
        <v>199</v>
      </c>
      <c r="V290" s="77"/>
      <c r="W290" s="74"/>
      <c r="X290" s="74"/>
      <c r="Y290" s="74"/>
      <c r="Z290" s="74"/>
    </row>
    <row r="291" spans="1:26" ht="15" customHeight="1">
      <c r="A291" s="74"/>
      <c r="B291" s="74" t="b">
        <f t="shared" si="4"/>
        <v>1</v>
      </c>
      <c r="C291" s="77">
        <v>3177251</v>
      </c>
      <c r="D291" s="74">
        <v>3177251</v>
      </c>
      <c r="E291" s="79" t="s">
        <v>704</v>
      </c>
      <c r="F291" s="74" t="s">
        <v>25</v>
      </c>
      <c r="G291" s="74"/>
      <c r="H291" s="74"/>
      <c r="I291" s="76">
        <v>897</v>
      </c>
      <c r="J291" s="74">
        <v>812</v>
      </c>
      <c r="K291" s="74">
        <v>318</v>
      </c>
      <c r="L291" s="74">
        <v>551</v>
      </c>
      <c r="M291" s="74">
        <v>485</v>
      </c>
      <c r="N291" s="74">
        <v>100</v>
      </c>
      <c r="O291" s="74">
        <v>391</v>
      </c>
      <c r="P291" s="74">
        <v>325</v>
      </c>
      <c r="Q291" s="74">
        <v>296</v>
      </c>
      <c r="R291" s="74">
        <v>356</v>
      </c>
      <c r="S291" s="74">
        <v>418</v>
      </c>
      <c r="T291" s="74">
        <v>394</v>
      </c>
      <c r="U291" s="74">
        <v>583</v>
      </c>
      <c r="V291" s="77"/>
      <c r="W291" s="74"/>
      <c r="X291" s="74"/>
      <c r="Y291" s="74"/>
      <c r="Z291" s="74"/>
    </row>
    <row r="292" spans="1:26" ht="15" customHeight="1">
      <c r="A292" s="74"/>
      <c r="B292" s="74" t="b">
        <f t="shared" si="4"/>
        <v>1</v>
      </c>
      <c r="C292" s="77">
        <v>24021</v>
      </c>
      <c r="D292" s="74">
        <v>24021</v>
      </c>
      <c r="E292" s="79" t="s">
        <v>704</v>
      </c>
      <c r="F292" s="74" t="s">
        <v>25</v>
      </c>
      <c r="G292" s="74"/>
      <c r="H292" s="74"/>
      <c r="I292" s="76">
        <v>4083</v>
      </c>
      <c r="J292" s="74">
        <v>4165</v>
      </c>
      <c r="K292" s="74">
        <v>1638</v>
      </c>
      <c r="L292" s="74">
        <v>2971</v>
      </c>
      <c r="M292" s="74">
        <v>3445</v>
      </c>
      <c r="N292" s="74">
        <v>3512</v>
      </c>
      <c r="O292" s="74">
        <v>3218</v>
      </c>
      <c r="P292" s="74">
        <v>3081</v>
      </c>
      <c r="Q292" s="74">
        <v>2318</v>
      </c>
      <c r="R292" s="74">
        <v>3231</v>
      </c>
      <c r="S292" s="74">
        <v>3294</v>
      </c>
      <c r="T292" s="74">
        <v>3403</v>
      </c>
      <c r="U292" s="74">
        <v>3871</v>
      </c>
      <c r="V292" s="77"/>
      <c r="W292" s="74"/>
      <c r="X292" s="74"/>
      <c r="Y292" s="74"/>
      <c r="Z292" s="74"/>
    </row>
    <row r="293" spans="1:26" ht="15" customHeight="1">
      <c r="A293" s="74"/>
      <c r="B293" s="74" t="b">
        <f t="shared" si="4"/>
        <v>1</v>
      </c>
      <c r="C293" s="77">
        <v>20839</v>
      </c>
      <c r="D293" s="74">
        <v>20839</v>
      </c>
      <c r="E293" s="79" t="s">
        <v>704</v>
      </c>
      <c r="F293" s="74" t="s">
        <v>25</v>
      </c>
      <c r="G293" s="74"/>
      <c r="H293" s="74"/>
      <c r="I293" s="76">
        <v>2512</v>
      </c>
      <c r="J293" s="74">
        <v>2544</v>
      </c>
      <c r="K293" s="74">
        <v>905</v>
      </c>
      <c r="L293" s="74">
        <v>1553</v>
      </c>
      <c r="M293" s="74">
        <v>2081</v>
      </c>
      <c r="N293" s="74">
        <v>2548</v>
      </c>
      <c r="O293" s="74">
        <v>2367</v>
      </c>
      <c r="P293" s="74">
        <v>1996</v>
      </c>
      <c r="Q293" s="74">
        <v>1523</v>
      </c>
      <c r="R293" s="74">
        <v>2659</v>
      </c>
      <c r="S293" s="74">
        <v>3172</v>
      </c>
      <c r="T293" s="74">
        <v>3265</v>
      </c>
      <c r="U293" s="74">
        <v>3128</v>
      </c>
      <c r="V293" s="77"/>
      <c r="W293" s="74"/>
      <c r="X293" s="74"/>
      <c r="Y293" s="74"/>
      <c r="Z293" s="74"/>
    </row>
    <row r="294" spans="1:26" ht="15" customHeight="1">
      <c r="A294" s="74"/>
      <c r="B294" s="74" t="b">
        <f t="shared" si="4"/>
        <v>1</v>
      </c>
      <c r="C294" s="77">
        <v>3192881</v>
      </c>
      <c r="D294" s="74">
        <v>3192881</v>
      </c>
      <c r="E294" s="79" t="s">
        <v>704</v>
      </c>
      <c r="F294" s="74" t="s">
        <v>25</v>
      </c>
      <c r="G294" s="74"/>
      <c r="H294" s="74"/>
      <c r="I294" s="76">
        <v>1868</v>
      </c>
      <c r="J294" s="74">
        <v>1769</v>
      </c>
      <c r="K294" s="74">
        <v>1060</v>
      </c>
      <c r="L294" s="74">
        <v>1480</v>
      </c>
      <c r="M294" s="74">
        <v>1818</v>
      </c>
      <c r="N294" s="74">
        <v>1876</v>
      </c>
      <c r="O294" s="74">
        <v>1704</v>
      </c>
      <c r="P294" s="74">
        <v>1494</v>
      </c>
      <c r="Q294" s="74">
        <v>1291</v>
      </c>
      <c r="R294" s="74">
        <v>1638</v>
      </c>
      <c r="S294" s="74">
        <v>1767</v>
      </c>
      <c r="T294" s="74">
        <v>1384</v>
      </c>
      <c r="U294" s="74">
        <v>1824</v>
      </c>
      <c r="V294" s="77"/>
      <c r="W294" s="74"/>
      <c r="X294" s="74"/>
      <c r="Y294" s="74"/>
      <c r="Z294" s="74"/>
    </row>
    <row r="295" spans="1:26" ht="15" customHeight="1">
      <c r="A295" s="74"/>
      <c r="B295" s="74" t="b">
        <f t="shared" si="4"/>
        <v>1</v>
      </c>
      <c r="C295" s="77">
        <v>25432</v>
      </c>
      <c r="D295" s="74">
        <v>25432</v>
      </c>
      <c r="E295" s="79" t="s">
        <v>732</v>
      </c>
      <c r="F295" s="74" t="s">
        <v>25</v>
      </c>
      <c r="G295" s="74"/>
      <c r="H295" s="74"/>
      <c r="I295" s="76">
        <v>795</v>
      </c>
      <c r="J295" s="74">
        <v>797</v>
      </c>
      <c r="K295" s="74">
        <v>548</v>
      </c>
      <c r="L295" s="74">
        <v>709</v>
      </c>
      <c r="M295" s="74">
        <v>939</v>
      </c>
      <c r="N295" s="74">
        <v>960</v>
      </c>
      <c r="O295" s="74">
        <v>927</v>
      </c>
      <c r="P295" s="74">
        <v>920</v>
      </c>
      <c r="Q295" s="74">
        <v>808</v>
      </c>
      <c r="R295" s="74">
        <v>955</v>
      </c>
      <c r="S295" s="74">
        <v>980</v>
      </c>
      <c r="T295" s="74">
        <v>992</v>
      </c>
      <c r="U295" s="74">
        <v>1019</v>
      </c>
      <c r="V295" s="77"/>
      <c r="W295" s="74"/>
      <c r="X295" s="74"/>
      <c r="Y295" s="74"/>
      <c r="Z295" s="74"/>
    </row>
    <row r="296" spans="1:26" ht="15" customHeight="1">
      <c r="A296" s="74"/>
      <c r="B296" s="74" t="b">
        <f t="shared" si="4"/>
        <v>1</v>
      </c>
      <c r="C296" s="77">
        <v>10360</v>
      </c>
      <c r="D296" s="74">
        <v>10360</v>
      </c>
      <c r="E296" s="79" t="s">
        <v>704</v>
      </c>
      <c r="F296" s="74" t="s">
        <v>25</v>
      </c>
      <c r="G296" s="74"/>
      <c r="H296" s="74"/>
      <c r="I296" s="76">
        <v>2181</v>
      </c>
      <c r="J296" s="74">
        <v>2064</v>
      </c>
      <c r="K296" s="74">
        <v>825</v>
      </c>
      <c r="L296" s="74">
        <v>1212</v>
      </c>
      <c r="M296" s="74">
        <v>1445</v>
      </c>
      <c r="N296" s="74">
        <v>1545</v>
      </c>
      <c r="O296" s="74">
        <v>1596</v>
      </c>
      <c r="P296" s="74">
        <v>1447</v>
      </c>
      <c r="Q296" s="74">
        <v>1139</v>
      </c>
      <c r="R296" s="74">
        <v>1641</v>
      </c>
      <c r="S296" s="74">
        <v>1832</v>
      </c>
      <c r="T296" s="74">
        <v>1820</v>
      </c>
      <c r="U296" s="74">
        <v>2007</v>
      </c>
      <c r="V296" s="77"/>
      <c r="W296" s="74"/>
      <c r="X296" s="74"/>
      <c r="Y296" s="74"/>
      <c r="Z296" s="74"/>
    </row>
    <row r="297" spans="1:26" ht="15" customHeight="1">
      <c r="A297" s="74"/>
      <c r="B297" s="74" t="b">
        <f t="shared" si="4"/>
        <v>1</v>
      </c>
      <c r="C297" s="77">
        <v>10328</v>
      </c>
      <c r="D297" s="74">
        <v>10328</v>
      </c>
      <c r="E297" s="79" t="s">
        <v>704</v>
      </c>
      <c r="F297" s="74" t="s">
        <v>25</v>
      </c>
      <c r="G297" s="74"/>
      <c r="H297" s="74"/>
      <c r="I297" s="76">
        <v>920</v>
      </c>
      <c r="J297" s="74">
        <v>1023</v>
      </c>
      <c r="K297" s="74">
        <v>772</v>
      </c>
      <c r="L297" s="74">
        <v>775</v>
      </c>
      <c r="M297" s="74">
        <v>739</v>
      </c>
      <c r="N297" s="74">
        <v>615</v>
      </c>
      <c r="O297" s="74">
        <v>522</v>
      </c>
      <c r="P297" s="74">
        <v>520</v>
      </c>
      <c r="Q297" s="74">
        <v>460</v>
      </c>
      <c r="R297" s="74">
        <v>724</v>
      </c>
      <c r="S297" s="74">
        <v>831</v>
      </c>
      <c r="T297" s="74">
        <v>914</v>
      </c>
      <c r="U297" s="74">
        <v>775</v>
      </c>
      <c r="V297" s="77"/>
      <c r="W297" s="74"/>
      <c r="X297" s="74"/>
      <c r="Y297" s="74"/>
      <c r="Z297" s="74"/>
    </row>
    <row r="298" spans="1:26" ht="15" customHeight="1">
      <c r="A298" s="74"/>
      <c r="B298" s="74" t="b">
        <f t="shared" si="4"/>
        <v>1</v>
      </c>
      <c r="C298" s="77">
        <v>10428</v>
      </c>
      <c r="D298" s="74">
        <v>10428</v>
      </c>
      <c r="E298" s="79" t="s">
        <v>704</v>
      </c>
      <c r="F298" s="74" t="s">
        <v>25</v>
      </c>
      <c r="G298" s="74"/>
      <c r="H298" s="74"/>
      <c r="I298" s="76">
        <v>3010</v>
      </c>
      <c r="J298" s="74">
        <v>3777</v>
      </c>
      <c r="K298" s="74">
        <v>2878</v>
      </c>
      <c r="L298" s="74">
        <v>1674</v>
      </c>
      <c r="M298" s="74">
        <v>2000</v>
      </c>
      <c r="N298" s="74">
        <v>2048</v>
      </c>
      <c r="O298" s="74">
        <v>1817</v>
      </c>
      <c r="P298" s="74">
        <v>1657</v>
      </c>
      <c r="Q298" s="74">
        <v>1264</v>
      </c>
      <c r="R298" s="74">
        <v>2117</v>
      </c>
      <c r="S298" s="74">
        <v>2337</v>
      </c>
      <c r="T298" s="74">
        <v>2272</v>
      </c>
      <c r="U298" s="74">
        <v>2516</v>
      </c>
      <c r="V298" s="77"/>
      <c r="W298" s="74"/>
      <c r="X298" s="74"/>
      <c r="Y298" s="74"/>
      <c r="Z298" s="74"/>
    </row>
    <row r="299" spans="1:26" ht="15" customHeight="1">
      <c r="A299" s="74"/>
      <c r="B299" s="74" t="b">
        <f t="shared" si="4"/>
        <v>1</v>
      </c>
      <c r="C299" s="77">
        <v>10315</v>
      </c>
      <c r="D299" s="74">
        <v>10315</v>
      </c>
      <c r="E299" s="79" t="s">
        <v>700</v>
      </c>
      <c r="F299" s="74" t="s">
        <v>25</v>
      </c>
      <c r="G299" s="74"/>
      <c r="H299" s="74"/>
      <c r="I299" s="76">
        <v>679</v>
      </c>
      <c r="J299" s="74">
        <v>626</v>
      </c>
      <c r="K299" s="74">
        <v>198</v>
      </c>
      <c r="L299" s="74">
        <v>393</v>
      </c>
      <c r="M299" s="74">
        <v>504</v>
      </c>
      <c r="N299" s="74">
        <v>537</v>
      </c>
      <c r="O299" s="74">
        <v>468</v>
      </c>
      <c r="P299" s="74">
        <v>417</v>
      </c>
      <c r="Q299" s="74">
        <v>423</v>
      </c>
      <c r="R299" s="74">
        <v>545</v>
      </c>
      <c r="S299" s="74">
        <v>591</v>
      </c>
      <c r="T299" s="74">
        <v>607</v>
      </c>
      <c r="U299" s="74">
        <v>659</v>
      </c>
      <c r="V299" s="77"/>
      <c r="W299" s="74"/>
      <c r="X299" s="74"/>
      <c r="Y299" s="74"/>
      <c r="Z299" s="74"/>
    </row>
    <row r="300" spans="1:26" ht="15" customHeight="1">
      <c r="A300" s="74"/>
      <c r="B300" s="74" t="b">
        <f t="shared" si="4"/>
        <v>1</v>
      </c>
      <c r="C300" s="77">
        <v>2622489</v>
      </c>
      <c r="D300" s="74">
        <v>2622489</v>
      </c>
      <c r="E300" s="79" t="s">
        <v>732</v>
      </c>
      <c r="F300" s="74" t="s">
        <v>25</v>
      </c>
      <c r="G300" s="74"/>
      <c r="H300" s="74"/>
      <c r="I300" s="76">
        <v>269</v>
      </c>
      <c r="J300" s="74">
        <v>269</v>
      </c>
      <c r="K300" s="74">
        <v>167</v>
      </c>
      <c r="L300" s="74">
        <v>208</v>
      </c>
      <c r="M300" s="74">
        <v>210</v>
      </c>
      <c r="N300" s="74">
        <v>245</v>
      </c>
      <c r="O300" s="74">
        <v>220</v>
      </c>
      <c r="P300" s="74">
        <v>171</v>
      </c>
      <c r="Q300" s="74">
        <v>150</v>
      </c>
      <c r="R300" s="74">
        <v>209</v>
      </c>
      <c r="S300" s="74">
        <v>251</v>
      </c>
      <c r="T300" s="74">
        <v>251</v>
      </c>
      <c r="U300" s="74">
        <v>314</v>
      </c>
      <c r="V300" s="77"/>
      <c r="W300" s="74"/>
      <c r="X300" s="74"/>
      <c r="Y300" s="74"/>
      <c r="Z300" s="74"/>
    </row>
    <row r="301" spans="1:26" ht="15" customHeight="1">
      <c r="A301" s="74"/>
      <c r="B301" s="74" t="b">
        <f t="shared" si="4"/>
        <v>1</v>
      </c>
      <c r="C301" s="77">
        <v>2421048</v>
      </c>
      <c r="D301" s="74">
        <v>2421048</v>
      </c>
      <c r="E301" s="79" t="s">
        <v>704</v>
      </c>
      <c r="F301" s="74" t="s">
        <v>25</v>
      </c>
      <c r="G301" s="74"/>
      <c r="H301" s="74"/>
      <c r="I301" s="76">
        <v>200</v>
      </c>
      <c r="J301" s="74">
        <v>100</v>
      </c>
      <c r="K301" s="74">
        <v>290</v>
      </c>
      <c r="L301" s="74">
        <v>100</v>
      </c>
      <c r="M301" s="74">
        <v>145</v>
      </c>
      <c r="N301" s="74">
        <v>137</v>
      </c>
      <c r="O301" s="74">
        <v>100</v>
      </c>
      <c r="P301" s="74">
        <v>111</v>
      </c>
      <c r="Q301" s="74">
        <v>100</v>
      </c>
      <c r="R301" s="74">
        <v>102</v>
      </c>
      <c r="S301" s="74">
        <v>148</v>
      </c>
      <c r="T301" s="74">
        <v>801</v>
      </c>
      <c r="U301" s="74">
        <v>330</v>
      </c>
      <c r="V301" s="77"/>
      <c r="W301" s="74"/>
      <c r="X301" s="74"/>
      <c r="Y301" s="74"/>
      <c r="Z301" s="74"/>
    </row>
    <row r="302" spans="1:26" ht="15" customHeight="1">
      <c r="A302" s="74"/>
      <c r="B302" s="74" t="b">
        <f t="shared" si="4"/>
        <v>1</v>
      </c>
      <c r="C302" s="77">
        <v>6643297</v>
      </c>
      <c r="D302" s="74">
        <v>6643297</v>
      </c>
      <c r="E302" s="79" t="s">
        <v>704</v>
      </c>
      <c r="F302" s="74" t="s">
        <v>25</v>
      </c>
      <c r="G302" s="74"/>
      <c r="H302" s="74"/>
      <c r="I302" s="76">
        <v>524</v>
      </c>
      <c r="J302" s="74">
        <v>558</v>
      </c>
      <c r="K302" s="74">
        <v>313</v>
      </c>
      <c r="L302" s="74">
        <v>536</v>
      </c>
      <c r="M302" s="74">
        <v>506</v>
      </c>
      <c r="N302" s="74">
        <v>463</v>
      </c>
      <c r="O302" s="74">
        <v>392</v>
      </c>
      <c r="P302" s="74">
        <v>278</v>
      </c>
      <c r="Q302" s="74">
        <v>233</v>
      </c>
      <c r="R302" s="74">
        <v>318</v>
      </c>
      <c r="S302" s="74">
        <v>331</v>
      </c>
      <c r="T302" s="74">
        <v>326</v>
      </c>
      <c r="U302" s="74">
        <v>291</v>
      </c>
      <c r="V302" s="77"/>
      <c r="W302" s="74"/>
      <c r="X302" s="74"/>
      <c r="Y302" s="74"/>
      <c r="Z302" s="74"/>
    </row>
    <row r="303" spans="1:26" ht="15" customHeight="1">
      <c r="A303" s="74"/>
      <c r="B303" s="74" t="b">
        <f t="shared" si="4"/>
        <v>1</v>
      </c>
      <c r="C303" s="77">
        <v>2233801</v>
      </c>
      <c r="D303" s="74">
        <v>2233801</v>
      </c>
      <c r="E303" s="79" t="s">
        <v>704</v>
      </c>
      <c r="F303" s="74" t="s">
        <v>25</v>
      </c>
      <c r="G303" s="74"/>
      <c r="H303" s="74"/>
      <c r="I303" s="76">
        <v>914</v>
      </c>
      <c r="J303" s="74">
        <v>660</v>
      </c>
      <c r="K303" s="74">
        <v>323</v>
      </c>
      <c r="L303" s="74">
        <v>691</v>
      </c>
      <c r="M303" s="74">
        <v>855</v>
      </c>
      <c r="N303" s="74">
        <v>832</v>
      </c>
      <c r="O303" s="74">
        <v>831</v>
      </c>
      <c r="P303" s="74">
        <v>798</v>
      </c>
      <c r="Q303" s="74">
        <v>575</v>
      </c>
      <c r="R303" s="74">
        <v>834</v>
      </c>
      <c r="S303" s="74">
        <v>911</v>
      </c>
      <c r="T303" s="74">
        <v>852</v>
      </c>
      <c r="U303" s="74">
        <v>1016</v>
      </c>
      <c r="V303" s="77"/>
      <c r="W303" s="74"/>
      <c r="X303" s="74"/>
      <c r="Y303" s="74"/>
      <c r="Z303" s="74"/>
    </row>
    <row r="304" spans="1:26" ht="15" customHeight="1">
      <c r="A304" s="74"/>
      <c r="B304" s="74" t="b">
        <f t="shared" si="4"/>
        <v>1</v>
      </c>
      <c r="C304" s="77">
        <v>2683423</v>
      </c>
      <c r="D304" s="74">
        <v>2683423</v>
      </c>
      <c r="E304" s="79" t="s">
        <v>704</v>
      </c>
      <c r="F304" s="74" t="s">
        <v>25</v>
      </c>
      <c r="G304" s="74"/>
      <c r="H304" s="74"/>
      <c r="I304" s="76">
        <v>2233</v>
      </c>
      <c r="J304" s="74">
        <v>2404</v>
      </c>
      <c r="K304" s="74">
        <v>831</v>
      </c>
      <c r="L304" s="74">
        <v>2066</v>
      </c>
      <c r="M304" s="74">
        <v>2102</v>
      </c>
      <c r="N304" s="74">
        <v>2070</v>
      </c>
      <c r="O304" s="74">
        <v>1854</v>
      </c>
      <c r="P304" s="74">
        <v>1610</v>
      </c>
      <c r="Q304" s="74">
        <v>1226</v>
      </c>
      <c r="R304" s="74">
        <v>1994</v>
      </c>
      <c r="S304" s="74">
        <v>2585</v>
      </c>
      <c r="T304" s="74">
        <v>2361</v>
      </c>
      <c r="U304" s="74">
        <v>2516</v>
      </c>
      <c r="V304" s="77"/>
      <c r="W304" s="74"/>
      <c r="X304" s="74"/>
      <c r="Y304" s="74"/>
      <c r="Z304" s="74"/>
    </row>
    <row r="305" spans="1:26" ht="15" customHeight="1">
      <c r="A305" s="74"/>
      <c r="B305" s="74" t="b">
        <f t="shared" si="4"/>
        <v>1</v>
      </c>
      <c r="C305" s="77">
        <v>1617079</v>
      </c>
      <c r="D305" s="74">
        <v>1617079</v>
      </c>
      <c r="E305" s="79" t="s">
        <v>704</v>
      </c>
      <c r="F305" s="74" t="s">
        <v>25</v>
      </c>
      <c r="G305" s="74"/>
      <c r="H305" s="74"/>
      <c r="I305" s="76">
        <v>716</v>
      </c>
      <c r="J305" s="74">
        <v>632</v>
      </c>
      <c r="K305" s="74">
        <v>154</v>
      </c>
      <c r="L305" s="74">
        <v>547</v>
      </c>
      <c r="M305" s="74">
        <v>607</v>
      </c>
      <c r="N305" s="74">
        <v>586</v>
      </c>
      <c r="O305" s="74">
        <v>525</v>
      </c>
      <c r="P305" s="74">
        <v>500</v>
      </c>
      <c r="Q305" s="74">
        <v>495</v>
      </c>
      <c r="R305" s="74">
        <v>639</v>
      </c>
      <c r="S305" s="74">
        <v>860</v>
      </c>
      <c r="T305" s="74">
        <v>786</v>
      </c>
      <c r="U305" s="74">
        <v>805</v>
      </c>
      <c r="V305" s="77"/>
      <c r="W305" s="74"/>
      <c r="X305" s="74"/>
      <c r="Y305" s="74"/>
      <c r="Z305" s="74"/>
    </row>
    <row r="306" spans="1:26" ht="15" customHeight="1">
      <c r="A306" s="74"/>
      <c r="B306" s="74" t="b">
        <f t="shared" si="4"/>
        <v>1</v>
      </c>
      <c r="C306" s="77">
        <v>1099744</v>
      </c>
      <c r="D306" s="74">
        <v>1099744</v>
      </c>
      <c r="E306" s="79" t="s">
        <v>704</v>
      </c>
      <c r="F306" s="74" t="s">
        <v>25</v>
      </c>
      <c r="G306" s="74"/>
      <c r="H306" s="74"/>
      <c r="I306" s="76">
        <v>795</v>
      </c>
      <c r="J306" s="74">
        <v>687</v>
      </c>
      <c r="K306" s="74">
        <v>256</v>
      </c>
      <c r="L306" s="74">
        <v>499</v>
      </c>
      <c r="M306" s="74">
        <v>671</v>
      </c>
      <c r="N306" s="74">
        <v>705</v>
      </c>
      <c r="O306" s="74">
        <v>714</v>
      </c>
      <c r="P306" s="74">
        <v>627</v>
      </c>
      <c r="Q306" s="74">
        <v>524</v>
      </c>
      <c r="R306" s="74">
        <v>824</v>
      </c>
      <c r="S306" s="74">
        <v>890</v>
      </c>
      <c r="T306" s="74">
        <v>781</v>
      </c>
      <c r="U306" s="74">
        <v>1072</v>
      </c>
      <c r="V306" s="77"/>
      <c r="W306" s="74"/>
      <c r="X306" s="74"/>
      <c r="Y306" s="74"/>
      <c r="Z306" s="74"/>
    </row>
    <row r="307" spans="1:26" ht="15" customHeight="1">
      <c r="A307" s="74"/>
      <c r="B307" s="74" t="b">
        <f t="shared" si="4"/>
        <v>1</v>
      </c>
      <c r="C307" s="77">
        <v>1099745</v>
      </c>
      <c r="D307" s="74">
        <v>1099745</v>
      </c>
      <c r="E307" s="79" t="s">
        <v>704</v>
      </c>
      <c r="F307" s="74" t="s">
        <v>25</v>
      </c>
      <c r="G307" s="74"/>
      <c r="H307" s="74"/>
      <c r="I307" s="76">
        <v>1323</v>
      </c>
      <c r="J307" s="74">
        <v>1256</v>
      </c>
      <c r="K307" s="74">
        <v>116</v>
      </c>
      <c r="L307" s="74">
        <v>998</v>
      </c>
      <c r="M307" s="74">
        <v>1186</v>
      </c>
      <c r="N307" s="74">
        <v>1358</v>
      </c>
      <c r="O307" s="74">
        <v>1141</v>
      </c>
      <c r="P307" s="74">
        <v>470</v>
      </c>
      <c r="Q307" s="74">
        <v>385</v>
      </c>
      <c r="R307" s="74">
        <v>879</v>
      </c>
      <c r="S307" s="74">
        <v>1406</v>
      </c>
      <c r="T307" s="74">
        <v>1035</v>
      </c>
      <c r="U307" s="74">
        <v>1621</v>
      </c>
      <c r="V307" s="77"/>
      <c r="W307" s="74"/>
      <c r="X307" s="74"/>
      <c r="Y307" s="74"/>
      <c r="Z307" s="74"/>
    </row>
    <row r="308" spans="1:26" ht="15" customHeight="1">
      <c r="A308" s="74"/>
      <c r="B308" s="74" t="b">
        <f t="shared" si="4"/>
        <v>1</v>
      </c>
      <c r="C308" s="77">
        <v>3808162</v>
      </c>
      <c r="D308" s="74">
        <v>3808162</v>
      </c>
      <c r="E308" s="79" t="s">
        <v>700</v>
      </c>
      <c r="F308" s="74" t="s">
        <v>25</v>
      </c>
      <c r="G308" s="74"/>
      <c r="H308" s="74"/>
      <c r="I308" s="76">
        <v>796</v>
      </c>
      <c r="J308" s="74">
        <v>1313</v>
      </c>
      <c r="K308" s="74">
        <v>719</v>
      </c>
      <c r="L308" s="74">
        <v>1051</v>
      </c>
      <c r="M308" s="74">
        <v>1167</v>
      </c>
      <c r="N308" s="74">
        <v>1072</v>
      </c>
      <c r="O308" s="74">
        <v>1118</v>
      </c>
      <c r="P308" s="74">
        <v>1072</v>
      </c>
      <c r="Q308" s="74">
        <v>804</v>
      </c>
      <c r="R308" s="74">
        <v>889</v>
      </c>
      <c r="S308" s="74">
        <v>928</v>
      </c>
      <c r="T308" s="74">
        <v>930</v>
      </c>
      <c r="U308" s="74">
        <v>1097</v>
      </c>
      <c r="V308" s="77"/>
      <c r="W308" s="74"/>
      <c r="X308" s="74"/>
      <c r="Y308" s="74"/>
      <c r="Z308" s="74"/>
    </row>
    <row r="309" spans="1:26" ht="15" customHeight="1">
      <c r="A309" s="74"/>
      <c r="B309" s="74" t="b">
        <f t="shared" si="4"/>
        <v>1</v>
      </c>
      <c r="C309" s="77">
        <v>3811438</v>
      </c>
      <c r="D309" s="74">
        <v>3811438</v>
      </c>
      <c r="E309" s="79" t="s">
        <v>732</v>
      </c>
      <c r="F309" s="74" t="s">
        <v>25</v>
      </c>
      <c r="G309" s="74"/>
      <c r="H309" s="74"/>
      <c r="I309" s="76">
        <v>747</v>
      </c>
      <c r="J309" s="74">
        <v>684</v>
      </c>
      <c r="K309" s="74">
        <v>333</v>
      </c>
      <c r="L309" s="74">
        <v>674</v>
      </c>
      <c r="M309" s="74">
        <v>857</v>
      </c>
      <c r="N309" s="74">
        <v>872</v>
      </c>
      <c r="O309" s="74">
        <v>781</v>
      </c>
      <c r="P309" s="74">
        <v>634</v>
      </c>
      <c r="Q309" s="74">
        <v>597</v>
      </c>
      <c r="R309" s="74">
        <v>1039</v>
      </c>
      <c r="S309" s="74">
        <v>979</v>
      </c>
      <c r="T309" s="74">
        <v>995</v>
      </c>
      <c r="U309" s="74">
        <v>1001</v>
      </c>
      <c r="V309" s="77"/>
      <c r="W309" s="74"/>
      <c r="X309" s="74"/>
      <c r="Y309" s="74"/>
      <c r="Z309" s="74"/>
    </row>
    <row r="310" spans="1:26" ht="15" customHeight="1">
      <c r="A310" s="74"/>
      <c r="B310" s="74" t="b">
        <f t="shared" si="4"/>
        <v>1</v>
      </c>
      <c r="C310" s="77">
        <v>5329554</v>
      </c>
      <c r="D310" s="74">
        <v>5329554</v>
      </c>
      <c r="E310" s="79" t="s">
        <v>704</v>
      </c>
      <c r="F310" s="74" t="s">
        <v>25</v>
      </c>
      <c r="G310" s="74"/>
      <c r="H310" s="74"/>
      <c r="I310" s="76">
        <v>1352</v>
      </c>
      <c r="J310" s="74">
        <v>1343</v>
      </c>
      <c r="K310" s="74">
        <v>633</v>
      </c>
      <c r="L310" s="74">
        <v>1197</v>
      </c>
      <c r="M310" s="74">
        <v>1279</v>
      </c>
      <c r="N310" s="74">
        <v>1276</v>
      </c>
      <c r="O310" s="74">
        <v>1228</v>
      </c>
      <c r="P310" s="74">
        <v>1251</v>
      </c>
      <c r="Q310" s="74">
        <v>1059</v>
      </c>
      <c r="R310" s="74">
        <v>1445</v>
      </c>
      <c r="S310" s="74">
        <v>1395</v>
      </c>
      <c r="T310" s="74">
        <v>1501</v>
      </c>
      <c r="U310" s="74">
        <v>1436</v>
      </c>
      <c r="V310" s="77"/>
      <c r="W310" s="74"/>
      <c r="X310" s="74"/>
      <c r="Y310" s="74"/>
      <c r="Z310" s="74"/>
    </row>
    <row r="311" spans="1:26" ht="15" customHeight="1">
      <c r="A311" s="74"/>
      <c r="B311" s="74" t="b">
        <f t="shared" si="4"/>
        <v>1</v>
      </c>
      <c r="C311" s="77">
        <v>2970552</v>
      </c>
      <c r="D311" s="74">
        <v>2970552</v>
      </c>
      <c r="E311" s="79" t="s">
        <v>704</v>
      </c>
      <c r="F311" s="74" t="s">
        <v>25</v>
      </c>
      <c r="G311" s="74"/>
      <c r="H311" s="74"/>
      <c r="I311" s="76">
        <v>3069</v>
      </c>
      <c r="J311" s="74">
        <v>2913</v>
      </c>
      <c r="K311" s="74">
        <v>923</v>
      </c>
      <c r="L311" s="74">
        <v>2576</v>
      </c>
      <c r="M311" s="74">
        <v>3202</v>
      </c>
      <c r="N311" s="74">
        <v>2984</v>
      </c>
      <c r="O311" s="74">
        <v>2820</v>
      </c>
      <c r="P311" s="74">
        <v>2960</v>
      </c>
      <c r="Q311" s="74">
        <v>2130</v>
      </c>
      <c r="R311" s="74">
        <v>3332</v>
      </c>
      <c r="S311" s="74">
        <v>3961</v>
      </c>
      <c r="T311" s="74">
        <v>3674</v>
      </c>
      <c r="U311" s="74">
        <v>3833</v>
      </c>
      <c r="V311" s="77"/>
      <c r="W311" s="74"/>
      <c r="X311" s="74"/>
      <c r="Y311" s="74"/>
      <c r="Z311" s="74"/>
    </row>
    <row r="312" spans="1:26" ht="15" customHeight="1">
      <c r="A312" s="74"/>
      <c r="B312" s="74" t="b">
        <f t="shared" si="4"/>
        <v>1</v>
      </c>
      <c r="C312" s="77">
        <v>10234</v>
      </c>
      <c r="D312" s="74">
        <v>10234</v>
      </c>
      <c r="E312" s="79" t="s">
        <v>704</v>
      </c>
      <c r="F312" s="74" t="s">
        <v>25</v>
      </c>
      <c r="G312" s="74"/>
      <c r="H312" s="74"/>
      <c r="I312" s="76">
        <v>100</v>
      </c>
      <c r="J312" s="74">
        <v>100</v>
      </c>
      <c r="K312" s="74">
        <v>100</v>
      </c>
      <c r="L312" s="74">
        <v>152</v>
      </c>
      <c r="M312" s="74">
        <v>168</v>
      </c>
      <c r="N312" s="74">
        <v>141</v>
      </c>
      <c r="O312" s="74">
        <v>132</v>
      </c>
      <c r="P312" s="74">
        <v>100</v>
      </c>
      <c r="Q312" s="74">
        <v>100</v>
      </c>
      <c r="R312" s="74">
        <v>115</v>
      </c>
      <c r="S312" s="74">
        <v>144</v>
      </c>
      <c r="T312" s="74">
        <v>188</v>
      </c>
      <c r="U312" s="74">
        <v>216</v>
      </c>
      <c r="V312" s="77"/>
      <c r="W312" s="74"/>
      <c r="X312" s="74"/>
      <c r="Y312" s="74"/>
      <c r="Z312" s="74"/>
    </row>
    <row r="313" spans="1:26" ht="15" customHeight="1">
      <c r="A313" s="74"/>
      <c r="B313" s="74" t="b">
        <f t="shared" si="4"/>
        <v>1</v>
      </c>
      <c r="C313" s="77">
        <v>10355</v>
      </c>
      <c r="D313" s="74">
        <v>10355</v>
      </c>
      <c r="E313" s="79" t="s">
        <v>700</v>
      </c>
      <c r="F313" s="74" t="s">
        <v>25</v>
      </c>
      <c r="G313" s="74"/>
      <c r="H313" s="74"/>
      <c r="I313" s="76">
        <v>452</v>
      </c>
      <c r="J313" s="74">
        <v>453</v>
      </c>
      <c r="K313" s="74">
        <v>179</v>
      </c>
      <c r="L313" s="74">
        <v>322</v>
      </c>
      <c r="M313" s="74">
        <v>367</v>
      </c>
      <c r="N313" s="74">
        <v>343</v>
      </c>
      <c r="O313" s="74">
        <v>309</v>
      </c>
      <c r="P313" s="74">
        <v>313</v>
      </c>
      <c r="Q313" s="74">
        <v>320</v>
      </c>
      <c r="R313" s="74">
        <v>354</v>
      </c>
      <c r="S313" s="74">
        <v>349</v>
      </c>
      <c r="T313" s="74">
        <v>407</v>
      </c>
      <c r="U313" s="74">
        <v>433</v>
      </c>
      <c r="V313" s="77"/>
      <c r="W313" s="74"/>
      <c r="X313" s="74"/>
      <c r="Y313" s="74"/>
      <c r="Z313" s="74"/>
    </row>
    <row r="314" spans="1:26" ht="15" customHeight="1">
      <c r="A314" s="74"/>
      <c r="B314" s="74" t="b">
        <f t="shared" si="4"/>
        <v>1</v>
      </c>
      <c r="C314" s="77">
        <v>10348</v>
      </c>
      <c r="D314" s="74">
        <v>10348</v>
      </c>
      <c r="E314" s="79" t="s">
        <v>732</v>
      </c>
      <c r="F314" s="74" t="s">
        <v>25</v>
      </c>
      <c r="G314" s="74"/>
      <c r="H314" s="74"/>
      <c r="I314" s="76">
        <v>2201</v>
      </c>
      <c r="J314" s="74">
        <v>2322</v>
      </c>
      <c r="K314" s="74">
        <v>953</v>
      </c>
      <c r="L314" s="74">
        <v>1808</v>
      </c>
      <c r="M314" s="74">
        <v>1835</v>
      </c>
      <c r="N314" s="74">
        <v>1894</v>
      </c>
      <c r="O314" s="74">
        <v>1603</v>
      </c>
      <c r="P314" s="74">
        <v>1590</v>
      </c>
      <c r="Q314" s="74">
        <v>1297</v>
      </c>
      <c r="R314" s="74">
        <v>1679</v>
      </c>
      <c r="S314" s="74">
        <v>1874</v>
      </c>
      <c r="T314" s="74">
        <v>1786</v>
      </c>
      <c r="U314" s="74">
        <v>2017</v>
      </c>
      <c r="V314" s="77"/>
      <c r="W314" s="74"/>
      <c r="X314" s="74"/>
      <c r="Y314" s="74"/>
      <c r="Z314" s="74"/>
    </row>
    <row r="315" spans="1:26" ht="15" customHeight="1">
      <c r="A315" s="74"/>
      <c r="B315" s="74" t="b">
        <f t="shared" si="4"/>
        <v>1</v>
      </c>
      <c r="C315" s="77">
        <v>24559</v>
      </c>
      <c r="D315" s="74">
        <v>24559</v>
      </c>
      <c r="E315" s="79" t="s">
        <v>704</v>
      </c>
      <c r="F315" s="74" t="s">
        <v>25</v>
      </c>
      <c r="G315" s="74"/>
      <c r="H315" s="74"/>
      <c r="I315" s="76">
        <v>770</v>
      </c>
      <c r="J315" s="74">
        <v>742</v>
      </c>
      <c r="K315" s="74">
        <v>146</v>
      </c>
      <c r="L315" s="74">
        <v>380</v>
      </c>
      <c r="M315" s="74">
        <v>527</v>
      </c>
      <c r="N315" s="74">
        <v>464</v>
      </c>
      <c r="O315" s="74">
        <v>453</v>
      </c>
      <c r="P315" s="74">
        <v>535</v>
      </c>
      <c r="Q315" s="74">
        <v>465</v>
      </c>
      <c r="R315" s="74">
        <v>521</v>
      </c>
      <c r="S315" s="74">
        <v>539</v>
      </c>
      <c r="T315" s="74">
        <v>589</v>
      </c>
      <c r="U315" s="74">
        <v>607</v>
      </c>
      <c r="V315" s="77"/>
      <c r="W315" s="74"/>
      <c r="X315" s="74"/>
      <c r="Y315" s="74"/>
      <c r="Z315" s="74"/>
    </row>
    <row r="316" spans="1:26" ht="15" customHeight="1">
      <c r="A316" s="74"/>
      <c r="B316" s="74" t="b">
        <f t="shared" si="4"/>
        <v>1</v>
      </c>
      <c r="C316" s="77">
        <v>25241</v>
      </c>
      <c r="D316" s="74">
        <v>25241</v>
      </c>
      <c r="E316" s="79" t="s">
        <v>704</v>
      </c>
      <c r="F316" s="74" t="s">
        <v>25</v>
      </c>
      <c r="G316" s="74"/>
      <c r="H316" s="74"/>
      <c r="I316" s="76">
        <v>2341</v>
      </c>
      <c r="J316" s="74">
        <v>1907</v>
      </c>
      <c r="K316" s="74">
        <v>701</v>
      </c>
      <c r="L316" s="74">
        <v>1339</v>
      </c>
      <c r="M316" s="74">
        <v>2029</v>
      </c>
      <c r="N316" s="74">
        <v>1413</v>
      </c>
      <c r="O316" s="74">
        <v>2564</v>
      </c>
      <c r="P316" s="74">
        <v>1902</v>
      </c>
      <c r="Q316" s="74">
        <v>1497</v>
      </c>
      <c r="R316" s="74">
        <v>2021</v>
      </c>
      <c r="S316" s="74">
        <v>1899</v>
      </c>
      <c r="T316" s="74">
        <v>2090</v>
      </c>
      <c r="U316" s="74">
        <v>1677</v>
      </c>
      <c r="V316" s="77"/>
      <c r="W316" s="74"/>
      <c r="X316" s="74"/>
      <c r="Y316" s="74"/>
      <c r="Z316" s="74"/>
    </row>
    <row r="317" spans="1:26" ht="15" customHeight="1">
      <c r="A317" s="74"/>
      <c r="B317" s="74" t="b">
        <f t="shared" si="4"/>
        <v>1</v>
      </c>
      <c r="C317" s="77">
        <v>7564584</v>
      </c>
      <c r="D317" s="74">
        <v>7564584</v>
      </c>
      <c r="E317" s="79" t="s">
        <v>700</v>
      </c>
      <c r="F317" s="74" t="s">
        <v>25</v>
      </c>
      <c r="G317" s="74"/>
      <c r="H317" s="74"/>
      <c r="I317" s="76">
        <v>30</v>
      </c>
      <c r="J317" s="74">
        <v>30</v>
      </c>
      <c r="K317" s="74">
        <v>30</v>
      </c>
      <c r="L317" s="74">
        <v>30</v>
      </c>
      <c r="M317" s="74">
        <v>30</v>
      </c>
      <c r="N317" s="74">
        <v>30</v>
      </c>
      <c r="O317" s="74">
        <v>30</v>
      </c>
      <c r="P317" s="74">
        <v>67</v>
      </c>
      <c r="Q317" s="74">
        <v>87</v>
      </c>
      <c r="R317" s="74">
        <v>87</v>
      </c>
      <c r="S317" s="74">
        <v>95</v>
      </c>
      <c r="T317" s="74">
        <v>111</v>
      </c>
      <c r="U317" s="74">
        <v>0</v>
      </c>
      <c r="V317" s="77"/>
      <c r="W317" s="74"/>
      <c r="X317" s="74"/>
      <c r="Y317" s="74"/>
      <c r="Z317" s="74"/>
    </row>
    <row r="318" spans="1:26" ht="15" customHeight="1">
      <c r="A318" s="74"/>
      <c r="B318" s="74" t="b">
        <f t="shared" si="4"/>
        <v>1</v>
      </c>
      <c r="C318" s="77">
        <v>7564517</v>
      </c>
      <c r="D318" s="74">
        <v>7564517</v>
      </c>
      <c r="E318" s="79" t="s">
        <v>700</v>
      </c>
      <c r="F318" s="74" t="s">
        <v>25</v>
      </c>
      <c r="G318" s="74"/>
      <c r="H318" s="74"/>
      <c r="I318" s="76">
        <v>31</v>
      </c>
      <c r="J318" s="74">
        <v>30</v>
      </c>
      <c r="K318" s="74">
        <v>30</v>
      </c>
      <c r="L318" s="74">
        <v>30</v>
      </c>
      <c r="M318" s="74">
        <v>30</v>
      </c>
      <c r="N318" s="74">
        <v>30</v>
      </c>
      <c r="O318" s="74">
        <v>30</v>
      </c>
      <c r="P318" s="74">
        <v>49</v>
      </c>
      <c r="Q318" s="74">
        <v>116</v>
      </c>
      <c r="R318" s="74">
        <v>134</v>
      </c>
      <c r="S318" s="74">
        <v>146</v>
      </c>
      <c r="T318" s="74">
        <v>102</v>
      </c>
      <c r="U318" s="74">
        <v>0</v>
      </c>
      <c r="V318" s="77"/>
      <c r="W318" s="74"/>
      <c r="X318" s="74"/>
      <c r="Y318" s="74"/>
      <c r="Z318" s="74"/>
    </row>
    <row r="319" spans="1:26" ht="15" customHeight="1">
      <c r="A319" s="74"/>
      <c r="B319" s="74" t="b">
        <f t="shared" si="4"/>
        <v>1</v>
      </c>
      <c r="C319" s="77">
        <v>7567964</v>
      </c>
      <c r="D319" s="74">
        <v>7567964</v>
      </c>
      <c r="E319" s="79" t="s">
        <v>700</v>
      </c>
      <c r="F319" s="74" t="s">
        <v>25</v>
      </c>
      <c r="G319" s="74"/>
      <c r="H319" s="74"/>
      <c r="I319" s="76">
        <v>0</v>
      </c>
      <c r="J319" s="74">
        <v>30</v>
      </c>
      <c r="K319" s="74">
        <v>30</v>
      </c>
      <c r="L319" s="74">
        <v>30</v>
      </c>
      <c r="M319" s="74">
        <v>30</v>
      </c>
      <c r="N319" s="74">
        <v>30</v>
      </c>
      <c r="O319" s="74">
        <v>30</v>
      </c>
      <c r="P319" s="74">
        <v>66</v>
      </c>
      <c r="Q319" s="74">
        <v>397</v>
      </c>
      <c r="R319" s="74">
        <v>390</v>
      </c>
      <c r="S319" s="74">
        <v>406</v>
      </c>
      <c r="T319" s="74">
        <v>400</v>
      </c>
      <c r="U319" s="74">
        <v>0</v>
      </c>
      <c r="V319" s="77"/>
      <c r="W319" s="74"/>
      <c r="X319" s="74"/>
      <c r="Y319" s="74"/>
      <c r="Z319" s="74"/>
    </row>
    <row r="320" spans="1:26" ht="15" customHeight="1">
      <c r="A320" s="74"/>
      <c r="B320" s="74" t="b">
        <f t="shared" si="4"/>
        <v>1</v>
      </c>
      <c r="C320" s="77">
        <v>3808166</v>
      </c>
      <c r="D320" s="74">
        <v>3808166</v>
      </c>
      <c r="E320" s="79" t="s">
        <v>704</v>
      </c>
      <c r="F320" s="74" t="s">
        <v>25</v>
      </c>
      <c r="G320" s="74"/>
      <c r="H320" s="74"/>
      <c r="I320" s="76">
        <v>707</v>
      </c>
      <c r="J320" s="74">
        <v>426</v>
      </c>
      <c r="K320" s="74">
        <v>279</v>
      </c>
      <c r="L320" s="74">
        <v>723</v>
      </c>
      <c r="M320" s="74">
        <v>737</v>
      </c>
      <c r="N320" s="74">
        <v>672</v>
      </c>
      <c r="O320" s="74">
        <v>652</v>
      </c>
      <c r="P320" s="74">
        <v>443</v>
      </c>
      <c r="Q320" s="74">
        <v>587</v>
      </c>
      <c r="R320" s="74">
        <v>692</v>
      </c>
      <c r="S320" s="74">
        <v>779</v>
      </c>
      <c r="T320" s="74">
        <v>776</v>
      </c>
      <c r="U320" s="74">
        <v>685</v>
      </c>
      <c r="V320" s="77"/>
      <c r="W320" s="74"/>
      <c r="X320" s="74"/>
      <c r="Y320" s="74"/>
      <c r="Z320" s="74"/>
    </row>
    <row r="321" spans="1:26" ht="15" customHeight="1">
      <c r="A321" s="74"/>
      <c r="B321" s="74" t="b">
        <f t="shared" si="4"/>
        <v>1</v>
      </c>
      <c r="C321" s="77">
        <v>3481915</v>
      </c>
      <c r="D321" s="74">
        <v>3481915</v>
      </c>
      <c r="E321" s="79" t="s">
        <v>704</v>
      </c>
      <c r="F321" s="74" t="s">
        <v>25</v>
      </c>
      <c r="G321" s="74"/>
      <c r="H321" s="74"/>
      <c r="I321" s="76">
        <v>1256</v>
      </c>
      <c r="J321" s="74">
        <v>730</v>
      </c>
      <c r="K321" s="74">
        <v>481</v>
      </c>
      <c r="L321" s="74">
        <v>1371</v>
      </c>
      <c r="M321" s="74">
        <v>1372</v>
      </c>
      <c r="N321" s="74">
        <v>1359</v>
      </c>
      <c r="O321" s="74">
        <v>1390</v>
      </c>
      <c r="P321" s="74">
        <v>1018</v>
      </c>
      <c r="Q321" s="74">
        <v>1242</v>
      </c>
      <c r="R321" s="74">
        <v>1470</v>
      </c>
      <c r="S321" s="74">
        <v>1523</v>
      </c>
      <c r="T321" s="74">
        <v>1437</v>
      </c>
      <c r="U321" s="74">
        <v>1225</v>
      </c>
      <c r="V321" s="77"/>
      <c r="W321" s="74"/>
      <c r="X321" s="74"/>
      <c r="Y321" s="74"/>
      <c r="Z321" s="74"/>
    </row>
    <row r="322" spans="1:26" ht="15" customHeight="1">
      <c r="A322" s="74"/>
      <c r="B322" s="74" t="b">
        <f t="shared" ref="B322:B385" si="5">D322=C322</f>
        <v>1</v>
      </c>
      <c r="C322" s="77">
        <v>4215578</v>
      </c>
      <c r="D322" s="74">
        <v>4215578</v>
      </c>
      <c r="E322" s="79" t="s">
        <v>704</v>
      </c>
      <c r="F322" s="74" t="s">
        <v>25</v>
      </c>
      <c r="G322" s="74"/>
      <c r="H322" s="74"/>
      <c r="I322" s="76">
        <v>29</v>
      </c>
      <c r="J322" s="74">
        <v>100</v>
      </c>
      <c r="K322" s="74">
        <v>147</v>
      </c>
      <c r="L322" s="74">
        <v>147</v>
      </c>
      <c r="M322" s="74">
        <v>167</v>
      </c>
      <c r="N322" s="74">
        <v>163</v>
      </c>
      <c r="O322" s="74">
        <v>192</v>
      </c>
      <c r="P322" s="74">
        <v>234</v>
      </c>
      <c r="Q322" s="74">
        <v>1362</v>
      </c>
      <c r="R322" s="74">
        <v>1615</v>
      </c>
      <c r="S322" s="74">
        <v>1777</v>
      </c>
      <c r="T322" s="74">
        <v>1924</v>
      </c>
      <c r="U322" s="74">
        <v>1666</v>
      </c>
      <c r="V322" s="77"/>
      <c r="W322" s="74"/>
      <c r="X322" s="74"/>
      <c r="Y322" s="74"/>
      <c r="Z322" s="74"/>
    </row>
    <row r="323" spans="1:26" ht="15" customHeight="1">
      <c r="A323" s="74"/>
      <c r="B323" s="74" t="b">
        <f t="shared" si="5"/>
        <v>1</v>
      </c>
      <c r="C323" s="77">
        <v>3170263</v>
      </c>
      <c r="D323" s="74">
        <v>3170263</v>
      </c>
      <c r="E323" s="79" t="s">
        <v>700</v>
      </c>
      <c r="F323" s="74" t="s">
        <v>25</v>
      </c>
      <c r="G323" s="74"/>
      <c r="H323" s="74"/>
      <c r="I323" s="76">
        <v>12</v>
      </c>
      <c r="J323" s="74">
        <v>89</v>
      </c>
      <c r="K323" s="74">
        <v>269</v>
      </c>
      <c r="L323" s="74">
        <v>310</v>
      </c>
      <c r="M323" s="74">
        <v>305</v>
      </c>
      <c r="N323" s="74">
        <v>298</v>
      </c>
      <c r="O323" s="74">
        <v>327</v>
      </c>
      <c r="P323" s="74">
        <v>256</v>
      </c>
      <c r="Q323" s="74">
        <v>262</v>
      </c>
      <c r="R323" s="74">
        <v>306</v>
      </c>
      <c r="S323" s="74">
        <v>343</v>
      </c>
      <c r="T323" s="74">
        <v>366</v>
      </c>
      <c r="U323" s="74">
        <v>348</v>
      </c>
      <c r="V323" s="77"/>
      <c r="W323" s="74"/>
      <c r="X323" s="74"/>
      <c r="Y323" s="74"/>
      <c r="Z323" s="74"/>
    </row>
    <row r="324" spans="1:26" ht="15" customHeight="1">
      <c r="A324" s="74"/>
      <c r="B324" s="74" t="b">
        <f t="shared" si="5"/>
        <v>1</v>
      </c>
      <c r="C324" s="77">
        <v>5484552</v>
      </c>
      <c r="D324" s="74">
        <v>5484552</v>
      </c>
      <c r="E324" s="79" t="s">
        <v>704</v>
      </c>
      <c r="F324" s="74" t="s">
        <v>25</v>
      </c>
      <c r="G324" s="74"/>
      <c r="H324" s="74"/>
      <c r="I324" s="76">
        <v>3786</v>
      </c>
      <c r="J324" s="74">
        <v>1818</v>
      </c>
      <c r="K324" s="74">
        <v>1517</v>
      </c>
      <c r="L324" s="74">
        <v>1479</v>
      </c>
      <c r="M324" s="74">
        <v>1383</v>
      </c>
      <c r="N324" s="74">
        <v>1148</v>
      </c>
      <c r="O324" s="74">
        <v>1477</v>
      </c>
      <c r="P324" s="74">
        <v>1828</v>
      </c>
      <c r="Q324" s="74">
        <v>2710</v>
      </c>
      <c r="R324" s="74">
        <v>1538</v>
      </c>
      <c r="S324" s="74">
        <v>1710</v>
      </c>
      <c r="T324" s="74">
        <v>1278</v>
      </c>
      <c r="U324" s="74">
        <v>1138</v>
      </c>
      <c r="V324" s="77"/>
      <c r="W324" s="74"/>
      <c r="X324" s="74"/>
      <c r="Y324" s="74"/>
      <c r="Z324" s="74"/>
    </row>
    <row r="325" spans="1:26" ht="15" customHeight="1">
      <c r="A325" s="74"/>
      <c r="B325" s="74" t="b">
        <f t="shared" si="5"/>
        <v>1</v>
      </c>
      <c r="C325" s="77">
        <v>5276454</v>
      </c>
      <c r="D325" s="74">
        <v>5276454</v>
      </c>
      <c r="E325" s="79" t="s">
        <v>704</v>
      </c>
      <c r="F325" s="74" t="s">
        <v>25</v>
      </c>
      <c r="G325" s="74"/>
      <c r="H325" s="74"/>
      <c r="I325" s="76">
        <v>1264</v>
      </c>
      <c r="J325" s="74">
        <v>723</v>
      </c>
      <c r="K325" s="74">
        <v>391</v>
      </c>
      <c r="L325" s="74">
        <v>1123</v>
      </c>
      <c r="M325" s="74">
        <v>1130</v>
      </c>
      <c r="N325" s="74">
        <v>1043</v>
      </c>
      <c r="O325" s="74">
        <v>1166</v>
      </c>
      <c r="P325" s="74">
        <v>814</v>
      </c>
      <c r="Q325" s="74">
        <v>935</v>
      </c>
      <c r="R325" s="74">
        <v>1251</v>
      </c>
      <c r="S325" s="74">
        <v>1294</v>
      </c>
      <c r="T325" s="74">
        <v>1208</v>
      </c>
      <c r="U325" s="74">
        <v>1076</v>
      </c>
      <c r="V325" s="77"/>
      <c r="W325" s="74"/>
      <c r="X325" s="74"/>
      <c r="Y325" s="74"/>
      <c r="Z325" s="74"/>
    </row>
    <row r="326" spans="1:26" ht="15" customHeight="1">
      <c r="A326" s="74"/>
      <c r="B326" s="74" t="b">
        <f t="shared" si="5"/>
        <v>1</v>
      </c>
      <c r="C326" s="77">
        <v>9968</v>
      </c>
      <c r="D326" s="74">
        <v>9968</v>
      </c>
      <c r="E326" s="79" t="s">
        <v>704</v>
      </c>
      <c r="F326" s="74" t="s">
        <v>25</v>
      </c>
      <c r="G326" s="74"/>
      <c r="H326" s="74"/>
      <c r="I326" s="76">
        <v>1765</v>
      </c>
      <c r="J326" s="74">
        <v>1233</v>
      </c>
      <c r="K326" s="74">
        <v>849</v>
      </c>
      <c r="L326" s="74">
        <v>1637</v>
      </c>
      <c r="M326" s="74">
        <v>1627</v>
      </c>
      <c r="N326" s="74">
        <v>1652</v>
      </c>
      <c r="O326" s="74">
        <v>1631</v>
      </c>
      <c r="P326" s="74">
        <v>1094</v>
      </c>
      <c r="Q326" s="74">
        <v>1366</v>
      </c>
      <c r="R326" s="74">
        <v>1657</v>
      </c>
      <c r="S326" s="74">
        <v>2030</v>
      </c>
      <c r="T326" s="74">
        <v>1891</v>
      </c>
      <c r="U326" s="74">
        <v>1577</v>
      </c>
      <c r="V326" s="77"/>
      <c r="W326" s="74"/>
      <c r="X326" s="74"/>
      <c r="Y326" s="74"/>
      <c r="Z326" s="74"/>
    </row>
    <row r="327" spans="1:26" ht="15" customHeight="1">
      <c r="A327" s="74"/>
      <c r="B327" s="74" t="b">
        <f t="shared" si="5"/>
        <v>1</v>
      </c>
      <c r="C327" s="77">
        <v>2595741</v>
      </c>
      <c r="D327" s="74">
        <v>2595741</v>
      </c>
      <c r="E327" s="79" t="s">
        <v>704</v>
      </c>
      <c r="F327" s="74" t="s">
        <v>25</v>
      </c>
      <c r="G327" s="74"/>
      <c r="H327" s="74"/>
      <c r="I327" s="76">
        <v>3307</v>
      </c>
      <c r="J327" s="74">
        <v>2106</v>
      </c>
      <c r="K327" s="74">
        <v>1714</v>
      </c>
      <c r="L327" s="74">
        <v>4130</v>
      </c>
      <c r="M327" s="74">
        <v>4515</v>
      </c>
      <c r="N327" s="74">
        <v>5408</v>
      </c>
      <c r="O327" s="74">
        <v>4626</v>
      </c>
      <c r="P327" s="74">
        <v>3019</v>
      </c>
      <c r="Q327" s="74">
        <v>4786</v>
      </c>
      <c r="R327" s="74">
        <v>5134</v>
      </c>
      <c r="S327" s="74">
        <v>6953</v>
      </c>
      <c r="T327" s="74">
        <v>6794</v>
      </c>
      <c r="U327" s="74">
        <v>3209</v>
      </c>
      <c r="V327" s="77"/>
      <c r="W327" s="74"/>
      <c r="X327" s="74"/>
      <c r="Y327" s="74"/>
      <c r="Z327" s="74"/>
    </row>
    <row r="328" spans="1:26" ht="15" customHeight="1">
      <c r="A328" s="74"/>
      <c r="B328" s="74" t="b">
        <f t="shared" si="5"/>
        <v>1</v>
      </c>
      <c r="C328" s="77">
        <v>24487</v>
      </c>
      <c r="D328" s="74">
        <v>24487</v>
      </c>
      <c r="E328" s="79" t="s">
        <v>732</v>
      </c>
      <c r="F328" s="74" t="s">
        <v>25</v>
      </c>
      <c r="G328" s="74"/>
      <c r="H328" s="74"/>
      <c r="I328" s="76">
        <v>50</v>
      </c>
      <c r="J328" s="74">
        <v>50</v>
      </c>
      <c r="K328" s="74">
        <v>100</v>
      </c>
      <c r="L328" s="74">
        <v>200</v>
      </c>
      <c r="M328" s="74">
        <v>213</v>
      </c>
      <c r="N328" s="74">
        <v>50</v>
      </c>
      <c r="O328" s="74">
        <v>334</v>
      </c>
      <c r="P328" s="74">
        <v>753</v>
      </c>
      <c r="Q328" s="74">
        <v>800</v>
      </c>
      <c r="R328" s="74">
        <v>818</v>
      </c>
      <c r="S328" s="74">
        <v>882</v>
      </c>
      <c r="T328" s="74">
        <v>786</v>
      </c>
      <c r="U328" s="74">
        <v>50</v>
      </c>
      <c r="V328" s="77"/>
      <c r="W328" s="74"/>
      <c r="X328" s="74"/>
      <c r="Y328" s="74"/>
      <c r="Z328" s="74"/>
    </row>
    <row r="329" spans="1:26" ht="15" customHeight="1">
      <c r="A329" s="74"/>
      <c r="B329" s="74" t="b">
        <f t="shared" si="5"/>
        <v>1</v>
      </c>
      <c r="C329" s="77">
        <v>10320</v>
      </c>
      <c r="D329" s="74">
        <v>10320</v>
      </c>
      <c r="E329" s="79" t="s">
        <v>704</v>
      </c>
      <c r="F329" s="74" t="s">
        <v>25</v>
      </c>
      <c r="G329" s="74"/>
      <c r="H329" s="74"/>
      <c r="I329" s="76">
        <v>6292</v>
      </c>
      <c r="J329" s="74">
        <v>2298</v>
      </c>
      <c r="K329" s="74">
        <v>2464</v>
      </c>
      <c r="L329" s="74">
        <v>7383</v>
      </c>
      <c r="M329" s="74">
        <v>6831</v>
      </c>
      <c r="N329" s="74">
        <v>6446</v>
      </c>
      <c r="O329" s="74">
        <v>5486</v>
      </c>
      <c r="P329" s="74">
        <v>2643</v>
      </c>
      <c r="Q329" s="74">
        <v>5361</v>
      </c>
      <c r="R329" s="74">
        <v>6988</v>
      </c>
      <c r="S329" s="74">
        <v>8726</v>
      </c>
      <c r="T329" s="74">
        <v>9294</v>
      </c>
      <c r="U329" s="74">
        <v>7231</v>
      </c>
      <c r="V329" s="77"/>
      <c r="W329" s="74"/>
      <c r="X329" s="74"/>
      <c r="Y329" s="74"/>
      <c r="Z329" s="74"/>
    </row>
    <row r="330" spans="1:26" ht="15" customHeight="1">
      <c r="A330" s="74"/>
      <c r="B330" s="74" t="b">
        <f t="shared" si="5"/>
        <v>1</v>
      </c>
      <c r="C330" s="77">
        <v>20049</v>
      </c>
      <c r="D330" s="74">
        <v>20049</v>
      </c>
      <c r="E330" s="79" t="s">
        <v>700</v>
      </c>
      <c r="F330" s="74" t="s">
        <v>25</v>
      </c>
      <c r="G330" s="74"/>
      <c r="H330" s="74"/>
      <c r="I330" s="76">
        <v>407</v>
      </c>
      <c r="J330" s="74">
        <v>309</v>
      </c>
      <c r="K330" s="74">
        <v>191</v>
      </c>
      <c r="L330" s="74">
        <v>352</v>
      </c>
      <c r="M330" s="74">
        <v>356</v>
      </c>
      <c r="N330" s="74">
        <v>301</v>
      </c>
      <c r="O330" s="74">
        <v>332</v>
      </c>
      <c r="P330" s="74">
        <v>275</v>
      </c>
      <c r="Q330" s="74">
        <v>286</v>
      </c>
      <c r="R330" s="74">
        <v>307</v>
      </c>
      <c r="S330" s="74">
        <v>344</v>
      </c>
      <c r="T330" s="74">
        <v>372</v>
      </c>
      <c r="U330" s="74">
        <v>333</v>
      </c>
      <c r="V330" s="77"/>
      <c r="W330" s="74"/>
      <c r="X330" s="74"/>
      <c r="Y330" s="74"/>
      <c r="Z330" s="74"/>
    </row>
    <row r="331" spans="1:26" ht="15" customHeight="1">
      <c r="A331" s="74"/>
      <c r="B331" s="74" t="b">
        <f t="shared" si="5"/>
        <v>1</v>
      </c>
      <c r="C331" s="77">
        <v>25920</v>
      </c>
      <c r="D331" s="74">
        <v>25920</v>
      </c>
      <c r="E331" s="79" t="s">
        <v>704</v>
      </c>
      <c r="F331" s="74" t="s">
        <v>25</v>
      </c>
      <c r="G331" s="74"/>
      <c r="H331" s="74"/>
      <c r="I331" s="76">
        <v>584</v>
      </c>
      <c r="J331" s="74">
        <v>293</v>
      </c>
      <c r="K331" s="74">
        <v>295</v>
      </c>
      <c r="L331" s="74">
        <v>640</v>
      </c>
      <c r="M331" s="74">
        <v>718</v>
      </c>
      <c r="N331" s="74">
        <v>695</v>
      </c>
      <c r="O331" s="74">
        <v>660</v>
      </c>
      <c r="P331" s="74">
        <v>428</v>
      </c>
      <c r="Q331" s="74">
        <v>589</v>
      </c>
      <c r="R331" s="74">
        <v>683</v>
      </c>
      <c r="S331" s="74">
        <v>718</v>
      </c>
      <c r="T331" s="74">
        <v>618</v>
      </c>
      <c r="U331" s="74">
        <v>638</v>
      </c>
      <c r="V331" s="77"/>
      <c r="W331" s="74"/>
      <c r="X331" s="74"/>
      <c r="Y331" s="74"/>
      <c r="Z331" s="74"/>
    </row>
    <row r="332" spans="1:26" ht="15" customHeight="1">
      <c r="A332" s="74"/>
      <c r="B332" s="74" t="b">
        <f t="shared" si="5"/>
        <v>1</v>
      </c>
      <c r="C332" s="77">
        <v>511076</v>
      </c>
      <c r="D332" s="74">
        <v>511076</v>
      </c>
      <c r="E332" s="79" t="s">
        <v>700</v>
      </c>
      <c r="F332" s="74" t="s">
        <v>25</v>
      </c>
      <c r="G332" s="74"/>
      <c r="H332" s="74"/>
      <c r="I332" s="76">
        <v>551</v>
      </c>
      <c r="J332" s="74">
        <v>436</v>
      </c>
      <c r="K332" s="74">
        <v>316</v>
      </c>
      <c r="L332" s="74">
        <v>537</v>
      </c>
      <c r="M332" s="74">
        <v>528</v>
      </c>
      <c r="N332" s="74">
        <v>535</v>
      </c>
      <c r="O332" s="74">
        <v>556</v>
      </c>
      <c r="P332" s="74">
        <v>449</v>
      </c>
      <c r="Q332" s="74">
        <v>479</v>
      </c>
      <c r="R332" s="74">
        <v>549</v>
      </c>
      <c r="S332" s="74">
        <v>583</v>
      </c>
      <c r="T332" s="74">
        <v>561</v>
      </c>
      <c r="U332" s="74">
        <v>546</v>
      </c>
      <c r="V332" s="77"/>
      <c r="W332" s="74"/>
      <c r="X332" s="74"/>
      <c r="Y332" s="74"/>
      <c r="Z332" s="74"/>
    </row>
    <row r="333" spans="1:26" ht="15" customHeight="1">
      <c r="A333" s="74"/>
      <c r="B333" s="74" t="b">
        <f t="shared" si="5"/>
        <v>1</v>
      </c>
      <c r="C333" s="77">
        <v>7676894</v>
      </c>
      <c r="D333" s="74">
        <v>7676894</v>
      </c>
      <c r="E333" s="79" t="s">
        <v>704</v>
      </c>
      <c r="F333" s="74" t="s">
        <v>25</v>
      </c>
      <c r="G333" s="74"/>
      <c r="H333" s="74"/>
      <c r="I333" s="76">
        <v>3162</v>
      </c>
      <c r="J333" s="74">
        <v>1839</v>
      </c>
      <c r="K333" s="74">
        <v>1724</v>
      </c>
      <c r="L333" s="74">
        <v>3789</v>
      </c>
      <c r="M333" s="74">
        <v>3908</v>
      </c>
      <c r="N333" s="74">
        <v>3850</v>
      </c>
      <c r="O333" s="74">
        <v>4075</v>
      </c>
      <c r="P333" s="74">
        <v>2603</v>
      </c>
      <c r="Q333" s="74">
        <v>3902</v>
      </c>
      <c r="R333" s="74">
        <v>4558</v>
      </c>
      <c r="S333" s="74">
        <v>4446</v>
      </c>
      <c r="T333" s="74">
        <v>4304</v>
      </c>
      <c r="U333" s="74">
        <v>3361</v>
      </c>
      <c r="V333" s="77"/>
      <c r="W333" s="74"/>
      <c r="X333" s="74"/>
      <c r="Y333" s="74"/>
      <c r="Z333" s="74"/>
    </row>
    <row r="334" spans="1:26" ht="15" customHeight="1">
      <c r="A334" s="74"/>
      <c r="B334" s="74" t="b">
        <f t="shared" si="5"/>
        <v>1</v>
      </c>
      <c r="C334" s="77">
        <v>7861275</v>
      </c>
      <c r="D334" s="74">
        <v>7861275</v>
      </c>
      <c r="E334" s="79" t="s">
        <v>704</v>
      </c>
      <c r="F334" s="74" t="s">
        <v>25</v>
      </c>
      <c r="G334" s="74"/>
      <c r="H334" s="74"/>
      <c r="I334" s="76">
        <v>596</v>
      </c>
      <c r="J334" s="74">
        <v>365</v>
      </c>
      <c r="K334" s="74">
        <v>271</v>
      </c>
      <c r="L334" s="74">
        <v>683</v>
      </c>
      <c r="M334" s="74">
        <v>717</v>
      </c>
      <c r="N334" s="74">
        <v>747</v>
      </c>
      <c r="O334" s="74">
        <v>377</v>
      </c>
      <c r="P334" s="74">
        <v>100</v>
      </c>
      <c r="Q334" s="74">
        <v>697</v>
      </c>
      <c r="R334" s="74">
        <v>813</v>
      </c>
      <c r="S334" s="74">
        <v>891</v>
      </c>
      <c r="T334" s="74">
        <v>877</v>
      </c>
      <c r="U334" s="74">
        <v>795</v>
      </c>
      <c r="V334" s="77"/>
      <c r="W334" s="74"/>
      <c r="X334" s="74"/>
      <c r="Y334" s="74"/>
      <c r="Z334" s="74"/>
    </row>
    <row r="335" spans="1:26" ht="15" customHeight="1">
      <c r="A335" s="74"/>
      <c r="B335" s="74" t="b">
        <f t="shared" si="5"/>
        <v>1</v>
      </c>
      <c r="C335" s="77">
        <v>59668906</v>
      </c>
      <c r="D335" s="74">
        <v>59668906</v>
      </c>
      <c r="E335" s="79" t="s">
        <v>704</v>
      </c>
      <c r="F335" s="74" t="s">
        <v>25</v>
      </c>
      <c r="G335" s="74"/>
      <c r="H335" s="74"/>
      <c r="I335" s="76">
        <v>3942</v>
      </c>
      <c r="J335" s="74">
        <v>3019</v>
      </c>
      <c r="K335" s="74">
        <v>2141</v>
      </c>
      <c r="L335" s="74">
        <v>3326</v>
      </c>
      <c r="M335" s="74">
        <v>3831</v>
      </c>
      <c r="N335" s="74">
        <v>3556</v>
      </c>
      <c r="O335" s="74">
        <v>2924</v>
      </c>
      <c r="P335" s="74">
        <v>2310</v>
      </c>
      <c r="Q335" s="74">
        <v>1411</v>
      </c>
      <c r="R335" s="74">
        <v>1080</v>
      </c>
      <c r="S335" s="74">
        <v>1094</v>
      </c>
      <c r="T335" s="74">
        <v>1388</v>
      </c>
      <c r="U335" s="74">
        <v>1033</v>
      </c>
      <c r="V335" s="77"/>
      <c r="W335" s="74"/>
      <c r="X335" s="74"/>
      <c r="Y335" s="74"/>
      <c r="Z335" s="74"/>
    </row>
    <row r="336" spans="1:26" ht="15" customHeight="1">
      <c r="A336" s="74"/>
      <c r="B336" s="74" t="b">
        <f t="shared" si="5"/>
        <v>1</v>
      </c>
      <c r="C336" s="77">
        <v>10174</v>
      </c>
      <c r="D336" s="74">
        <v>10174</v>
      </c>
      <c r="E336" s="79" t="s">
        <v>732</v>
      </c>
      <c r="F336" s="74" t="s">
        <v>25</v>
      </c>
      <c r="G336" s="74"/>
      <c r="H336" s="74"/>
      <c r="I336" s="76">
        <v>628</v>
      </c>
      <c r="J336" s="74">
        <v>602</v>
      </c>
      <c r="K336" s="74">
        <v>820</v>
      </c>
      <c r="L336" s="74">
        <v>1103</v>
      </c>
      <c r="M336" s="74">
        <v>1147</v>
      </c>
      <c r="N336" s="74">
        <v>945</v>
      </c>
      <c r="O336" s="74">
        <v>933</v>
      </c>
      <c r="P336" s="74">
        <v>874</v>
      </c>
      <c r="Q336" s="74">
        <v>984</v>
      </c>
      <c r="R336" s="74">
        <v>1101</v>
      </c>
      <c r="S336" s="74">
        <v>1214</v>
      </c>
      <c r="T336" s="74">
        <v>1124</v>
      </c>
      <c r="U336" s="74">
        <v>1113</v>
      </c>
      <c r="V336" s="77"/>
      <c r="W336" s="74"/>
      <c r="X336" s="74"/>
      <c r="Y336" s="74"/>
      <c r="Z336" s="74"/>
    </row>
    <row r="337" spans="1:26" ht="15" customHeight="1">
      <c r="A337" s="74"/>
      <c r="B337" s="74" t="b">
        <f t="shared" si="5"/>
        <v>1</v>
      </c>
      <c r="C337" s="77">
        <v>10276</v>
      </c>
      <c r="D337" s="74">
        <v>10276</v>
      </c>
      <c r="E337" s="79" t="s">
        <v>704</v>
      </c>
      <c r="F337" s="74" t="s">
        <v>25</v>
      </c>
      <c r="G337" s="74"/>
      <c r="H337" s="74"/>
      <c r="I337" s="76">
        <v>1612</v>
      </c>
      <c r="J337" s="74">
        <v>981</v>
      </c>
      <c r="K337" s="74">
        <v>1305</v>
      </c>
      <c r="L337" s="74">
        <v>2192</v>
      </c>
      <c r="M337" s="74">
        <v>1981</v>
      </c>
      <c r="N337" s="74">
        <v>1978</v>
      </c>
      <c r="O337" s="74">
        <v>1625</v>
      </c>
      <c r="P337" s="74">
        <v>1311</v>
      </c>
      <c r="Q337" s="74">
        <v>1612</v>
      </c>
      <c r="R337" s="74">
        <v>1974</v>
      </c>
      <c r="S337" s="74">
        <v>448</v>
      </c>
      <c r="T337" s="74">
        <v>899</v>
      </c>
      <c r="U337" s="74">
        <v>1684</v>
      </c>
      <c r="V337" s="77"/>
      <c r="W337" s="74"/>
      <c r="X337" s="74"/>
      <c r="Y337" s="74"/>
      <c r="Z337" s="74"/>
    </row>
    <row r="338" spans="1:26" ht="15" customHeight="1">
      <c r="A338" s="74"/>
      <c r="B338" s="74" t="b">
        <f t="shared" si="5"/>
        <v>1</v>
      </c>
      <c r="C338" s="77">
        <v>10265</v>
      </c>
      <c r="D338" s="74">
        <v>10265</v>
      </c>
      <c r="E338" s="79" t="s">
        <v>704</v>
      </c>
      <c r="F338" s="74" t="s">
        <v>25</v>
      </c>
      <c r="G338" s="74"/>
      <c r="H338" s="74"/>
      <c r="I338" s="76">
        <v>2380</v>
      </c>
      <c r="J338" s="74">
        <v>1020</v>
      </c>
      <c r="K338" s="74">
        <v>1100</v>
      </c>
      <c r="L338" s="74">
        <v>1840</v>
      </c>
      <c r="M338" s="74">
        <v>2100</v>
      </c>
      <c r="N338" s="74">
        <v>1980</v>
      </c>
      <c r="O338" s="74">
        <v>1380</v>
      </c>
      <c r="P338" s="74">
        <v>1040</v>
      </c>
      <c r="Q338" s="74">
        <v>1440</v>
      </c>
      <c r="R338" s="74">
        <v>1800</v>
      </c>
      <c r="S338" s="74">
        <v>2040</v>
      </c>
      <c r="T338" s="74">
        <v>2480</v>
      </c>
      <c r="U338" s="74">
        <v>1560</v>
      </c>
      <c r="V338" s="77"/>
      <c r="W338" s="74"/>
      <c r="X338" s="74"/>
      <c r="Y338" s="74"/>
      <c r="Z338" s="74"/>
    </row>
    <row r="339" spans="1:26" ht="15" customHeight="1">
      <c r="A339" s="74"/>
      <c r="B339" s="74" t="b">
        <f t="shared" si="5"/>
        <v>1</v>
      </c>
      <c r="C339" s="77">
        <v>56399439</v>
      </c>
      <c r="D339" s="74">
        <v>56399439</v>
      </c>
      <c r="E339" s="79" t="s">
        <v>732</v>
      </c>
      <c r="F339" s="74" t="s">
        <v>25</v>
      </c>
      <c r="G339" s="74"/>
      <c r="H339" s="74"/>
      <c r="I339" s="76">
        <v>471</v>
      </c>
      <c r="J339" s="74">
        <v>176</v>
      </c>
      <c r="K339" s="74">
        <v>230</v>
      </c>
      <c r="L339" s="74">
        <v>466</v>
      </c>
      <c r="M339" s="74">
        <v>491</v>
      </c>
      <c r="N339" s="74">
        <v>444</v>
      </c>
      <c r="O339" s="74">
        <v>368</v>
      </c>
      <c r="P339" s="74">
        <v>303</v>
      </c>
      <c r="Q339" s="74">
        <v>378</v>
      </c>
      <c r="R339" s="74">
        <v>467</v>
      </c>
      <c r="S339" s="74">
        <v>544</v>
      </c>
      <c r="T339" s="74">
        <v>546</v>
      </c>
      <c r="U339" s="74">
        <v>470</v>
      </c>
      <c r="V339" s="77"/>
      <c r="W339" s="74"/>
      <c r="X339" s="74"/>
      <c r="Y339" s="74"/>
      <c r="Z339" s="74"/>
    </row>
    <row r="340" spans="1:26" ht="15" customHeight="1">
      <c r="A340" s="74"/>
      <c r="B340" s="74" t="b">
        <f t="shared" si="5"/>
        <v>1</v>
      </c>
      <c r="C340" s="77">
        <v>6438451</v>
      </c>
      <c r="D340" s="74">
        <v>6438451</v>
      </c>
      <c r="E340" s="79" t="s">
        <v>704</v>
      </c>
      <c r="F340" s="74" t="s">
        <v>25</v>
      </c>
      <c r="G340" s="74"/>
      <c r="H340" s="74"/>
      <c r="I340" s="76">
        <v>861</v>
      </c>
      <c r="J340" s="74">
        <v>962</v>
      </c>
      <c r="K340" s="74">
        <v>1301</v>
      </c>
      <c r="L340" s="74">
        <v>1281</v>
      </c>
      <c r="M340" s="74">
        <v>1510</v>
      </c>
      <c r="N340" s="74">
        <v>1350</v>
      </c>
      <c r="O340" s="74">
        <v>2570</v>
      </c>
      <c r="P340" s="74">
        <v>2513</v>
      </c>
      <c r="Q340" s="74">
        <v>2002</v>
      </c>
      <c r="R340" s="74">
        <v>2559</v>
      </c>
      <c r="S340" s="74">
        <v>3393</v>
      </c>
      <c r="T340" s="74">
        <v>2975</v>
      </c>
      <c r="U340" s="74">
        <v>2193</v>
      </c>
      <c r="V340" s="77"/>
      <c r="W340" s="74"/>
      <c r="X340" s="74"/>
      <c r="Y340" s="74"/>
      <c r="Z340" s="74"/>
    </row>
    <row r="341" spans="1:26" ht="15" customHeight="1">
      <c r="A341" s="74"/>
      <c r="B341" s="74" t="b">
        <f t="shared" si="5"/>
        <v>1</v>
      </c>
      <c r="C341" s="77">
        <v>24561</v>
      </c>
      <c r="D341" s="74">
        <v>24561</v>
      </c>
      <c r="E341" s="79" t="s">
        <v>700</v>
      </c>
      <c r="F341" s="74" t="s">
        <v>25</v>
      </c>
      <c r="G341" s="74"/>
      <c r="H341" s="74"/>
      <c r="I341" s="76">
        <v>671</v>
      </c>
      <c r="J341" s="74">
        <v>395</v>
      </c>
      <c r="K341" s="74">
        <v>339</v>
      </c>
      <c r="L341" s="74">
        <v>412</v>
      </c>
      <c r="M341" s="74">
        <v>399</v>
      </c>
      <c r="N341" s="74">
        <v>336</v>
      </c>
      <c r="O341" s="74">
        <v>352</v>
      </c>
      <c r="P341" s="74">
        <v>276</v>
      </c>
      <c r="Q341" s="74">
        <v>350</v>
      </c>
      <c r="R341" s="74">
        <v>448</v>
      </c>
      <c r="S341" s="74">
        <v>469</v>
      </c>
      <c r="T341" s="74">
        <v>523</v>
      </c>
      <c r="U341" s="74">
        <v>496</v>
      </c>
      <c r="V341" s="77"/>
      <c r="W341" s="74"/>
      <c r="X341" s="74"/>
      <c r="Y341" s="74"/>
      <c r="Z341" s="74"/>
    </row>
    <row r="342" spans="1:26" ht="15" customHeight="1">
      <c r="A342" s="74"/>
      <c r="B342" s="74" t="b">
        <f t="shared" si="5"/>
        <v>1</v>
      </c>
      <c r="C342" s="77">
        <v>10376</v>
      </c>
      <c r="D342" s="74">
        <v>10376</v>
      </c>
      <c r="E342" s="79" t="s">
        <v>732</v>
      </c>
      <c r="F342" s="74" t="s">
        <v>25</v>
      </c>
      <c r="G342" s="74"/>
      <c r="H342" s="74"/>
      <c r="I342" s="76">
        <v>1416</v>
      </c>
      <c r="J342" s="74">
        <v>653</v>
      </c>
      <c r="K342" s="74">
        <v>586</v>
      </c>
      <c r="L342" s="74">
        <v>1252</v>
      </c>
      <c r="M342" s="74">
        <v>1165</v>
      </c>
      <c r="N342" s="74">
        <v>1184</v>
      </c>
      <c r="O342" s="74">
        <v>903</v>
      </c>
      <c r="P342" s="74">
        <v>667</v>
      </c>
      <c r="Q342" s="74">
        <v>975</v>
      </c>
      <c r="R342" s="74">
        <v>1289</v>
      </c>
      <c r="S342" s="74">
        <v>1575</v>
      </c>
      <c r="T342" s="74">
        <v>1884</v>
      </c>
      <c r="U342" s="74">
        <v>1408</v>
      </c>
      <c r="V342" s="77"/>
      <c r="W342" s="74"/>
      <c r="X342" s="74"/>
      <c r="Y342" s="74"/>
      <c r="Z342" s="74"/>
    </row>
    <row r="343" spans="1:26" ht="15" customHeight="1">
      <c r="A343" s="74"/>
      <c r="B343" s="74" t="b">
        <f t="shared" si="5"/>
        <v>1</v>
      </c>
      <c r="C343" s="77">
        <v>10279</v>
      </c>
      <c r="D343" s="74">
        <v>10279</v>
      </c>
      <c r="E343" s="79" t="s">
        <v>704</v>
      </c>
      <c r="F343" s="74" t="s">
        <v>25</v>
      </c>
      <c r="G343" s="74"/>
      <c r="H343" s="74"/>
      <c r="I343" s="76">
        <v>1128</v>
      </c>
      <c r="J343" s="74">
        <v>527</v>
      </c>
      <c r="K343" s="74">
        <v>1650</v>
      </c>
      <c r="L343" s="74">
        <v>2466</v>
      </c>
      <c r="M343" s="74">
        <v>2475</v>
      </c>
      <c r="N343" s="74">
        <v>2258</v>
      </c>
      <c r="O343" s="74">
        <v>1609</v>
      </c>
      <c r="P343" s="74">
        <v>1367</v>
      </c>
      <c r="Q343" s="74">
        <v>2175</v>
      </c>
      <c r="R343" s="74">
        <v>2427</v>
      </c>
      <c r="S343" s="74">
        <v>2611</v>
      </c>
      <c r="T343" s="74">
        <v>2561</v>
      </c>
      <c r="U343" s="74">
        <v>2153</v>
      </c>
      <c r="V343" s="77"/>
      <c r="W343" s="74"/>
      <c r="X343" s="74"/>
      <c r="Y343" s="74"/>
      <c r="Z343" s="74"/>
    </row>
    <row r="344" spans="1:26" ht="15" customHeight="1">
      <c r="A344" s="74"/>
      <c r="B344" s="74" t="b">
        <f t="shared" si="5"/>
        <v>1</v>
      </c>
      <c r="C344" s="77">
        <v>10287</v>
      </c>
      <c r="D344" s="74">
        <v>10287</v>
      </c>
      <c r="E344" s="79" t="s">
        <v>704</v>
      </c>
      <c r="F344" s="74" t="s">
        <v>25</v>
      </c>
      <c r="G344" s="74"/>
      <c r="H344" s="74"/>
      <c r="I344" s="76">
        <v>3479</v>
      </c>
      <c r="J344" s="74">
        <v>1564</v>
      </c>
      <c r="K344" s="74">
        <v>1534</v>
      </c>
      <c r="L344" s="74">
        <v>3095</v>
      </c>
      <c r="M344" s="74">
        <v>2959</v>
      </c>
      <c r="N344" s="74">
        <v>2832</v>
      </c>
      <c r="O344" s="74">
        <v>2385</v>
      </c>
      <c r="P344" s="74">
        <v>1503</v>
      </c>
      <c r="Q344" s="74">
        <v>2534</v>
      </c>
      <c r="R344" s="74">
        <v>2905</v>
      </c>
      <c r="S344" s="74">
        <v>3508</v>
      </c>
      <c r="T344" s="74">
        <v>3442</v>
      </c>
      <c r="U344" s="74">
        <v>2853</v>
      </c>
      <c r="V344" s="77"/>
      <c r="W344" s="74"/>
      <c r="X344" s="74"/>
      <c r="Y344" s="74"/>
      <c r="Z344" s="74"/>
    </row>
    <row r="345" spans="1:26" ht="15" customHeight="1">
      <c r="A345" s="74"/>
      <c r="B345" s="74" t="b">
        <f t="shared" si="5"/>
        <v>1</v>
      </c>
      <c r="C345" s="77">
        <v>10293</v>
      </c>
      <c r="D345" s="74">
        <v>10293</v>
      </c>
      <c r="E345" s="79" t="s">
        <v>732</v>
      </c>
      <c r="F345" s="74" t="s">
        <v>25</v>
      </c>
      <c r="G345" s="74"/>
      <c r="H345" s="74"/>
      <c r="I345" s="76">
        <v>1067</v>
      </c>
      <c r="J345" s="74">
        <v>527</v>
      </c>
      <c r="K345" s="74">
        <v>544</v>
      </c>
      <c r="L345" s="74">
        <v>997</v>
      </c>
      <c r="M345" s="74">
        <v>1142</v>
      </c>
      <c r="N345" s="74">
        <v>1070</v>
      </c>
      <c r="O345" s="74">
        <v>986</v>
      </c>
      <c r="P345" s="74">
        <v>901</v>
      </c>
      <c r="Q345" s="74">
        <v>1025</v>
      </c>
      <c r="R345" s="74">
        <v>1042</v>
      </c>
      <c r="S345" s="74">
        <v>1023</v>
      </c>
      <c r="T345" s="74">
        <v>1045</v>
      </c>
      <c r="U345" s="74">
        <v>779</v>
      </c>
      <c r="V345" s="77"/>
      <c r="W345" s="74"/>
      <c r="X345" s="74"/>
      <c r="Y345" s="74"/>
      <c r="Z345" s="74"/>
    </row>
    <row r="346" spans="1:26" ht="15" customHeight="1">
      <c r="A346" s="74"/>
      <c r="B346" s="74" t="b">
        <f t="shared" si="5"/>
        <v>1</v>
      </c>
      <c r="C346" s="77">
        <v>10294</v>
      </c>
      <c r="D346" s="74">
        <v>10294</v>
      </c>
      <c r="E346" s="79" t="s">
        <v>704</v>
      </c>
      <c r="F346" s="74" t="s">
        <v>25</v>
      </c>
      <c r="G346" s="74"/>
      <c r="H346" s="74"/>
      <c r="I346" s="76">
        <v>2702</v>
      </c>
      <c r="J346" s="74">
        <v>426</v>
      </c>
      <c r="K346" s="74">
        <v>891</v>
      </c>
      <c r="L346" s="74">
        <v>2274</v>
      </c>
      <c r="M346" s="74">
        <v>1683</v>
      </c>
      <c r="N346" s="74">
        <v>2090</v>
      </c>
      <c r="O346" s="74">
        <v>1343</v>
      </c>
      <c r="P346" s="74">
        <v>833</v>
      </c>
      <c r="Q346" s="74">
        <v>1309</v>
      </c>
      <c r="R346" s="74">
        <v>1968</v>
      </c>
      <c r="S346" s="74">
        <v>2400</v>
      </c>
      <c r="T346" s="74">
        <v>2170</v>
      </c>
      <c r="U346" s="74">
        <v>1470</v>
      </c>
      <c r="V346" s="77"/>
      <c r="W346" s="74"/>
      <c r="X346" s="74"/>
      <c r="Y346" s="74"/>
      <c r="Z346" s="74"/>
    </row>
    <row r="347" spans="1:26" ht="15" customHeight="1">
      <c r="A347" s="74"/>
      <c r="B347" s="74" t="b">
        <f t="shared" si="5"/>
        <v>1</v>
      </c>
      <c r="C347" s="77">
        <v>5556615</v>
      </c>
      <c r="D347" s="74">
        <v>5556615</v>
      </c>
      <c r="E347" s="79" t="s">
        <v>704</v>
      </c>
      <c r="F347" s="74" t="s">
        <v>25</v>
      </c>
      <c r="G347" s="74"/>
      <c r="H347" s="74"/>
      <c r="I347" s="76">
        <v>1441</v>
      </c>
      <c r="J347" s="74">
        <v>741</v>
      </c>
      <c r="K347" s="74">
        <v>797</v>
      </c>
      <c r="L347" s="74">
        <v>1466</v>
      </c>
      <c r="M347" s="74">
        <v>1466</v>
      </c>
      <c r="N347" s="74">
        <v>1582</v>
      </c>
      <c r="O347" s="74">
        <v>1301</v>
      </c>
      <c r="P347" s="74">
        <v>1016</v>
      </c>
      <c r="Q347" s="74">
        <v>1194</v>
      </c>
      <c r="R347" s="74">
        <v>1325</v>
      </c>
      <c r="S347" s="74">
        <v>1449</v>
      </c>
      <c r="T347" s="74">
        <v>1472</v>
      </c>
      <c r="U347" s="74">
        <v>1190</v>
      </c>
      <c r="V347" s="77"/>
      <c r="W347" s="74"/>
      <c r="X347" s="74"/>
      <c r="Y347" s="74"/>
      <c r="Z347" s="74"/>
    </row>
    <row r="348" spans="1:26" ht="15" customHeight="1">
      <c r="A348" s="74"/>
      <c r="B348" s="74" t="b">
        <f t="shared" si="5"/>
        <v>1</v>
      </c>
      <c r="C348" s="77">
        <v>4259999</v>
      </c>
      <c r="D348" s="74">
        <v>4259999</v>
      </c>
      <c r="E348" s="79" t="s">
        <v>704</v>
      </c>
      <c r="F348" s="74" t="s">
        <v>25</v>
      </c>
      <c r="G348" s="74"/>
      <c r="H348" s="74"/>
      <c r="I348" s="76">
        <v>1775</v>
      </c>
      <c r="J348" s="74">
        <v>1149</v>
      </c>
      <c r="K348" s="74">
        <v>1174</v>
      </c>
      <c r="L348" s="74">
        <v>1879</v>
      </c>
      <c r="M348" s="74">
        <v>1946</v>
      </c>
      <c r="N348" s="74">
        <v>1952</v>
      </c>
      <c r="O348" s="74">
        <v>1540</v>
      </c>
      <c r="P348" s="74">
        <v>1374</v>
      </c>
      <c r="Q348" s="74">
        <v>1765</v>
      </c>
      <c r="R348" s="74">
        <v>1969</v>
      </c>
      <c r="S348" s="74">
        <v>1951</v>
      </c>
      <c r="T348" s="74">
        <v>1937</v>
      </c>
      <c r="U348" s="74">
        <v>1572</v>
      </c>
      <c r="V348" s="77"/>
      <c r="W348" s="74"/>
      <c r="X348" s="74"/>
      <c r="Y348" s="74"/>
      <c r="Z348" s="74"/>
    </row>
    <row r="349" spans="1:26" ht="15" customHeight="1">
      <c r="A349" s="74"/>
      <c r="B349" s="74" t="b">
        <f t="shared" si="5"/>
        <v>1</v>
      </c>
      <c r="C349" s="77">
        <v>5142675</v>
      </c>
      <c r="D349" s="74">
        <v>5142675</v>
      </c>
      <c r="E349" s="79" t="s">
        <v>704</v>
      </c>
      <c r="F349" s="74" t="s">
        <v>25</v>
      </c>
      <c r="G349" s="74"/>
      <c r="H349" s="74"/>
      <c r="I349" s="76">
        <v>1242</v>
      </c>
      <c r="J349" s="74">
        <v>488</v>
      </c>
      <c r="K349" s="74">
        <v>611</v>
      </c>
      <c r="L349" s="74">
        <v>1004</v>
      </c>
      <c r="M349" s="74">
        <v>1023</v>
      </c>
      <c r="N349" s="74">
        <v>1014</v>
      </c>
      <c r="O349" s="74">
        <v>734</v>
      </c>
      <c r="P349" s="74">
        <v>633</v>
      </c>
      <c r="Q349" s="74">
        <v>963</v>
      </c>
      <c r="R349" s="74">
        <v>1054</v>
      </c>
      <c r="S349" s="74">
        <v>1196</v>
      </c>
      <c r="T349" s="74">
        <v>1275</v>
      </c>
      <c r="U349" s="74">
        <v>1096</v>
      </c>
      <c r="V349" s="77"/>
      <c r="W349" s="74"/>
      <c r="X349" s="74"/>
      <c r="Y349" s="74"/>
      <c r="Z349" s="74"/>
    </row>
    <row r="350" spans="1:26" ht="15" customHeight="1">
      <c r="A350" s="74"/>
      <c r="B350" s="74" t="b">
        <f t="shared" si="5"/>
        <v>1</v>
      </c>
      <c r="C350" s="77">
        <v>4876266</v>
      </c>
      <c r="D350" s="74">
        <v>4876266</v>
      </c>
      <c r="E350" s="79" t="s">
        <v>704</v>
      </c>
      <c r="F350" s="74" t="s">
        <v>25</v>
      </c>
      <c r="G350" s="74"/>
      <c r="H350" s="74"/>
      <c r="I350" s="76">
        <v>3201</v>
      </c>
      <c r="J350" s="74">
        <v>1755</v>
      </c>
      <c r="K350" s="74">
        <v>1781</v>
      </c>
      <c r="L350" s="74">
        <v>2864</v>
      </c>
      <c r="M350" s="74">
        <v>3161</v>
      </c>
      <c r="N350" s="74">
        <v>3044</v>
      </c>
      <c r="O350" s="74">
        <v>3042</v>
      </c>
      <c r="P350" s="74">
        <v>2607</v>
      </c>
      <c r="Q350" s="74">
        <v>2862</v>
      </c>
      <c r="R350" s="74">
        <v>3133</v>
      </c>
      <c r="S350" s="74">
        <v>3270</v>
      </c>
      <c r="T350" s="74">
        <v>3307</v>
      </c>
      <c r="U350" s="74">
        <v>2568</v>
      </c>
      <c r="V350" s="77"/>
      <c r="W350" s="74"/>
      <c r="X350" s="74"/>
      <c r="Y350" s="74"/>
      <c r="Z350" s="74"/>
    </row>
    <row r="351" spans="1:26" ht="15" customHeight="1">
      <c r="A351" s="74"/>
      <c r="B351" s="74" t="b">
        <f t="shared" si="5"/>
        <v>1</v>
      </c>
      <c r="C351" s="77">
        <v>3511441</v>
      </c>
      <c r="D351" s="74">
        <v>3511441</v>
      </c>
      <c r="E351" s="79" t="s">
        <v>704</v>
      </c>
      <c r="F351" s="74" t="s">
        <v>25</v>
      </c>
      <c r="G351" s="74"/>
      <c r="H351" s="74"/>
      <c r="I351" s="76">
        <v>2669</v>
      </c>
      <c r="J351" s="74">
        <v>652</v>
      </c>
      <c r="K351" s="74">
        <v>900</v>
      </c>
      <c r="L351" s="74">
        <v>2353</v>
      </c>
      <c r="M351" s="74">
        <v>2489</v>
      </c>
      <c r="N351" s="74">
        <v>2492</v>
      </c>
      <c r="O351" s="74">
        <v>2023</v>
      </c>
      <c r="P351" s="74">
        <v>1460</v>
      </c>
      <c r="Q351" s="74">
        <v>1432</v>
      </c>
      <c r="R351" s="74">
        <v>1755</v>
      </c>
      <c r="S351" s="74">
        <v>551</v>
      </c>
      <c r="T351" s="74">
        <v>1501</v>
      </c>
      <c r="U351" s="74">
        <v>1555</v>
      </c>
      <c r="V351" s="77"/>
      <c r="W351" s="74"/>
      <c r="X351" s="74"/>
      <c r="Y351" s="74"/>
      <c r="Z351" s="74"/>
    </row>
    <row r="352" spans="1:26" ht="15" customHeight="1">
      <c r="A352" s="74"/>
      <c r="B352" s="74" t="b">
        <f t="shared" si="5"/>
        <v>1</v>
      </c>
      <c r="C352" s="77">
        <v>4876266</v>
      </c>
      <c r="D352" s="74">
        <v>4876266</v>
      </c>
      <c r="E352" s="79" t="s">
        <v>704</v>
      </c>
      <c r="F352" s="74" t="s">
        <v>25</v>
      </c>
      <c r="G352" s="74"/>
      <c r="H352" s="74"/>
      <c r="I352" s="76">
        <v>3201</v>
      </c>
      <c r="J352" s="74">
        <v>1755</v>
      </c>
      <c r="K352" s="74">
        <v>1781</v>
      </c>
      <c r="L352" s="74">
        <v>2864</v>
      </c>
      <c r="M352" s="74">
        <v>3161</v>
      </c>
      <c r="N352" s="74">
        <v>3044</v>
      </c>
      <c r="O352" s="74">
        <v>3042</v>
      </c>
      <c r="P352" s="74">
        <v>2607</v>
      </c>
      <c r="Q352" s="74">
        <v>2862</v>
      </c>
      <c r="R352" s="74">
        <v>3133</v>
      </c>
      <c r="S352" s="74">
        <v>3270</v>
      </c>
      <c r="T352" s="74">
        <v>3307</v>
      </c>
      <c r="U352" s="74">
        <v>2568</v>
      </c>
      <c r="V352" s="77"/>
      <c r="W352" s="74"/>
      <c r="X352" s="74"/>
      <c r="Y352" s="74"/>
      <c r="Z352" s="74"/>
    </row>
    <row r="353" spans="1:26" ht="15" customHeight="1">
      <c r="A353" s="74"/>
      <c r="B353" s="74" t="b">
        <f t="shared" si="5"/>
        <v>1</v>
      </c>
      <c r="C353" s="77">
        <v>3808190</v>
      </c>
      <c r="D353" s="78">
        <v>3808190</v>
      </c>
      <c r="E353" s="79" t="s">
        <v>732</v>
      </c>
      <c r="F353" s="74" t="s">
        <v>25</v>
      </c>
      <c r="G353" s="74"/>
      <c r="H353" s="74"/>
      <c r="I353" s="80">
        <v>1177</v>
      </c>
      <c r="J353" s="78">
        <v>612</v>
      </c>
      <c r="K353" s="78">
        <v>563</v>
      </c>
      <c r="L353" s="78">
        <v>871</v>
      </c>
      <c r="M353" s="78">
        <v>877</v>
      </c>
      <c r="N353" s="78">
        <v>866</v>
      </c>
      <c r="O353" s="78">
        <v>743</v>
      </c>
      <c r="P353" s="78">
        <v>629</v>
      </c>
      <c r="Q353" s="78">
        <v>895</v>
      </c>
      <c r="R353" s="78">
        <v>1142</v>
      </c>
      <c r="S353" s="78">
        <v>1291</v>
      </c>
      <c r="T353" s="78">
        <v>1214</v>
      </c>
      <c r="U353" s="78">
        <v>910</v>
      </c>
      <c r="V353" s="77"/>
      <c r="W353" s="74"/>
      <c r="X353" s="74"/>
      <c r="Y353" s="74"/>
      <c r="Z353" s="74"/>
    </row>
    <row r="354" spans="1:26" ht="15" customHeight="1">
      <c r="A354" s="74"/>
      <c r="B354" s="74" t="b">
        <f t="shared" si="5"/>
        <v>1</v>
      </c>
      <c r="C354" s="77">
        <v>4050093</v>
      </c>
      <c r="D354" s="78">
        <v>4050093</v>
      </c>
      <c r="E354" s="79" t="s">
        <v>732</v>
      </c>
      <c r="F354" s="74" t="s">
        <v>25</v>
      </c>
      <c r="G354" s="74"/>
      <c r="H354" s="74"/>
      <c r="I354" s="80">
        <v>891</v>
      </c>
      <c r="J354" s="78">
        <v>311</v>
      </c>
      <c r="K354" s="78">
        <v>373</v>
      </c>
      <c r="L354" s="78">
        <v>819</v>
      </c>
      <c r="M354" s="78">
        <v>919</v>
      </c>
      <c r="N354" s="78">
        <v>970</v>
      </c>
      <c r="O354" s="78">
        <v>845</v>
      </c>
      <c r="P354" s="78">
        <v>596</v>
      </c>
      <c r="Q354" s="78">
        <v>875</v>
      </c>
      <c r="R354" s="78">
        <v>798</v>
      </c>
      <c r="S354" s="78">
        <v>841</v>
      </c>
      <c r="T354" s="78">
        <v>844</v>
      </c>
      <c r="U354" s="78">
        <v>641</v>
      </c>
      <c r="V354" s="77"/>
      <c r="W354" s="74"/>
      <c r="X354" s="74"/>
      <c r="Y354" s="74"/>
      <c r="Z354" s="74"/>
    </row>
    <row r="355" spans="1:26" ht="15" customHeight="1">
      <c r="A355" s="74"/>
      <c r="B355" s="74" t="b">
        <f t="shared" si="5"/>
        <v>1</v>
      </c>
      <c r="C355" s="77">
        <v>3869323</v>
      </c>
      <c r="D355" s="78">
        <v>3869323</v>
      </c>
      <c r="E355" s="79" t="s">
        <v>704</v>
      </c>
      <c r="F355" s="74" t="s">
        <v>25</v>
      </c>
      <c r="G355" s="74"/>
      <c r="H355" s="74"/>
      <c r="I355" s="80">
        <v>755</v>
      </c>
      <c r="J355" s="78">
        <v>841</v>
      </c>
      <c r="K355" s="78">
        <v>858</v>
      </c>
      <c r="L355" s="78">
        <v>701</v>
      </c>
      <c r="M355" s="78">
        <v>810</v>
      </c>
      <c r="N355" s="78">
        <v>933</v>
      </c>
      <c r="O355" s="78">
        <v>810</v>
      </c>
      <c r="P355" s="78">
        <v>850</v>
      </c>
      <c r="Q355" s="78">
        <v>1020</v>
      </c>
      <c r="R355" s="78">
        <v>1239</v>
      </c>
      <c r="S355" s="78">
        <v>931</v>
      </c>
      <c r="T355" s="78">
        <v>706</v>
      </c>
      <c r="U355" s="78">
        <v>712</v>
      </c>
      <c r="V355" s="77"/>
      <c r="W355" s="74"/>
      <c r="X355" s="74"/>
      <c r="Y355" s="74"/>
      <c r="Z355" s="74"/>
    </row>
    <row r="356" spans="1:26" ht="15" customHeight="1">
      <c r="A356" s="74"/>
      <c r="B356" s="74" t="b">
        <f t="shared" si="5"/>
        <v>1</v>
      </c>
      <c r="C356" s="77">
        <v>2734966</v>
      </c>
      <c r="D356" s="78">
        <v>2734966</v>
      </c>
      <c r="E356" s="79" t="s">
        <v>704</v>
      </c>
      <c r="F356" s="74" t="s">
        <v>25</v>
      </c>
      <c r="G356" s="74"/>
      <c r="H356" s="74"/>
      <c r="I356" s="80">
        <v>3458</v>
      </c>
      <c r="J356" s="78">
        <v>847</v>
      </c>
      <c r="K356" s="78">
        <v>1702</v>
      </c>
      <c r="L356" s="78">
        <v>3080</v>
      </c>
      <c r="M356" s="78">
        <v>2889</v>
      </c>
      <c r="N356" s="78">
        <v>2886</v>
      </c>
      <c r="O356" s="78">
        <v>1672</v>
      </c>
      <c r="P356" s="78">
        <v>1285</v>
      </c>
      <c r="Q356" s="78">
        <v>2488</v>
      </c>
      <c r="R356" s="78">
        <v>2605</v>
      </c>
      <c r="S356" s="78">
        <v>2882</v>
      </c>
      <c r="T356" s="78">
        <v>3247</v>
      </c>
      <c r="U356" s="78">
        <v>2166</v>
      </c>
      <c r="V356" s="77"/>
      <c r="W356" s="74"/>
      <c r="X356" s="74"/>
      <c r="Y356" s="74"/>
      <c r="Z356" s="74"/>
    </row>
    <row r="357" spans="1:26" ht="15" customHeight="1">
      <c r="A357" s="74"/>
      <c r="B357" s="74" t="b">
        <f t="shared" si="5"/>
        <v>1</v>
      </c>
      <c r="C357" s="77">
        <v>6287882</v>
      </c>
      <c r="D357" s="74">
        <v>6287882</v>
      </c>
      <c r="E357" s="79" t="s">
        <v>704</v>
      </c>
      <c r="F357" s="74" t="s">
        <v>25</v>
      </c>
      <c r="G357" s="74"/>
      <c r="H357" s="74"/>
      <c r="I357" s="76">
        <v>1385</v>
      </c>
      <c r="J357" s="74">
        <v>501</v>
      </c>
      <c r="K357" s="74">
        <v>1301</v>
      </c>
      <c r="L357" s="74">
        <v>1132</v>
      </c>
      <c r="M357" s="74">
        <v>1251</v>
      </c>
      <c r="N357" s="74">
        <v>1092</v>
      </c>
      <c r="O357" s="74">
        <v>1450</v>
      </c>
      <c r="P357" s="74">
        <v>1283</v>
      </c>
      <c r="Q357" s="74">
        <v>1465</v>
      </c>
      <c r="R357" s="74">
        <v>1431</v>
      </c>
      <c r="S357" s="74">
        <v>1649</v>
      </c>
      <c r="T357" s="74">
        <v>1624</v>
      </c>
      <c r="U357" s="74">
        <v>1152</v>
      </c>
      <c r="V357" s="77"/>
      <c r="W357" s="74"/>
      <c r="X357" s="74"/>
      <c r="Y357" s="74"/>
      <c r="Z357" s="74"/>
    </row>
    <row r="358" spans="1:26" ht="15" customHeight="1">
      <c r="A358" s="74"/>
      <c r="B358" s="74" t="b">
        <f t="shared" si="5"/>
        <v>1</v>
      </c>
      <c r="C358" s="77">
        <v>6502384</v>
      </c>
      <c r="D358" s="74">
        <v>6502384</v>
      </c>
      <c r="E358" s="79" t="s">
        <v>704</v>
      </c>
      <c r="F358" s="74" t="s">
        <v>25</v>
      </c>
      <c r="G358" s="74"/>
      <c r="H358" s="74"/>
      <c r="I358" s="76">
        <v>693</v>
      </c>
      <c r="J358" s="74">
        <v>871</v>
      </c>
      <c r="K358" s="74">
        <v>418</v>
      </c>
      <c r="L358" s="74">
        <v>630</v>
      </c>
      <c r="M358" s="74">
        <v>774</v>
      </c>
      <c r="N358" s="74">
        <v>706</v>
      </c>
      <c r="O358" s="74">
        <v>828</v>
      </c>
      <c r="P358" s="74">
        <v>800</v>
      </c>
      <c r="Q358" s="74">
        <v>1290</v>
      </c>
      <c r="R358" s="74">
        <v>1268</v>
      </c>
      <c r="S358" s="74">
        <v>1208</v>
      </c>
      <c r="T358" s="74">
        <v>897</v>
      </c>
      <c r="U358" s="74">
        <v>767</v>
      </c>
      <c r="V358" s="77"/>
      <c r="W358" s="74"/>
      <c r="X358" s="74"/>
      <c r="Y358" s="74"/>
      <c r="Z358" s="74"/>
    </row>
    <row r="359" spans="1:26" ht="15" customHeight="1">
      <c r="A359" s="74"/>
      <c r="B359" s="74" t="b">
        <f t="shared" si="5"/>
        <v>1</v>
      </c>
      <c r="C359" s="77">
        <v>4043794</v>
      </c>
      <c r="D359" s="74">
        <v>4043794</v>
      </c>
      <c r="E359" s="79" t="s">
        <v>704</v>
      </c>
      <c r="F359" s="74" t="s">
        <v>25</v>
      </c>
      <c r="G359" s="74"/>
      <c r="H359" s="74"/>
      <c r="I359" s="76">
        <v>1585</v>
      </c>
      <c r="J359" s="74">
        <v>2626</v>
      </c>
      <c r="K359" s="74">
        <v>1920</v>
      </c>
      <c r="L359" s="74">
        <v>2270</v>
      </c>
      <c r="M359" s="74">
        <v>2332</v>
      </c>
      <c r="N359" s="74">
        <v>2448</v>
      </c>
      <c r="O359" s="74">
        <v>2079</v>
      </c>
      <c r="P359" s="74">
        <v>2312</v>
      </c>
      <c r="Q359" s="74">
        <v>2078</v>
      </c>
      <c r="R359" s="74">
        <v>4293</v>
      </c>
      <c r="S359" s="74">
        <v>571</v>
      </c>
      <c r="T359" s="74">
        <v>2152</v>
      </c>
      <c r="U359" s="74">
        <v>1458</v>
      </c>
      <c r="V359" s="77"/>
      <c r="W359" s="74"/>
      <c r="X359" s="74"/>
      <c r="Y359" s="74"/>
      <c r="Z359" s="74"/>
    </row>
    <row r="360" spans="1:26" ht="15" customHeight="1">
      <c r="A360" s="74"/>
      <c r="B360" s="74" t="b">
        <f t="shared" si="5"/>
        <v>1</v>
      </c>
      <c r="C360" s="77">
        <v>3808056</v>
      </c>
      <c r="D360" s="74">
        <v>3808056</v>
      </c>
      <c r="E360" s="79" t="s">
        <v>704</v>
      </c>
      <c r="F360" s="74" t="s">
        <v>25</v>
      </c>
      <c r="G360" s="74"/>
      <c r="H360" s="74"/>
      <c r="I360" s="76">
        <v>970</v>
      </c>
      <c r="J360" s="74">
        <v>867</v>
      </c>
      <c r="K360" s="74">
        <v>629</v>
      </c>
      <c r="L360" s="74">
        <v>903</v>
      </c>
      <c r="M360" s="74">
        <v>1103</v>
      </c>
      <c r="N360" s="74">
        <v>1016</v>
      </c>
      <c r="O360" s="74">
        <v>881</v>
      </c>
      <c r="P360" s="74">
        <v>863</v>
      </c>
      <c r="Q360" s="74">
        <v>681</v>
      </c>
      <c r="R360" s="74">
        <v>703</v>
      </c>
      <c r="S360" s="74">
        <v>806</v>
      </c>
      <c r="T360" s="74">
        <v>811</v>
      </c>
      <c r="U360" s="74">
        <v>825</v>
      </c>
      <c r="V360" s="77"/>
      <c r="W360" s="74"/>
      <c r="X360" s="74"/>
      <c r="Y360" s="74"/>
      <c r="Z360" s="74"/>
    </row>
    <row r="361" spans="1:26" ht="15" customHeight="1">
      <c r="A361" s="74"/>
      <c r="B361" s="74" t="b">
        <f t="shared" si="5"/>
        <v>1</v>
      </c>
      <c r="C361" s="77">
        <v>3811460</v>
      </c>
      <c r="D361" s="74">
        <v>3811460</v>
      </c>
      <c r="E361" s="79" t="s">
        <v>700</v>
      </c>
      <c r="F361" s="74" t="s">
        <v>25</v>
      </c>
      <c r="G361" s="74"/>
      <c r="H361" s="74"/>
      <c r="I361" s="76">
        <v>560</v>
      </c>
      <c r="J361" s="74">
        <v>463</v>
      </c>
      <c r="K361" s="74">
        <v>319</v>
      </c>
      <c r="L361" s="74">
        <v>501</v>
      </c>
      <c r="M361" s="74">
        <v>627</v>
      </c>
      <c r="N361" s="74">
        <v>631</v>
      </c>
      <c r="O361" s="74">
        <v>557</v>
      </c>
      <c r="P361" s="74">
        <v>622</v>
      </c>
      <c r="Q361" s="74">
        <v>568</v>
      </c>
      <c r="R361" s="74">
        <v>686</v>
      </c>
      <c r="S361" s="74">
        <v>498</v>
      </c>
      <c r="T361" s="74">
        <v>571</v>
      </c>
      <c r="U361" s="74">
        <v>545</v>
      </c>
      <c r="V361" s="77"/>
      <c r="W361" s="74"/>
      <c r="X361" s="74"/>
      <c r="Y361" s="74"/>
      <c r="Z361" s="74"/>
    </row>
    <row r="362" spans="1:26" ht="15" customHeight="1">
      <c r="A362" s="74"/>
      <c r="B362" s="74" t="b">
        <f t="shared" si="5"/>
        <v>1</v>
      </c>
      <c r="C362" s="77">
        <v>4662137</v>
      </c>
      <c r="D362" s="74">
        <v>4662137</v>
      </c>
      <c r="E362" s="79" t="s">
        <v>704</v>
      </c>
      <c r="F362" s="74" t="s">
        <v>25</v>
      </c>
      <c r="G362" s="74"/>
      <c r="H362" s="74"/>
      <c r="I362" s="76">
        <v>1048</v>
      </c>
      <c r="J362" s="74">
        <v>830</v>
      </c>
      <c r="K362" s="74">
        <v>397</v>
      </c>
      <c r="L362" s="74">
        <v>942</v>
      </c>
      <c r="M362" s="74">
        <v>1105</v>
      </c>
      <c r="N362" s="74">
        <v>1146</v>
      </c>
      <c r="O362" s="74">
        <v>1100</v>
      </c>
      <c r="P362" s="74">
        <v>1008</v>
      </c>
      <c r="Q362" s="74">
        <v>891</v>
      </c>
      <c r="R362" s="74">
        <v>1317</v>
      </c>
      <c r="S362" s="74">
        <v>1210</v>
      </c>
      <c r="T362" s="74">
        <v>1149</v>
      </c>
      <c r="U362" s="74">
        <v>979</v>
      </c>
      <c r="V362" s="77"/>
      <c r="W362" s="74"/>
      <c r="X362" s="74"/>
      <c r="Y362" s="74"/>
      <c r="Z362" s="74"/>
    </row>
    <row r="363" spans="1:26" ht="15" customHeight="1">
      <c r="A363" s="74"/>
      <c r="B363" s="74" t="b">
        <f t="shared" si="5"/>
        <v>1</v>
      </c>
      <c r="C363" s="77">
        <v>5542861</v>
      </c>
      <c r="D363" s="74">
        <v>5542861</v>
      </c>
      <c r="E363" s="79" t="s">
        <v>704</v>
      </c>
      <c r="F363" s="74" t="s">
        <v>25</v>
      </c>
      <c r="G363" s="74"/>
      <c r="H363" s="74"/>
      <c r="I363" s="76">
        <v>1028</v>
      </c>
      <c r="J363" s="74">
        <v>754</v>
      </c>
      <c r="K363" s="74">
        <v>241</v>
      </c>
      <c r="L363" s="74">
        <v>752</v>
      </c>
      <c r="M363" s="74">
        <v>817</v>
      </c>
      <c r="N363" s="74">
        <v>819</v>
      </c>
      <c r="O363" s="74">
        <v>796</v>
      </c>
      <c r="P363" s="74">
        <v>690</v>
      </c>
      <c r="Q363" s="74">
        <v>663</v>
      </c>
      <c r="R363" s="74">
        <v>884</v>
      </c>
      <c r="S363" s="74">
        <v>1086</v>
      </c>
      <c r="T363" s="74">
        <v>1079</v>
      </c>
      <c r="U363" s="74">
        <v>1174</v>
      </c>
      <c r="V363" s="77"/>
      <c r="W363" s="74"/>
      <c r="X363" s="74"/>
      <c r="Y363" s="74"/>
      <c r="Z363" s="74"/>
    </row>
    <row r="364" spans="1:26" ht="15" customHeight="1">
      <c r="A364" s="74"/>
      <c r="B364" s="74" t="b">
        <f t="shared" si="5"/>
        <v>1</v>
      </c>
      <c r="C364" s="77">
        <v>5494786</v>
      </c>
      <c r="D364" s="74">
        <v>5494786</v>
      </c>
      <c r="E364" s="79" t="s">
        <v>704</v>
      </c>
      <c r="F364" s="74" t="s">
        <v>25</v>
      </c>
      <c r="G364" s="74"/>
      <c r="H364" s="74"/>
      <c r="I364" s="76">
        <v>921</v>
      </c>
      <c r="J364" s="74">
        <v>640</v>
      </c>
      <c r="K364" s="74">
        <v>454</v>
      </c>
      <c r="L364" s="74">
        <v>782</v>
      </c>
      <c r="M364" s="74">
        <v>984</v>
      </c>
      <c r="N364" s="74">
        <v>1114</v>
      </c>
      <c r="O364" s="74">
        <v>857</v>
      </c>
      <c r="P364" s="74">
        <v>831</v>
      </c>
      <c r="Q364" s="74">
        <v>733</v>
      </c>
      <c r="R364" s="74">
        <v>925</v>
      </c>
      <c r="S364" s="74">
        <v>1015</v>
      </c>
      <c r="T364" s="74">
        <v>1057</v>
      </c>
      <c r="U364" s="74">
        <v>937</v>
      </c>
      <c r="V364" s="77"/>
      <c r="W364" s="74"/>
      <c r="X364" s="74"/>
      <c r="Y364" s="74"/>
      <c r="Z364" s="74"/>
    </row>
    <row r="365" spans="1:26" ht="15" customHeight="1">
      <c r="A365" s="74"/>
      <c r="B365" s="74" t="b">
        <f t="shared" si="5"/>
        <v>1</v>
      </c>
      <c r="C365" s="77">
        <v>5706125</v>
      </c>
      <c r="D365" s="74">
        <v>5706125</v>
      </c>
      <c r="E365" s="79" t="s">
        <v>704</v>
      </c>
      <c r="F365" s="74" t="s">
        <v>25</v>
      </c>
      <c r="G365" s="74"/>
      <c r="H365" s="74"/>
      <c r="I365" s="76">
        <v>4556</v>
      </c>
      <c r="J365" s="74">
        <v>4488</v>
      </c>
      <c r="K365" s="74">
        <v>2031</v>
      </c>
      <c r="L365" s="74">
        <v>4043</v>
      </c>
      <c r="M365" s="74">
        <v>4070</v>
      </c>
      <c r="N365" s="74">
        <v>3858</v>
      </c>
      <c r="O365" s="74">
        <v>3629</v>
      </c>
      <c r="P365" s="74">
        <v>3337</v>
      </c>
      <c r="Q365" s="74">
        <v>3361</v>
      </c>
      <c r="R365" s="74">
        <v>3822</v>
      </c>
      <c r="S365" s="74">
        <v>3749</v>
      </c>
      <c r="T365" s="74">
        <v>3011</v>
      </c>
      <c r="U365" s="74">
        <v>4007</v>
      </c>
      <c r="V365" s="77"/>
      <c r="W365" s="74"/>
      <c r="X365" s="74"/>
      <c r="Y365" s="74"/>
      <c r="Z365" s="74"/>
    </row>
    <row r="366" spans="1:26" ht="15" customHeight="1">
      <c r="A366" s="74"/>
      <c r="B366" s="74" t="b">
        <f t="shared" si="5"/>
        <v>1</v>
      </c>
      <c r="C366" s="77">
        <v>1347935</v>
      </c>
      <c r="D366" s="74">
        <v>1347935</v>
      </c>
      <c r="E366" s="79" t="s">
        <v>732</v>
      </c>
      <c r="F366" s="74" t="s">
        <v>25</v>
      </c>
      <c r="G366" s="74"/>
      <c r="H366" s="74"/>
      <c r="I366" s="76">
        <v>520</v>
      </c>
      <c r="J366" s="74">
        <v>544</v>
      </c>
      <c r="K366" s="74">
        <v>132</v>
      </c>
      <c r="L366" s="74">
        <v>412</v>
      </c>
      <c r="M366" s="74">
        <v>410</v>
      </c>
      <c r="N366" s="74">
        <v>388</v>
      </c>
      <c r="O366" s="74">
        <v>335</v>
      </c>
      <c r="P366" s="74">
        <v>255</v>
      </c>
      <c r="Q366" s="74">
        <v>286</v>
      </c>
      <c r="R366" s="74">
        <v>312</v>
      </c>
      <c r="S366" s="74">
        <v>488</v>
      </c>
      <c r="T366" s="74">
        <v>509</v>
      </c>
      <c r="U366" s="74">
        <v>607</v>
      </c>
      <c r="V366" s="77"/>
      <c r="W366" s="74"/>
      <c r="X366" s="74"/>
      <c r="Y366" s="74"/>
      <c r="Z366" s="74"/>
    </row>
    <row r="367" spans="1:26" ht="15" customHeight="1">
      <c r="A367" s="74"/>
      <c r="B367" s="74" t="b">
        <f t="shared" si="5"/>
        <v>1</v>
      </c>
      <c r="C367" s="77">
        <v>1348188</v>
      </c>
      <c r="D367" s="74">
        <v>1348188</v>
      </c>
      <c r="E367" s="79" t="s">
        <v>732</v>
      </c>
      <c r="F367" s="74" t="s">
        <v>25</v>
      </c>
      <c r="G367" s="74"/>
      <c r="H367" s="74"/>
      <c r="I367" s="76">
        <v>978</v>
      </c>
      <c r="J367" s="74">
        <v>715</v>
      </c>
      <c r="K367" s="74">
        <v>158</v>
      </c>
      <c r="L367" s="74">
        <v>692</v>
      </c>
      <c r="M367" s="74">
        <v>816</v>
      </c>
      <c r="N367" s="74">
        <v>845</v>
      </c>
      <c r="O367" s="74">
        <v>655</v>
      </c>
      <c r="P367" s="74">
        <v>599</v>
      </c>
      <c r="Q367" s="74">
        <v>548</v>
      </c>
      <c r="R367" s="74">
        <v>719</v>
      </c>
      <c r="S367" s="74">
        <v>856</v>
      </c>
      <c r="T367" s="74">
        <v>849</v>
      </c>
      <c r="U367" s="74">
        <v>915</v>
      </c>
      <c r="V367" s="77"/>
      <c r="W367" s="74"/>
      <c r="X367" s="74"/>
      <c r="Y367" s="74"/>
      <c r="Z367" s="74"/>
    </row>
    <row r="368" spans="1:26" ht="15" customHeight="1">
      <c r="A368" s="74"/>
      <c r="B368" s="74" t="b">
        <f t="shared" si="5"/>
        <v>1</v>
      </c>
      <c r="C368" s="77">
        <v>269378</v>
      </c>
      <c r="D368" s="74">
        <v>269378</v>
      </c>
      <c r="E368" s="79" t="s">
        <v>732</v>
      </c>
      <c r="F368" s="74" t="s">
        <v>25</v>
      </c>
      <c r="G368" s="74"/>
      <c r="H368" s="74"/>
      <c r="I368" s="76">
        <v>1422</v>
      </c>
      <c r="J368" s="74">
        <v>1107</v>
      </c>
      <c r="K368" s="74">
        <v>110</v>
      </c>
      <c r="L368" s="74">
        <v>991</v>
      </c>
      <c r="M368" s="74">
        <v>1205</v>
      </c>
      <c r="N368" s="74">
        <v>1195</v>
      </c>
      <c r="O368" s="74">
        <v>1191</v>
      </c>
      <c r="P368" s="74">
        <v>921</v>
      </c>
      <c r="Q368" s="74">
        <v>813</v>
      </c>
      <c r="R368" s="74">
        <v>1162</v>
      </c>
      <c r="S368" s="74">
        <v>1394</v>
      </c>
      <c r="T368" s="74">
        <v>1228</v>
      </c>
      <c r="U368" s="74">
        <v>1361</v>
      </c>
      <c r="V368" s="77"/>
      <c r="W368" s="74"/>
      <c r="X368" s="74"/>
      <c r="Y368" s="74"/>
      <c r="Z368" s="74"/>
    </row>
    <row r="369" spans="1:26" ht="15" customHeight="1">
      <c r="A369" s="74"/>
      <c r="B369" s="74" t="b">
        <f t="shared" si="5"/>
        <v>1</v>
      </c>
      <c r="C369" s="77">
        <v>10364</v>
      </c>
      <c r="D369" s="74">
        <v>10364</v>
      </c>
      <c r="E369" s="79" t="s">
        <v>704</v>
      </c>
      <c r="F369" s="74" t="s">
        <v>25</v>
      </c>
      <c r="G369" s="74"/>
      <c r="H369" s="74"/>
      <c r="I369" s="76">
        <v>1519</v>
      </c>
      <c r="J369" s="74">
        <v>1201</v>
      </c>
      <c r="K369" s="74">
        <v>570</v>
      </c>
      <c r="L369" s="74">
        <v>1642</v>
      </c>
      <c r="M369" s="74">
        <v>1513</v>
      </c>
      <c r="N369" s="74">
        <v>1382</v>
      </c>
      <c r="O369" s="74">
        <v>1276</v>
      </c>
      <c r="P369" s="74">
        <v>1090</v>
      </c>
      <c r="Q369" s="74">
        <v>1221</v>
      </c>
      <c r="R369" s="74">
        <v>1541</v>
      </c>
      <c r="S369" s="74">
        <v>1436</v>
      </c>
      <c r="T369" s="74">
        <v>1427</v>
      </c>
      <c r="U369" s="74">
        <v>1450</v>
      </c>
      <c r="V369" s="77"/>
      <c r="W369" s="74"/>
      <c r="X369" s="74"/>
      <c r="Y369" s="74"/>
      <c r="Z369" s="74"/>
    </row>
    <row r="370" spans="1:26" ht="15" customHeight="1">
      <c r="A370" s="74"/>
      <c r="B370" s="74" t="b">
        <f t="shared" si="5"/>
        <v>1</v>
      </c>
      <c r="C370" s="77">
        <v>10270</v>
      </c>
      <c r="D370" s="74">
        <v>10270</v>
      </c>
      <c r="E370" s="79" t="s">
        <v>704</v>
      </c>
      <c r="F370" s="74" t="s">
        <v>25</v>
      </c>
      <c r="G370" s="74"/>
      <c r="H370" s="74"/>
      <c r="I370" s="76">
        <v>1352</v>
      </c>
      <c r="J370" s="74">
        <v>1346</v>
      </c>
      <c r="K370" s="74">
        <v>725</v>
      </c>
      <c r="L370" s="74">
        <v>975</v>
      </c>
      <c r="M370" s="74">
        <v>1543</v>
      </c>
      <c r="N370" s="74">
        <v>1593</v>
      </c>
      <c r="O370" s="74">
        <v>1738</v>
      </c>
      <c r="P370" s="74">
        <v>1451</v>
      </c>
      <c r="Q370" s="74">
        <v>1228</v>
      </c>
      <c r="R370" s="74">
        <v>1460</v>
      </c>
      <c r="S370" s="74">
        <v>1395</v>
      </c>
      <c r="T370" s="74">
        <v>1419</v>
      </c>
      <c r="U370" s="74">
        <v>1281</v>
      </c>
      <c r="V370" s="77"/>
      <c r="W370" s="74"/>
      <c r="X370" s="74"/>
      <c r="Y370" s="74"/>
      <c r="Z370" s="74"/>
    </row>
    <row r="371" spans="1:26" ht="15" customHeight="1">
      <c r="A371" s="74"/>
      <c r="B371" s="74" t="b">
        <f t="shared" si="5"/>
        <v>1</v>
      </c>
      <c r="C371" s="77">
        <v>6538518</v>
      </c>
      <c r="D371" s="74">
        <v>6538518</v>
      </c>
      <c r="E371" s="79" t="s">
        <v>704</v>
      </c>
      <c r="F371" s="74" t="s">
        <v>25</v>
      </c>
      <c r="G371" s="74"/>
      <c r="H371" s="74"/>
      <c r="I371" s="76">
        <v>1556</v>
      </c>
      <c r="J371" s="74">
        <v>1487</v>
      </c>
      <c r="K371" s="74">
        <v>889</v>
      </c>
      <c r="L371" s="74">
        <v>1269</v>
      </c>
      <c r="M371" s="74">
        <v>1494</v>
      </c>
      <c r="N371" s="74">
        <v>1528</v>
      </c>
      <c r="O371" s="74">
        <v>1705</v>
      </c>
      <c r="P371" s="74">
        <v>1811</v>
      </c>
      <c r="Q371" s="74">
        <v>1619</v>
      </c>
      <c r="R371" s="74">
        <v>1554</v>
      </c>
      <c r="S371" s="74">
        <v>1717</v>
      </c>
      <c r="T371" s="74">
        <v>1414</v>
      </c>
      <c r="U371" s="74">
        <v>828</v>
      </c>
      <c r="V371" s="77"/>
      <c r="W371" s="74"/>
      <c r="X371" s="74"/>
      <c r="Y371" s="74"/>
      <c r="Z371" s="74"/>
    </row>
    <row r="372" spans="1:26" ht="15" customHeight="1">
      <c r="A372" s="74"/>
      <c r="B372" s="74" t="b">
        <f t="shared" si="5"/>
        <v>1</v>
      </c>
      <c r="C372" s="77">
        <v>6439649</v>
      </c>
      <c r="D372" s="74">
        <v>6439649</v>
      </c>
      <c r="E372" s="79" t="s">
        <v>704</v>
      </c>
      <c r="F372" s="74" t="s">
        <v>25</v>
      </c>
      <c r="G372" s="74"/>
      <c r="H372" s="74"/>
      <c r="I372" s="76">
        <v>734</v>
      </c>
      <c r="J372" s="74">
        <v>249</v>
      </c>
      <c r="K372" s="74">
        <v>276</v>
      </c>
      <c r="L372" s="74">
        <v>307</v>
      </c>
      <c r="M372" s="74">
        <v>339</v>
      </c>
      <c r="N372" s="74">
        <v>384</v>
      </c>
      <c r="O372" s="74">
        <v>452</v>
      </c>
      <c r="P372" s="74">
        <v>559</v>
      </c>
      <c r="Q372" s="74">
        <v>581</v>
      </c>
      <c r="R372" s="74">
        <v>577</v>
      </c>
      <c r="S372" s="74">
        <v>599</v>
      </c>
      <c r="T372" s="74">
        <v>378</v>
      </c>
      <c r="U372" s="74">
        <v>416</v>
      </c>
      <c r="V372" s="77"/>
      <c r="W372" s="74"/>
      <c r="X372" s="74"/>
      <c r="Y372" s="74"/>
      <c r="Z372" s="74"/>
    </row>
    <row r="373" spans="1:26" ht="15" customHeight="1">
      <c r="A373" s="74"/>
      <c r="B373" s="74" t="b">
        <f t="shared" si="5"/>
        <v>1</v>
      </c>
      <c r="C373" s="77">
        <v>2834718</v>
      </c>
      <c r="D373" s="78">
        <v>2834718</v>
      </c>
      <c r="E373" s="79" t="s">
        <v>704</v>
      </c>
      <c r="F373" s="74" t="s">
        <v>25</v>
      </c>
      <c r="G373" s="74"/>
      <c r="H373" s="74"/>
      <c r="I373" s="80">
        <v>1686</v>
      </c>
      <c r="J373" s="78">
        <v>1229</v>
      </c>
      <c r="K373" s="78">
        <v>401</v>
      </c>
      <c r="L373" s="78">
        <v>1311</v>
      </c>
      <c r="M373" s="78">
        <v>1287</v>
      </c>
      <c r="N373" s="78">
        <v>1176</v>
      </c>
      <c r="O373" s="78">
        <v>1150</v>
      </c>
      <c r="P373" s="78">
        <v>996</v>
      </c>
      <c r="Q373" s="78">
        <v>1032</v>
      </c>
      <c r="R373" s="78">
        <v>1364</v>
      </c>
      <c r="S373" s="78">
        <v>1532</v>
      </c>
      <c r="T373" s="78">
        <v>1388</v>
      </c>
      <c r="U373" s="78">
        <v>1453</v>
      </c>
      <c r="V373" s="77"/>
      <c r="W373" s="74"/>
      <c r="X373" s="74"/>
      <c r="Y373" s="74"/>
      <c r="Z373" s="74"/>
    </row>
    <row r="374" spans="1:26" ht="15" customHeight="1">
      <c r="A374" s="74"/>
      <c r="B374" s="74" t="b">
        <f t="shared" si="5"/>
        <v>1</v>
      </c>
      <c r="C374" s="77">
        <v>1528570</v>
      </c>
      <c r="D374" s="78">
        <v>1528570</v>
      </c>
      <c r="E374" s="79" t="s">
        <v>704</v>
      </c>
      <c r="F374" s="74" t="s">
        <v>25</v>
      </c>
      <c r="G374" s="74"/>
      <c r="H374" s="74"/>
      <c r="I374" s="80">
        <v>1772</v>
      </c>
      <c r="J374" s="78">
        <v>1558</v>
      </c>
      <c r="K374" s="78">
        <v>399</v>
      </c>
      <c r="L374" s="78">
        <v>1433</v>
      </c>
      <c r="M374" s="78">
        <v>1414</v>
      </c>
      <c r="N374" s="78">
        <v>1469</v>
      </c>
      <c r="O374" s="78">
        <v>1363</v>
      </c>
      <c r="P374" s="78">
        <v>1018</v>
      </c>
      <c r="Q374" s="78">
        <v>1107</v>
      </c>
      <c r="R374" s="78">
        <v>1428</v>
      </c>
      <c r="S374" s="78">
        <v>1973</v>
      </c>
      <c r="T374" s="78">
        <v>1852</v>
      </c>
      <c r="U374" s="78">
        <v>1808</v>
      </c>
      <c r="V374" s="77"/>
      <c r="W374" s="74"/>
      <c r="X374" s="74"/>
      <c r="Y374" s="74"/>
      <c r="Z374" s="74"/>
    </row>
    <row r="375" spans="1:26" ht="15" customHeight="1">
      <c r="A375" s="74"/>
      <c r="B375" s="74" t="b">
        <f t="shared" si="5"/>
        <v>1</v>
      </c>
      <c r="C375" s="77">
        <v>4732899</v>
      </c>
      <c r="D375" s="78">
        <v>4732899</v>
      </c>
      <c r="E375" s="79" t="s">
        <v>704</v>
      </c>
      <c r="F375" s="74" t="s">
        <v>25</v>
      </c>
      <c r="G375" s="74"/>
      <c r="H375" s="74"/>
      <c r="I375" s="80">
        <v>2538</v>
      </c>
      <c r="J375" s="78">
        <v>1913</v>
      </c>
      <c r="K375" s="78">
        <v>353</v>
      </c>
      <c r="L375" s="78">
        <v>1719</v>
      </c>
      <c r="M375" s="78">
        <v>1610</v>
      </c>
      <c r="N375" s="78">
        <v>1490</v>
      </c>
      <c r="O375" s="78">
        <v>1696</v>
      </c>
      <c r="P375" s="78">
        <v>1466</v>
      </c>
      <c r="Q375" s="78">
        <v>1691</v>
      </c>
      <c r="R375" s="78">
        <v>2004</v>
      </c>
      <c r="S375" s="78">
        <v>2425</v>
      </c>
      <c r="T375" s="78">
        <v>2182</v>
      </c>
      <c r="U375" s="78">
        <v>2135</v>
      </c>
      <c r="V375" s="77"/>
      <c r="W375" s="74"/>
      <c r="X375" s="74"/>
      <c r="Y375" s="74"/>
      <c r="Z375" s="74"/>
    </row>
    <row r="376" spans="1:26" ht="15" customHeight="1">
      <c r="A376" s="74"/>
      <c r="B376" s="74" t="b">
        <f t="shared" si="5"/>
        <v>1</v>
      </c>
      <c r="C376" s="77">
        <v>3946200</v>
      </c>
      <c r="D376" s="78">
        <v>3946200</v>
      </c>
      <c r="E376" s="79" t="s">
        <v>704</v>
      </c>
      <c r="F376" s="74" t="s">
        <v>25</v>
      </c>
      <c r="G376" s="74"/>
      <c r="H376" s="74"/>
      <c r="I376" s="80">
        <v>445</v>
      </c>
      <c r="J376" s="78">
        <v>315</v>
      </c>
      <c r="K376" s="78">
        <v>121</v>
      </c>
      <c r="L376" s="78">
        <v>199</v>
      </c>
      <c r="M376" s="78">
        <v>244</v>
      </c>
      <c r="N376" s="78">
        <v>209</v>
      </c>
      <c r="O376" s="78">
        <v>240</v>
      </c>
      <c r="P376" s="78">
        <v>244</v>
      </c>
      <c r="Q376" s="78">
        <v>246</v>
      </c>
      <c r="R376" s="78">
        <v>221</v>
      </c>
      <c r="S376" s="78">
        <v>346</v>
      </c>
      <c r="T376" s="78">
        <v>335</v>
      </c>
      <c r="U376" s="78">
        <v>337</v>
      </c>
      <c r="V376" s="77"/>
      <c r="W376" s="74"/>
      <c r="X376" s="74"/>
      <c r="Y376" s="74"/>
      <c r="Z376" s="74"/>
    </row>
    <row r="377" spans="1:26" ht="15" customHeight="1">
      <c r="A377" s="74"/>
      <c r="B377" s="74" t="b">
        <f t="shared" si="5"/>
        <v>1</v>
      </c>
      <c r="C377" s="77">
        <v>21511</v>
      </c>
      <c r="D377" s="74">
        <v>21511</v>
      </c>
      <c r="E377" s="79" t="s">
        <v>732</v>
      </c>
      <c r="F377" s="74" t="s">
        <v>25</v>
      </c>
      <c r="G377" s="74"/>
      <c r="H377" s="74"/>
      <c r="I377" s="76">
        <v>1277</v>
      </c>
      <c r="J377" s="74">
        <v>968</v>
      </c>
      <c r="K377" s="74">
        <v>372</v>
      </c>
      <c r="L377" s="74">
        <v>1200</v>
      </c>
      <c r="M377" s="74">
        <v>1261</v>
      </c>
      <c r="N377" s="74">
        <v>1159</v>
      </c>
      <c r="O377" s="74">
        <v>2110</v>
      </c>
      <c r="P377" s="74">
        <v>50</v>
      </c>
      <c r="Q377" s="74">
        <v>920</v>
      </c>
      <c r="R377" s="74">
        <v>1300</v>
      </c>
      <c r="S377" s="74">
        <v>1468</v>
      </c>
      <c r="T377" s="74">
        <v>1312</v>
      </c>
      <c r="U377" s="74">
        <v>1569</v>
      </c>
      <c r="V377" s="77"/>
      <c r="W377" s="74"/>
      <c r="X377" s="74"/>
      <c r="Y377" s="74"/>
      <c r="Z377" s="74"/>
    </row>
    <row r="378" spans="1:26" ht="15" customHeight="1">
      <c r="A378" s="74"/>
      <c r="B378" s="74" t="b">
        <f t="shared" si="5"/>
        <v>1</v>
      </c>
      <c r="C378" s="77">
        <v>10313</v>
      </c>
      <c r="D378" s="74">
        <v>10313</v>
      </c>
      <c r="E378" s="79" t="s">
        <v>704</v>
      </c>
      <c r="F378" s="74" t="s">
        <v>25</v>
      </c>
      <c r="G378" s="74"/>
      <c r="H378" s="74"/>
      <c r="I378" s="76">
        <v>2755</v>
      </c>
      <c r="J378" s="74">
        <v>3046</v>
      </c>
      <c r="K378" s="74">
        <v>1575</v>
      </c>
      <c r="L378" s="74">
        <v>3607</v>
      </c>
      <c r="M378" s="74">
        <v>3949</v>
      </c>
      <c r="N378" s="74">
        <v>3597</v>
      </c>
      <c r="O378" s="74">
        <v>3631</v>
      </c>
      <c r="P378" s="74">
        <v>2846</v>
      </c>
      <c r="Q378" s="74">
        <v>2732</v>
      </c>
      <c r="R378" s="74">
        <v>3929</v>
      </c>
      <c r="S378" s="74">
        <v>4286</v>
      </c>
      <c r="T378" s="74">
        <v>4103</v>
      </c>
      <c r="U378" s="74">
        <v>4131</v>
      </c>
      <c r="V378" s="77"/>
      <c r="W378" s="74"/>
      <c r="X378" s="74"/>
      <c r="Y378" s="74"/>
      <c r="Z378" s="74"/>
    </row>
    <row r="379" spans="1:26" ht="15" customHeight="1">
      <c r="A379" s="74"/>
      <c r="B379" s="74" t="b">
        <f t="shared" si="5"/>
        <v>1</v>
      </c>
      <c r="C379" s="77">
        <v>10337</v>
      </c>
      <c r="D379" s="74">
        <v>10337</v>
      </c>
      <c r="E379" s="79" t="s">
        <v>704</v>
      </c>
      <c r="F379" s="74" t="s">
        <v>25</v>
      </c>
      <c r="G379" s="74"/>
      <c r="H379" s="74"/>
      <c r="I379" s="76">
        <v>1721</v>
      </c>
      <c r="J379" s="74">
        <v>1249</v>
      </c>
      <c r="K379" s="74">
        <v>580</v>
      </c>
      <c r="L379" s="74">
        <v>1480</v>
      </c>
      <c r="M379" s="74">
        <v>1392</v>
      </c>
      <c r="N379" s="74">
        <v>1156</v>
      </c>
      <c r="O379" s="74">
        <v>1154</v>
      </c>
      <c r="P379" s="74">
        <v>1033</v>
      </c>
      <c r="Q379" s="74">
        <v>1017</v>
      </c>
      <c r="R379" s="74">
        <v>1366</v>
      </c>
      <c r="S379" s="74">
        <v>1638</v>
      </c>
      <c r="T379" s="74">
        <v>1550</v>
      </c>
      <c r="U379" s="74">
        <v>1573</v>
      </c>
      <c r="V379" s="77"/>
      <c r="W379" s="74"/>
      <c r="X379" s="74"/>
      <c r="Y379" s="74"/>
      <c r="Z379" s="74"/>
    </row>
    <row r="380" spans="1:26" ht="15" customHeight="1">
      <c r="A380" s="74"/>
      <c r="B380" s="74" t="b">
        <f t="shared" si="5"/>
        <v>1</v>
      </c>
      <c r="C380" s="77">
        <v>10371</v>
      </c>
      <c r="D380" s="74">
        <v>10371</v>
      </c>
      <c r="E380" s="79" t="s">
        <v>704</v>
      </c>
      <c r="F380" s="74" t="s">
        <v>25</v>
      </c>
      <c r="G380" s="74"/>
      <c r="H380" s="74"/>
      <c r="I380" s="76">
        <v>941</v>
      </c>
      <c r="J380" s="74">
        <v>565</v>
      </c>
      <c r="K380" s="74">
        <v>223</v>
      </c>
      <c r="L380" s="74">
        <v>457</v>
      </c>
      <c r="M380" s="74">
        <v>513</v>
      </c>
      <c r="N380" s="74">
        <v>469</v>
      </c>
      <c r="O380" s="74">
        <v>461</v>
      </c>
      <c r="P380" s="74">
        <v>487</v>
      </c>
      <c r="Q380" s="74">
        <v>406</v>
      </c>
      <c r="R380" s="74">
        <v>483</v>
      </c>
      <c r="S380" s="74">
        <v>550</v>
      </c>
      <c r="T380" s="74">
        <v>623</v>
      </c>
      <c r="U380" s="74">
        <v>592</v>
      </c>
      <c r="V380" s="77"/>
      <c r="W380" s="74"/>
      <c r="X380" s="74"/>
      <c r="Y380" s="74"/>
      <c r="Z380" s="74"/>
    </row>
    <row r="381" spans="1:26" ht="15" customHeight="1">
      <c r="A381" s="74"/>
      <c r="B381" s="74" t="b">
        <f t="shared" si="5"/>
        <v>1</v>
      </c>
      <c r="C381" s="77">
        <v>10251</v>
      </c>
      <c r="D381" s="74">
        <v>10251</v>
      </c>
      <c r="E381" s="79" t="s">
        <v>732</v>
      </c>
      <c r="F381" s="74" t="s">
        <v>25</v>
      </c>
      <c r="G381" s="74"/>
      <c r="H381" s="74"/>
      <c r="I381" s="76">
        <v>1269</v>
      </c>
      <c r="J381" s="74">
        <v>982</v>
      </c>
      <c r="K381" s="74">
        <v>994</v>
      </c>
      <c r="L381" s="74">
        <v>1000</v>
      </c>
      <c r="M381" s="74">
        <v>1640</v>
      </c>
      <c r="N381" s="74">
        <v>1763</v>
      </c>
      <c r="O381" s="74">
        <v>1007</v>
      </c>
      <c r="P381" s="74">
        <v>1015</v>
      </c>
      <c r="Q381" s="74">
        <v>1195</v>
      </c>
      <c r="R381" s="74">
        <v>1480</v>
      </c>
      <c r="S381" s="74">
        <v>1500</v>
      </c>
      <c r="T381" s="74">
        <v>1380</v>
      </c>
      <c r="U381" s="74">
        <v>1622</v>
      </c>
      <c r="V381" s="77"/>
      <c r="W381" s="74"/>
      <c r="X381" s="74"/>
      <c r="Y381" s="74"/>
      <c r="Z381" s="74"/>
    </row>
    <row r="382" spans="1:26" ht="15.75" customHeight="1">
      <c r="A382" s="74"/>
      <c r="B382" s="74" t="b">
        <f t="shared" si="5"/>
        <v>1</v>
      </c>
      <c r="C382" s="77">
        <v>841410</v>
      </c>
      <c r="D382" s="74">
        <v>841410</v>
      </c>
      <c r="E382" s="79" t="s">
        <v>704</v>
      </c>
      <c r="F382" s="74" t="s">
        <v>25</v>
      </c>
      <c r="G382" s="74"/>
      <c r="H382" s="74"/>
      <c r="I382" s="76">
        <v>12040</v>
      </c>
      <c r="J382" s="74">
        <v>12500</v>
      </c>
      <c r="K382" s="74">
        <v>12080</v>
      </c>
      <c r="L382" s="74">
        <v>11600</v>
      </c>
      <c r="M382" s="74">
        <v>11420</v>
      </c>
      <c r="N382" s="74">
        <v>11180</v>
      </c>
      <c r="O382" s="74">
        <v>10140</v>
      </c>
      <c r="P382" s="74">
        <v>10600</v>
      </c>
      <c r="Q382" s="74">
        <v>9760</v>
      </c>
      <c r="R382" s="74">
        <v>11580</v>
      </c>
      <c r="S382" s="74">
        <v>9880</v>
      </c>
      <c r="T382" s="74">
        <v>10740</v>
      </c>
      <c r="U382" s="74">
        <v>9740</v>
      </c>
      <c r="V382" s="77"/>
      <c r="W382" s="74"/>
      <c r="X382" s="74"/>
      <c r="Y382" s="74"/>
      <c r="Z382" s="74"/>
    </row>
    <row r="383" spans="1:26" ht="15.75" customHeight="1">
      <c r="A383" s="74"/>
      <c r="B383" s="74" t="b">
        <f t="shared" si="5"/>
        <v>1</v>
      </c>
      <c r="C383" s="77">
        <v>24495</v>
      </c>
      <c r="D383" s="74">
        <v>24495</v>
      </c>
      <c r="E383" s="79" t="s">
        <v>704</v>
      </c>
      <c r="F383" s="74" t="s">
        <v>25</v>
      </c>
      <c r="G383" s="74"/>
      <c r="H383" s="74"/>
      <c r="I383" s="76">
        <v>226.8</v>
      </c>
      <c r="J383" s="74">
        <v>2839.2</v>
      </c>
      <c r="K383" s="74">
        <v>1810.2</v>
      </c>
      <c r="L383" s="74">
        <v>508.2</v>
      </c>
      <c r="M383" s="74">
        <v>373.8</v>
      </c>
      <c r="N383" s="74">
        <v>226.8</v>
      </c>
      <c r="O383" s="74">
        <v>247.8</v>
      </c>
      <c r="P383" s="74">
        <v>289.8</v>
      </c>
      <c r="Q383" s="74">
        <v>235.2</v>
      </c>
      <c r="R383" s="74">
        <v>243.6</v>
      </c>
      <c r="S383" s="74">
        <v>289.8</v>
      </c>
      <c r="T383" s="74">
        <v>1163.4000000000001</v>
      </c>
      <c r="U383" s="74">
        <v>546</v>
      </c>
      <c r="V383" s="77"/>
      <c r="W383" s="74"/>
      <c r="X383" s="74"/>
      <c r="Y383" s="74"/>
      <c r="Z383" s="74"/>
    </row>
    <row r="384" spans="1:26" ht="15.75" customHeight="1">
      <c r="A384" s="74"/>
      <c r="B384" s="74" t="b">
        <f t="shared" si="5"/>
        <v>1</v>
      </c>
      <c r="C384" s="77">
        <v>25099</v>
      </c>
      <c r="D384" s="74">
        <v>25099</v>
      </c>
      <c r="E384" s="79" t="s">
        <v>704</v>
      </c>
      <c r="F384" s="74" t="s">
        <v>25</v>
      </c>
      <c r="G384" s="74"/>
      <c r="H384" s="74"/>
      <c r="I384" s="76">
        <v>222.6</v>
      </c>
      <c r="J384" s="74">
        <v>1226.4000000000001</v>
      </c>
      <c r="K384" s="74">
        <v>2116.8000000000002</v>
      </c>
      <c r="L384" s="74">
        <v>1390.2</v>
      </c>
      <c r="M384" s="74">
        <v>869.4</v>
      </c>
      <c r="N384" s="74">
        <v>697.2</v>
      </c>
      <c r="O384" s="74">
        <v>772.8</v>
      </c>
      <c r="P384" s="74">
        <v>751.8</v>
      </c>
      <c r="Q384" s="74">
        <v>840</v>
      </c>
      <c r="R384" s="74">
        <v>844.2</v>
      </c>
      <c r="S384" s="74">
        <v>1146.5999999999999</v>
      </c>
      <c r="T384" s="74">
        <v>3213</v>
      </c>
      <c r="U384" s="74">
        <v>1289.4000000000001</v>
      </c>
      <c r="V384" s="77"/>
      <c r="W384" s="74"/>
      <c r="X384" s="74"/>
      <c r="Y384" s="74"/>
      <c r="Z384" s="74"/>
    </row>
    <row r="385" spans="1:26" ht="15.75" customHeight="1">
      <c r="A385" s="74"/>
      <c r="B385" s="74" t="b">
        <f t="shared" si="5"/>
        <v>1</v>
      </c>
      <c r="C385" s="77">
        <v>2746838</v>
      </c>
      <c r="D385" s="74">
        <v>2746838</v>
      </c>
      <c r="E385" s="79" t="s">
        <v>704</v>
      </c>
      <c r="F385" s="74" t="s">
        <v>25</v>
      </c>
      <c r="G385" s="74"/>
      <c r="H385" s="74"/>
      <c r="I385" s="76">
        <v>273</v>
      </c>
      <c r="J385" s="74">
        <v>218.4</v>
      </c>
      <c r="K385" s="74">
        <v>294</v>
      </c>
      <c r="L385" s="74">
        <v>285.60000000000002</v>
      </c>
      <c r="M385" s="74">
        <v>310.8</v>
      </c>
      <c r="N385" s="74">
        <v>264.60000000000002</v>
      </c>
      <c r="O385" s="74">
        <v>306.60000000000002</v>
      </c>
      <c r="P385" s="74">
        <v>306.60000000000002</v>
      </c>
      <c r="Q385" s="74">
        <v>294</v>
      </c>
      <c r="R385" s="74">
        <v>306.60000000000002</v>
      </c>
      <c r="S385" s="74">
        <v>289.8</v>
      </c>
      <c r="T385" s="74">
        <v>281.39999999999998</v>
      </c>
      <c r="U385" s="74">
        <v>252</v>
      </c>
      <c r="V385" s="77"/>
      <c r="W385" s="74"/>
      <c r="X385" s="74"/>
      <c r="Y385" s="74"/>
      <c r="Z385" s="74"/>
    </row>
    <row r="386" spans="1:26" ht="15.75" customHeight="1">
      <c r="A386" s="74"/>
      <c r="B386" s="74" t="b">
        <f t="shared" ref="B386:B389" si="6">D386=C386</f>
        <v>1</v>
      </c>
      <c r="C386" s="77">
        <v>26188</v>
      </c>
      <c r="D386" s="74">
        <v>26188</v>
      </c>
      <c r="E386" s="79" t="s">
        <v>704</v>
      </c>
      <c r="F386" s="74" t="s">
        <v>25</v>
      </c>
      <c r="G386" s="74"/>
      <c r="H386" s="74"/>
      <c r="I386" s="76">
        <v>2772</v>
      </c>
      <c r="J386" s="74">
        <v>1392.3</v>
      </c>
      <c r="K386" s="74">
        <v>1379.7</v>
      </c>
      <c r="L386" s="74">
        <v>1373.4</v>
      </c>
      <c r="M386" s="74">
        <v>1367.1</v>
      </c>
      <c r="N386" s="74">
        <v>1360.8</v>
      </c>
      <c r="O386" s="74">
        <v>1354.5</v>
      </c>
      <c r="P386" s="74">
        <v>1335.6</v>
      </c>
      <c r="Q386" s="74">
        <v>1310.4000000000001</v>
      </c>
      <c r="R386" s="74">
        <v>2381.4</v>
      </c>
      <c r="S386" s="74">
        <v>1260</v>
      </c>
      <c r="T386" s="74">
        <v>1297.8</v>
      </c>
      <c r="U386" s="74">
        <v>989.1</v>
      </c>
      <c r="V386" s="77"/>
      <c r="W386" s="74"/>
      <c r="X386" s="74"/>
      <c r="Y386" s="74"/>
      <c r="Z386" s="74"/>
    </row>
    <row r="387" spans="1:26" ht="15.75" customHeight="1">
      <c r="A387" s="74"/>
      <c r="B387" s="74" t="b">
        <f t="shared" si="6"/>
        <v>1</v>
      </c>
      <c r="C387" s="77">
        <v>3852</v>
      </c>
      <c r="D387" s="74">
        <v>3852</v>
      </c>
      <c r="E387" s="79" t="s">
        <v>704</v>
      </c>
      <c r="F387" s="74" t="s">
        <v>25</v>
      </c>
      <c r="G387" s="74"/>
      <c r="H387" s="74"/>
      <c r="I387" s="76">
        <v>2293.1999999999998</v>
      </c>
      <c r="J387" s="74">
        <v>1902.6</v>
      </c>
      <c r="K387" s="74">
        <v>4473</v>
      </c>
      <c r="L387" s="74">
        <v>3603.6</v>
      </c>
      <c r="M387" s="74">
        <v>3219.3</v>
      </c>
      <c r="N387" s="74">
        <v>3408.3</v>
      </c>
      <c r="O387" s="74">
        <v>2192.4</v>
      </c>
      <c r="P387" s="74">
        <v>2431.8000000000002</v>
      </c>
      <c r="Q387" s="74">
        <v>3395.7</v>
      </c>
      <c r="R387" s="74">
        <v>4113.8999999999996</v>
      </c>
      <c r="S387" s="74">
        <v>3729.6</v>
      </c>
      <c r="T387" s="74">
        <v>3496.5</v>
      </c>
      <c r="U387" s="74">
        <v>2620.8000000000002</v>
      </c>
      <c r="V387" s="77"/>
      <c r="W387" s="74"/>
      <c r="X387" s="74"/>
      <c r="Y387" s="74"/>
      <c r="Z387" s="74"/>
    </row>
    <row r="388" spans="1:26" ht="15.75" customHeight="1">
      <c r="A388" s="74"/>
      <c r="B388" s="74" t="b">
        <f t="shared" si="6"/>
        <v>1</v>
      </c>
      <c r="C388" s="77">
        <v>4132979</v>
      </c>
      <c r="D388" s="74">
        <v>4132979</v>
      </c>
      <c r="E388" s="79" t="s">
        <v>704</v>
      </c>
      <c r="F388" s="74" t="s">
        <v>25</v>
      </c>
      <c r="G388" s="74"/>
      <c r="H388" s="74"/>
      <c r="I388" s="76">
        <v>277.2</v>
      </c>
      <c r="J388" s="74">
        <v>315</v>
      </c>
      <c r="K388" s="74">
        <v>336</v>
      </c>
      <c r="L388" s="74">
        <v>331.8</v>
      </c>
      <c r="M388" s="74">
        <v>298.2</v>
      </c>
      <c r="N388" s="74">
        <v>205.8</v>
      </c>
      <c r="O388" s="74">
        <v>1428</v>
      </c>
      <c r="P388" s="74">
        <v>1654.8</v>
      </c>
      <c r="Q388" s="74">
        <v>1780.8</v>
      </c>
      <c r="R388" s="74">
        <v>2385.6</v>
      </c>
      <c r="S388" s="74">
        <v>2444.4</v>
      </c>
      <c r="T388" s="74">
        <v>2763.6</v>
      </c>
      <c r="U388" s="74">
        <v>2419.1999999999998</v>
      </c>
      <c r="V388" s="77" t="s">
        <v>680</v>
      </c>
      <c r="W388" s="74"/>
      <c r="X388" s="74"/>
      <c r="Y388" s="74"/>
      <c r="Z388" s="74"/>
    </row>
    <row r="389" spans="1:26" ht="15.75" customHeight="1">
      <c r="A389" s="74"/>
      <c r="B389" s="74" t="b">
        <f t="shared" si="6"/>
        <v>1</v>
      </c>
      <c r="C389" s="77">
        <v>2990106</v>
      </c>
      <c r="D389" s="74">
        <v>2990106</v>
      </c>
      <c r="E389" s="79" t="s">
        <v>704</v>
      </c>
      <c r="F389" s="74" t="s">
        <v>25</v>
      </c>
      <c r="G389" s="74"/>
      <c r="H389" s="74"/>
      <c r="I389" s="76">
        <v>3108</v>
      </c>
      <c r="J389" s="74">
        <v>1554</v>
      </c>
      <c r="K389" s="74">
        <v>1974</v>
      </c>
      <c r="L389" s="74">
        <v>3234</v>
      </c>
      <c r="M389" s="74">
        <v>3066</v>
      </c>
      <c r="N389" s="74">
        <v>3108</v>
      </c>
      <c r="O389" s="74">
        <v>3192</v>
      </c>
      <c r="P389" s="74">
        <v>3024</v>
      </c>
      <c r="Q389" s="74">
        <v>3360</v>
      </c>
      <c r="R389" s="74">
        <v>3696</v>
      </c>
      <c r="S389" s="74">
        <v>3528</v>
      </c>
      <c r="T389" s="74">
        <v>3528</v>
      </c>
      <c r="U389" s="74">
        <v>3192</v>
      </c>
      <c r="V389" s="77" t="s">
        <v>680</v>
      </c>
      <c r="W389" s="74"/>
      <c r="X389" s="74"/>
      <c r="Y389" s="74"/>
      <c r="Z389" s="74"/>
    </row>
    <row r="390" spans="1:26" ht="15.75" customHeight="1">
      <c r="A390" s="74"/>
      <c r="B390" s="74"/>
      <c r="C390" s="74"/>
      <c r="D390" s="74"/>
      <c r="E390" s="79"/>
      <c r="F390" s="74"/>
      <c r="G390" s="74"/>
      <c r="H390" s="74"/>
      <c r="I390" s="76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5.75" customHeight="1">
      <c r="A391" s="74"/>
      <c r="B391" s="74"/>
      <c r="C391" s="74"/>
      <c r="D391" s="74"/>
      <c r="E391" s="79"/>
      <c r="F391" s="74"/>
      <c r="G391" s="74"/>
      <c r="H391" s="74"/>
      <c r="I391" s="76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5.75" customHeight="1">
      <c r="A392" s="74"/>
      <c r="B392" s="74"/>
      <c r="C392" s="74"/>
      <c r="D392" s="74"/>
      <c r="E392" s="79"/>
      <c r="F392" s="74"/>
      <c r="G392" s="74"/>
      <c r="H392" s="74"/>
      <c r="I392" s="76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5.75" customHeight="1">
      <c r="A393" s="74"/>
      <c r="B393" s="74"/>
      <c r="C393" s="74"/>
      <c r="D393" s="74"/>
      <c r="E393" s="79"/>
      <c r="F393" s="74"/>
      <c r="G393" s="74"/>
      <c r="H393" s="74"/>
      <c r="I393" s="76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5.75" customHeight="1">
      <c r="A394" s="74"/>
      <c r="B394" s="74"/>
      <c r="C394" s="74"/>
      <c r="D394" s="74"/>
      <c r="E394" s="79"/>
      <c r="F394" s="74"/>
      <c r="G394" s="74"/>
      <c r="H394" s="74"/>
      <c r="I394" s="76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5.75" customHeight="1">
      <c r="A395" s="74"/>
      <c r="B395" s="74"/>
      <c r="C395" s="74"/>
      <c r="D395" s="74"/>
      <c r="E395" s="79"/>
      <c r="F395" s="74"/>
      <c r="G395" s="74"/>
      <c r="H395" s="74"/>
      <c r="I395" s="76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5.75" customHeight="1">
      <c r="A396" s="74"/>
      <c r="B396" s="74"/>
      <c r="C396" s="74"/>
      <c r="D396" s="74"/>
      <c r="E396" s="79"/>
      <c r="F396" s="74"/>
      <c r="G396" s="74"/>
      <c r="H396" s="74"/>
      <c r="I396" s="76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5.75" customHeight="1">
      <c r="A397" s="74"/>
      <c r="B397" s="74"/>
      <c r="C397" s="74"/>
      <c r="D397" s="74"/>
      <c r="E397" s="79"/>
      <c r="F397" s="74"/>
      <c r="G397" s="74"/>
      <c r="H397" s="74"/>
      <c r="I397" s="76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5.75" customHeight="1">
      <c r="A398" s="74"/>
      <c r="B398" s="74"/>
      <c r="C398" s="74"/>
      <c r="D398" s="74"/>
      <c r="E398" s="79"/>
      <c r="F398" s="74"/>
      <c r="G398" s="74"/>
      <c r="H398" s="74"/>
      <c r="I398" s="76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5.75" customHeight="1">
      <c r="A399" s="74"/>
      <c r="B399" s="74"/>
      <c r="C399" s="74"/>
      <c r="D399" s="74"/>
      <c r="E399" s="79"/>
      <c r="F399" s="74"/>
      <c r="G399" s="74"/>
      <c r="H399" s="74"/>
      <c r="I399" s="76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5.75" customHeight="1">
      <c r="A400" s="74"/>
      <c r="B400" s="74"/>
      <c r="C400" s="74"/>
      <c r="D400" s="74"/>
      <c r="E400" s="79"/>
      <c r="F400" s="74"/>
      <c r="G400" s="74"/>
      <c r="H400" s="74"/>
      <c r="I400" s="76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5.75" customHeight="1">
      <c r="A401" s="74"/>
      <c r="B401" s="74"/>
      <c r="C401" s="74"/>
      <c r="D401" s="74"/>
      <c r="E401" s="79"/>
      <c r="F401" s="74"/>
      <c r="G401" s="74"/>
      <c r="H401" s="74"/>
      <c r="I401" s="76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5.75" customHeight="1">
      <c r="A402" s="74"/>
      <c r="B402" s="74"/>
      <c r="C402" s="74"/>
      <c r="D402" s="74"/>
      <c r="E402" s="79"/>
      <c r="F402" s="74"/>
      <c r="G402" s="74"/>
      <c r="H402" s="74"/>
      <c r="I402" s="76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5.75" customHeight="1">
      <c r="A403" s="74"/>
      <c r="B403" s="74"/>
      <c r="C403" s="74"/>
      <c r="D403" s="74"/>
      <c r="E403" s="79"/>
      <c r="F403" s="74"/>
      <c r="G403" s="74"/>
      <c r="H403" s="74"/>
      <c r="I403" s="76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5.75" customHeight="1">
      <c r="A404" s="74"/>
      <c r="B404" s="74"/>
      <c r="C404" s="74"/>
      <c r="D404" s="74"/>
      <c r="E404" s="79"/>
      <c r="F404" s="74"/>
      <c r="G404" s="74"/>
      <c r="H404" s="74"/>
      <c r="I404" s="76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5.75" customHeight="1">
      <c r="A405" s="74"/>
      <c r="B405" s="74"/>
      <c r="C405" s="74"/>
      <c r="D405" s="74"/>
      <c r="E405" s="79"/>
      <c r="F405" s="74"/>
      <c r="G405" s="74"/>
      <c r="H405" s="74"/>
      <c r="I405" s="76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5.75" customHeight="1">
      <c r="A406" s="74"/>
      <c r="B406" s="74"/>
      <c r="C406" s="74"/>
      <c r="D406" s="74"/>
      <c r="E406" s="79"/>
      <c r="F406" s="74"/>
      <c r="G406" s="74"/>
      <c r="H406" s="74"/>
      <c r="I406" s="76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5.75" customHeight="1">
      <c r="A407" s="74"/>
      <c r="B407" s="74"/>
      <c r="C407" s="74"/>
      <c r="D407" s="74"/>
      <c r="E407" s="79"/>
      <c r="F407" s="74"/>
      <c r="G407" s="74"/>
      <c r="H407" s="74"/>
      <c r="I407" s="76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5.75" customHeight="1">
      <c r="A408" s="74"/>
      <c r="B408" s="74"/>
      <c r="C408" s="74"/>
      <c r="D408" s="74"/>
      <c r="E408" s="79"/>
      <c r="F408" s="74"/>
      <c r="G408" s="74"/>
      <c r="H408" s="74"/>
      <c r="I408" s="76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5.75" customHeight="1">
      <c r="A409" s="74"/>
      <c r="B409" s="74"/>
      <c r="C409" s="74"/>
      <c r="D409" s="74"/>
      <c r="E409" s="79"/>
      <c r="F409" s="74"/>
      <c r="G409" s="74"/>
      <c r="H409" s="74"/>
      <c r="I409" s="76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5.75" customHeight="1">
      <c r="A410" s="74"/>
      <c r="B410" s="74"/>
      <c r="C410" s="74"/>
      <c r="D410" s="74"/>
      <c r="E410" s="79"/>
      <c r="F410" s="74"/>
      <c r="G410" s="74"/>
      <c r="H410" s="74"/>
      <c r="I410" s="76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5.75" customHeight="1">
      <c r="A411" s="74"/>
      <c r="B411" s="74"/>
      <c r="C411" s="74"/>
      <c r="D411" s="74"/>
      <c r="E411" s="79"/>
      <c r="F411" s="74"/>
      <c r="G411" s="74"/>
      <c r="H411" s="74"/>
      <c r="I411" s="76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5.75" customHeight="1">
      <c r="A412" s="74"/>
      <c r="B412" s="74"/>
      <c r="C412" s="74"/>
      <c r="D412" s="74"/>
      <c r="E412" s="79"/>
      <c r="F412" s="74"/>
      <c r="G412" s="74"/>
      <c r="H412" s="74"/>
      <c r="I412" s="76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5.75" customHeight="1">
      <c r="A413" s="74"/>
      <c r="B413" s="74"/>
      <c r="C413" s="74"/>
      <c r="D413" s="74"/>
      <c r="E413" s="79"/>
      <c r="F413" s="74"/>
      <c r="G413" s="74"/>
      <c r="H413" s="74"/>
      <c r="I413" s="76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5.75" customHeight="1">
      <c r="A414" s="74"/>
      <c r="B414" s="74"/>
      <c r="C414" s="74"/>
      <c r="D414" s="74"/>
      <c r="E414" s="79"/>
      <c r="F414" s="74"/>
      <c r="G414" s="74"/>
      <c r="H414" s="74"/>
      <c r="I414" s="76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5.75" customHeight="1">
      <c r="A415" s="74"/>
      <c r="B415" s="74"/>
      <c r="C415" s="74"/>
      <c r="D415" s="74"/>
      <c r="E415" s="79"/>
      <c r="F415" s="74"/>
      <c r="G415" s="74"/>
      <c r="H415" s="74"/>
      <c r="I415" s="76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5.75" customHeight="1">
      <c r="A416" s="74"/>
      <c r="B416" s="74"/>
      <c r="C416" s="74"/>
      <c r="D416" s="74"/>
      <c r="E416" s="79"/>
      <c r="F416" s="74"/>
      <c r="G416" s="74"/>
      <c r="H416" s="74"/>
      <c r="I416" s="76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5.75" customHeight="1">
      <c r="A417" s="74"/>
      <c r="B417" s="74"/>
      <c r="C417" s="74"/>
      <c r="D417" s="74"/>
      <c r="E417" s="79"/>
      <c r="F417" s="74"/>
      <c r="G417" s="74"/>
      <c r="H417" s="74"/>
      <c r="I417" s="76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5.75" customHeight="1">
      <c r="A418" s="74"/>
      <c r="B418" s="74"/>
      <c r="C418" s="74"/>
      <c r="D418" s="74"/>
      <c r="E418" s="79"/>
      <c r="F418" s="74"/>
      <c r="G418" s="74"/>
      <c r="H418" s="74"/>
      <c r="I418" s="76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5.75" customHeight="1">
      <c r="A419" s="74"/>
      <c r="B419" s="74"/>
      <c r="C419" s="74"/>
      <c r="D419" s="74"/>
      <c r="E419" s="79"/>
      <c r="F419" s="74"/>
      <c r="G419" s="74"/>
      <c r="H419" s="74"/>
      <c r="I419" s="76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5.75" customHeight="1">
      <c r="A420" s="74"/>
      <c r="B420" s="74"/>
      <c r="C420" s="74"/>
      <c r="D420" s="74"/>
      <c r="E420" s="79"/>
      <c r="F420" s="74"/>
      <c r="G420" s="74"/>
      <c r="H420" s="74"/>
      <c r="I420" s="76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5.75" customHeight="1">
      <c r="A421" s="74"/>
      <c r="B421" s="74"/>
      <c r="C421" s="74"/>
      <c r="D421" s="74"/>
      <c r="E421" s="79"/>
      <c r="F421" s="74"/>
      <c r="G421" s="74"/>
      <c r="H421" s="74"/>
      <c r="I421" s="76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5.75" customHeight="1">
      <c r="A422" s="74"/>
      <c r="B422" s="74"/>
      <c r="C422" s="74"/>
      <c r="D422" s="74"/>
      <c r="E422" s="79"/>
      <c r="F422" s="74"/>
      <c r="G422" s="74"/>
      <c r="H422" s="74"/>
      <c r="I422" s="76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5.75" customHeight="1">
      <c r="A423" s="74"/>
      <c r="B423" s="74"/>
      <c r="C423" s="74"/>
      <c r="D423" s="74"/>
      <c r="E423" s="79"/>
      <c r="F423" s="74"/>
      <c r="G423" s="74"/>
      <c r="H423" s="74"/>
      <c r="I423" s="76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5.75" customHeight="1">
      <c r="A424" s="74"/>
      <c r="B424" s="74"/>
      <c r="C424" s="74"/>
      <c r="D424" s="74"/>
      <c r="E424" s="79"/>
      <c r="F424" s="74"/>
      <c r="G424" s="74"/>
      <c r="H424" s="74"/>
      <c r="I424" s="76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5.75" customHeight="1">
      <c r="A425" s="74"/>
      <c r="B425" s="74"/>
      <c r="C425" s="74"/>
      <c r="D425" s="74"/>
      <c r="E425" s="79"/>
      <c r="F425" s="74"/>
      <c r="G425" s="74"/>
      <c r="H425" s="74"/>
      <c r="I425" s="76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5.75" customHeight="1">
      <c r="A426" s="74"/>
      <c r="B426" s="74"/>
      <c r="C426" s="74"/>
      <c r="D426" s="74"/>
      <c r="E426" s="79"/>
      <c r="F426" s="74"/>
      <c r="G426" s="74"/>
      <c r="H426" s="74"/>
      <c r="I426" s="76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5.75" customHeight="1">
      <c r="A427" s="74"/>
      <c r="B427" s="74"/>
      <c r="C427" s="74"/>
      <c r="D427" s="74"/>
      <c r="E427" s="79"/>
      <c r="F427" s="74"/>
      <c r="G427" s="74"/>
      <c r="H427" s="74"/>
      <c r="I427" s="76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5.75" customHeight="1">
      <c r="A428" s="74"/>
      <c r="B428" s="74"/>
      <c r="C428" s="74"/>
      <c r="D428" s="74"/>
      <c r="E428" s="79"/>
      <c r="F428" s="74"/>
      <c r="G428" s="74"/>
      <c r="H428" s="74"/>
      <c r="I428" s="76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5.75" customHeight="1">
      <c r="A429" s="74"/>
      <c r="B429" s="74"/>
      <c r="C429" s="74"/>
      <c r="D429" s="74"/>
      <c r="E429" s="79"/>
      <c r="F429" s="74"/>
      <c r="G429" s="74"/>
      <c r="H429" s="74"/>
      <c r="I429" s="76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5.75" customHeight="1">
      <c r="A430" s="74"/>
      <c r="B430" s="74"/>
      <c r="C430" s="74"/>
      <c r="D430" s="74"/>
      <c r="E430" s="79"/>
      <c r="F430" s="74"/>
      <c r="G430" s="74"/>
      <c r="H430" s="74"/>
      <c r="I430" s="76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5.75" customHeight="1">
      <c r="A431" s="74"/>
      <c r="B431" s="74"/>
      <c r="C431" s="74"/>
      <c r="D431" s="74"/>
      <c r="E431" s="79"/>
      <c r="F431" s="74"/>
      <c r="G431" s="74"/>
      <c r="H431" s="74"/>
      <c r="I431" s="76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5.75" customHeight="1">
      <c r="A432" s="74"/>
      <c r="B432" s="74"/>
      <c r="C432" s="74"/>
      <c r="D432" s="74"/>
      <c r="E432" s="79"/>
      <c r="F432" s="74"/>
      <c r="G432" s="74"/>
      <c r="H432" s="74"/>
      <c r="I432" s="76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5.75" customHeight="1">
      <c r="A433" s="74"/>
      <c r="B433" s="74"/>
      <c r="C433" s="74"/>
      <c r="D433" s="74"/>
      <c r="E433" s="79"/>
      <c r="F433" s="74"/>
      <c r="G433" s="74"/>
      <c r="H433" s="74"/>
      <c r="I433" s="76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5.75" customHeight="1">
      <c r="A434" s="74"/>
      <c r="B434" s="74"/>
      <c r="C434" s="74"/>
      <c r="D434" s="74"/>
      <c r="E434" s="79"/>
      <c r="F434" s="74"/>
      <c r="G434" s="74"/>
      <c r="H434" s="74"/>
      <c r="I434" s="76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5.75" customHeight="1">
      <c r="A435" s="74"/>
      <c r="B435" s="74"/>
      <c r="C435" s="74"/>
      <c r="D435" s="74"/>
      <c r="E435" s="79"/>
      <c r="F435" s="74"/>
      <c r="G435" s="74"/>
      <c r="H435" s="74"/>
      <c r="I435" s="76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5.75" customHeight="1">
      <c r="A436" s="74"/>
      <c r="B436" s="74"/>
      <c r="C436" s="74"/>
      <c r="D436" s="74"/>
      <c r="E436" s="79"/>
      <c r="F436" s="74"/>
      <c r="G436" s="74"/>
      <c r="H436" s="74"/>
      <c r="I436" s="76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5.75" customHeight="1">
      <c r="A437" s="74"/>
      <c r="B437" s="74"/>
      <c r="C437" s="74"/>
      <c r="D437" s="74"/>
      <c r="E437" s="79"/>
      <c r="F437" s="74"/>
      <c r="G437" s="74"/>
      <c r="H437" s="74"/>
      <c r="I437" s="76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5.75" customHeight="1">
      <c r="A438" s="74"/>
      <c r="B438" s="74"/>
      <c r="C438" s="74"/>
      <c r="D438" s="74"/>
      <c r="E438" s="79"/>
      <c r="F438" s="74"/>
      <c r="G438" s="74"/>
      <c r="H438" s="74"/>
      <c r="I438" s="76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5.75" customHeight="1">
      <c r="A439" s="74"/>
      <c r="B439" s="74"/>
      <c r="C439" s="74"/>
      <c r="D439" s="74"/>
      <c r="E439" s="79"/>
      <c r="F439" s="74"/>
      <c r="G439" s="74"/>
      <c r="H439" s="74"/>
      <c r="I439" s="76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5.75" customHeight="1">
      <c r="A440" s="74"/>
      <c r="B440" s="74"/>
      <c r="C440" s="74"/>
      <c r="D440" s="74"/>
      <c r="E440" s="79"/>
      <c r="F440" s="74"/>
      <c r="G440" s="74"/>
      <c r="H440" s="74"/>
      <c r="I440" s="76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5.75" customHeight="1">
      <c r="A441" s="74"/>
      <c r="B441" s="74"/>
      <c r="C441" s="74"/>
      <c r="D441" s="74"/>
      <c r="E441" s="79"/>
      <c r="F441" s="74"/>
      <c r="G441" s="74"/>
      <c r="H441" s="74"/>
      <c r="I441" s="76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5.75" customHeight="1">
      <c r="A442" s="74"/>
      <c r="B442" s="74"/>
      <c r="C442" s="74"/>
      <c r="D442" s="74"/>
      <c r="E442" s="79"/>
      <c r="F442" s="74"/>
      <c r="G442" s="74"/>
      <c r="H442" s="74"/>
      <c r="I442" s="76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5.75" customHeight="1">
      <c r="A443" s="74"/>
      <c r="B443" s="74"/>
      <c r="C443" s="74"/>
      <c r="D443" s="74"/>
      <c r="E443" s="79"/>
      <c r="F443" s="74"/>
      <c r="G443" s="74"/>
      <c r="H443" s="74"/>
      <c r="I443" s="76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5.75" customHeight="1">
      <c r="A444" s="74"/>
      <c r="B444" s="74"/>
      <c r="C444" s="74"/>
      <c r="D444" s="74"/>
      <c r="E444" s="79"/>
      <c r="F444" s="74"/>
      <c r="G444" s="74"/>
      <c r="H444" s="74"/>
      <c r="I444" s="76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5.75" customHeight="1">
      <c r="A445" s="74"/>
      <c r="B445" s="74"/>
      <c r="C445" s="74"/>
      <c r="D445" s="74"/>
      <c r="E445" s="79"/>
      <c r="F445" s="74"/>
      <c r="G445" s="74"/>
      <c r="H445" s="74"/>
      <c r="I445" s="76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5.75" customHeight="1">
      <c r="A446" s="74"/>
      <c r="B446" s="74"/>
      <c r="C446" s="74"/>
      <c r="D446" s="74"/>
      <c r="E446" s="79"/>
      <c r="F446" s="74"/>
      <c r="G446" s="74"/>
      <c r="H446" s="74"/>
      <c r="I446" s="76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5.75" customHeight="1">
      <c r="A447" s="74"/>
      <c r="B447" s="74"/>
      <c r="C447" s="74"/>
      <c r="D447" s="74"/>
      <c r="E447" s="79"/>
      <c r="F447" s="74"/>
      <c r="G447" s="74"/>
      <c r="H447" s="74"/>
      <c r="I447" s="76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5.75" customHeight="1">
      <c r="A448" s="74"/>
      <c r="B448" s="74"/>
      <c r="C448" s="74"/>
      <c r="D448" s="74"/>
      <c r="E448" s="79"/>
      <c r="F448" s="74"/>
      <c r="G448" s="74"/>
      <c r="H448" s="74"/>
      <c r="I448" s="76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5.75" customHeight="1">
      <c r="A449" s="74"/>
      <c r="B449" s="74"/>
      <c r="C449" s="74"/>
      <c r="D449" s="74"/>
      <c r="E449" s="79"/>
      <c r="F449" s="74"/>
      <c r="G449" s="74"/>
      <c r="H449" s="74"/>
      <c r="I449" s="76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5.75" customHeight="1">
      <c r="A450" s="74"/>
      <c r="B450" s="74"/>
      <c r="C450" s="74"/>
      <c r="D450" s="74"/>
      <c r="E450" s="79"/>
      <c r="F450" s="74"/>
      <c r="G450" s="74"/>
      <c r="H450" s="74"/>
      <c r="I450" s="76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5.75" customHeight="1">
      <c r="A451" s="74"/>
      <c r="B451" s="74"/>
      <c r="C451" s="74"/>
      <c r="D451" s="74"/>
      <c r="E451" s="79"/>
      <c r="F451" s="74"/>
      <c r="G451" s="74"/>
      <c r="H451" s="74"/>
      <c r="I451" s="76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5.75" customHeight="1">
      <c r="A452" s="74"/>
      <c r="B452" s="74"/>
      <c r="C452" s="74"/>
      <c r="D452" s="74"/>
      <c r="E452" s="79"/>
      <c r="F452" s="74"/>
      <c r="G452" s="74"/>
      <c r="H452" s="74"/>
      <c r="I452" s="76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5.75" customHeight="1">
      <c r="A453" s="74"/>
      <c r="B453" s="74"/>
      <c r="C453" s="74"/>
      <c r="D453" s="74"/>
      <c r="E453" s="79"/>
      <c r="F453" s="74"/>
      <c r="G453" s="74"/>
      <c r="H453" s="74"/>
      <c r="I453" s="76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5.75" customHeight="1">
      <c r="A454" s="74"/>
      <c r="B454" s="74"/>
      <c r="C454" s="74"/>
      <c r="D454" s="74"/>
      <c r="E454" s="79"/>
      <c r="F454" s="74"/>
      <c r="G454" s="74"/>
      <c r="H454" s="74"/>
      <c r="I454" s="76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5.75" customHeight="1">
      <c r="A455" s="74"/>
      <c r="B455" s="74"/>
      <c r="C455" s="74"/>
      <c r="D455" s="74"/>
      <c r="E455" s="79"/>
      <c r="F455" s="74"/>
      <c r="G455" s="74"/>
      <c r="H455" s="74"/>
      <c r="I455" s="76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5.75" customHeight="1">
      <c r="A456" s="74"/>
      <c r="B456" s="74"/>
      <c r="C456" s="74"/>
      <c r="D456" s="74"/>
      <c r="E456" s="79"/>
      <c r="F456" s="74"/>
      <c r="G456" s="74"/>
      <c r="H456" s="74"/>
      <c r="I456" s="76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5.75" customHeight="1">
      <c r="A457" s="74"/>
      <c r="B457" s="74"/>
      <c r="C457" s="74"/>
      <c r="D457" s="74"/>
      <c r="E457" s="79"/>
      <c r="F457" s="74"/>
      <c r="G457" s="74"/>
      <c r="H457" s="74"/>
      <c r="I457" s="76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5.75" customHeight="1">
      <c r="A458" s="74"/>
      <c r="B458" s="74"/>
      <c r="C458" s="74"/>
      <c r="D458" s="74"/>
      <c r="E458" s="79"/>
      <c r="F458" s="74"/>
      <c r="G458" s="74"/>
      <c r="H458" s="74"/>
      <c r="I458" s="76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5.75" customHeight="1">
      <c r="A459" s="74"/>
      <c r="B459" s="74"/>
      <c r="C459" s="74"/>
      <c r="D459" s="74"/>
      <c r="E459" s="79"/>
      <c r="F459" s="74"/>
      <c r="G459" s="74"/>
      <c r="H459" s="74"/>
      <c r="I459" s="76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5.75" customHeight="1">
      <c r="A460" s="74"/>
      <c r="B460" s="74"/>
      <c r="C460" s="74"/>
      <c r="D460" s="74"/>
      <c r="E460" s="79"/>
      <c r="F460" s="74"/>
      <c r="G460" s="74"/>
      <c r="H460" s="74"/>
      <c r="I460" s="76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5.75" customHeight="1">
      <c r="A461" s="74"/>
      <c r="B461" s="74"/>
      <c r="C461" s="74"/>
      <c r="D461" s="74"/>
      <c r="E461" s="79"/>
      <c r="F461" s="74"/>
      <c r="G461" s="74"/>
      <c r="H461" s="74"/>
      <c r="I461" s="76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5.75" customHeight="1">
      <c r="A462" s="74"/>
      <c r="B462" s="74"/>
      <c r="C462" s="74"/>
      <c r="D462" s="74"/>
      <c r="E462" s="79"/>
      <c r="F462" s="74"/>
      <c r="G462" s="74"/>
      <c r="H462" s="74"/>
      <c r="I462" s="76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5.75" customHeight="1">
      <c r="A463" s="74"/>
      <c r="B463" s="74"/>
      <c r="C463" s="74"/>
      <c r="D463" s="74"/>
      <c r="E463" s="79"/>
      <c r="F463" s="74"/>
      <c r="G463" s="74"/>
      <c r="H463" s="74"/>
      <c r="I463" s="76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5.75" customHeight="1">
      <c r="A464" s="74"/>
      <c r="B464" s="74"/>
      <c r="C464" s="74"/>
      <c r="D464" s="74"/>
      <c r="E464" s="79"/>
      <c r="F464" s="74"/>
      <c r="G464" s="74"/>
      <c r="H464" s="74"/>
      <c r="I464" s="76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5.75" customHeight="1">
      <c r="A465" s="74"/>
      <c r="B465" s="74"/>
      <c r="C465" s="74"/>
      <c r="D465" s="74"/>
      <c r="E465" s="79"/>
      <c r="F465" s="74"/>
      <c r="G465" s="74"/>
      <c r="H465" s="74"/>
      <c r="I465" s="76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5.75" customHeight="1">
      <c r="A466" s="74"/>
      <c r="B466" s="74"/>
      <c r="C466" s="74"/>
      <c r="D466" s="74"/>
      <c r="E466" s="79"/>
      <c r="F466" s="74"/>
      <c r="G466" s="74"/>
      <c r="H466" s="74"/>
      <c r="I466" s="76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5.75" customHeight="1">
      <c r="A467" s="74"/>
      <c r="B467" s="74"/>
      <c r="C467" s="74"/>
      <c r="D467" s="74"/>
      <c r="E467" s="79"/>
      <c r="F467" s="74"/>
      <c r="G467" s="74"/>
      <c r="H467" s="74"/>
      <c r="I467" s="76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5.75" customHeight="1">
      <c r="A468" s="74"/>
      <c r="B468" s="74"/>
      <c r="C468" s="74"/>
      <c r="D468" s="74"/>
      <c r="E468" s="79"/>
      <c r="F468" s="74"/>
      <c r="G468" s="74"/>
      <c r="H468" s="74"/>
      <c r="I468" s="76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5.75" customHeight="1">
      <c r="A469" s="74"/>
      <c r="B469" s="74"/>
      <c r="C469" s="74"/>
      <c r="D469" s="74"/>
      <c r="E469" s="79"/>
      <c r="F469" s="74"/>
      <c r="G469" s="74"/>
      <c r="H469" s="74"/>
      <c r="I469" s="76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5.75" customHeight="1">
      <c r="A470" s="74"/>
      <c r="B470" s="74"/>
      <c r="C470" s="74"/>
      <c r="D470" s="74"/>
      <c r="E470" s="79"/>
      <c r="F470" s="74"/>
      <c r="G470" s="74"/>
      <c r="H470" s="74"/>
      <c r="I470" s="76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5.75" customHeight="1">
      <c r="A471" s="74"/>
      <c r="B471" s="74"/>
      <c r="C471" s="74"/>
      <c r="D471" s="74"/>
      <c r="E471" s="79"/>
      <c r="F471" s="74"/>
      <c r="G471" s="74"/>
      <c r="H471" s="74"/>
      <c r="I471" s="76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5.75" customHeight="1">
      <c r="A472" s="74"/>
      <c r="B472" s="74"/>
      <c r="C472" s="74"/>
      <c r="D472" s="74"/>
      <c r="E472" s="79"/>
      <c r="F472" s="74"/>
      <c r="G472" s="74"/>
      <c r="H472" s="74"/>
      <c r="I472" s="76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5.75" customHeight="1">
      <c r="A473" s="74"/>
      <c r="B473" s="74"/>
      <c r="C473" s="74"/>
      <c r="D473" s="74"/>
      <c r="E473" s="79"/>
      <c r="F473" s="74"/>
      <c r="G473" s="74"/>
      <c r="H473" s="74"/>
      <c r="I473" s="76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5.75" customHeight="1">
      <c r="A474" s="74"/>
      <c r="B474" s="74"/>
      <c r="C474" s="74"/>
      <c r="D474" s="74"/>
      <c r="E474" s="79"/>
      <c r="F474" s="74"/>
      <c r="G474" s="74"/>
      <c r="H474" s="74"/>
      <c r="I474" s="76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5.75" customHeight="1">
      <c r="A475" s="74"/>
      <c r="B475" s="74"/>
      <c r="C475" s="74"/>
      <c r="D475" s="74"/>
      <c r="E475" s="79"/>
      <c r="F475" s="74"/>
      <c r="G475" s="74"/>
      <c r="H475" s="74"/>
      <c r="I475" s="76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5.75" customHeight="1">
      <c r="A476" s="74"/>
      <c r="B476" s="74"/>
      <c r="C476" s="74"/>
      <c r="D476" s="74"/>
      <c r="E476" s="79"/>
      <c r="F476" s="74"/>
      <c r="G476" s="74"/>
      <c r="H476" s="74"/>
      <c r="I476" s="76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5.75" customHeight="1">
      <c r="A477" s="74"/>
      <c r="B477" s="74"/>
      <c r="C477" s="74"/>
      <c r="D477" s="74"/>
      <c r="E477" s="79"/>
      <c r="F477" s="74"/>
      <c r="G477" s="74"/>
      <c r="H477" s="74"/>
      <c r="I477" s="76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5.75" customHeight="1">
      <c r="A478" s="74"/>
      <c r="B478" s="74"/>
      <c r="C478" s="74"/>
      <c r="D478" s="74"/>
      <c r="E478" s="79"/>
      <c r="F478" s="74"/>
      <c r="G478" s="74"/>
      <c r="H478" s="74"/>
      <c r="I478" s="76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5.75" customHeight="1">
      <c r="A479" s="74"/>
      <c r="B479" s="74"/>
      <c r="C479" s="74"/>
      <c r="D479" s="74"/>
      <c r="E479" s="79"/>
      <c r="F479" s="74"/>
      <c r="G479" s="74"/>
      <c r="H479" s="74"/>
      <c r="I479" s="76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5.75" customHeight="1">
      <c r="A480" s="74"/>
      <c r="B480" s="74"/>
      <c r="C480" s="74"/>
      <c r="D480" s="74"/>
      <c r="E480" s="79"/>
      <c r="F480" s="74"/>
      <c r="G480" s="74"/>
      <c r="H480" s="74"/>
      <c r="I480" s="76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5.75" customHeight="1">
      <c r="A481" s="74"/>
      <c r="B481" s="74"/>
      <c r="C481" s="74"/>
      <c r="D481" s="74"/>
      <c r="E481" s="79"/>
      <c r="F481" s="74"/>
      <c r="G481" s="74"/>
      <c r="H481" s="74"/>
      <c r="I481" s="76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5.75" customHeight="1">
      <c r="A482" s="74"/>
      <c r="B482" s="74"/>
      <c r="C482" s="74"/>
      <c r="D482" s="74"/>
      <c r="E482" s="79"/>
      <c r="F482" s="74"/>
      <c r="G482" s="74"/>
      <c r="H482" s="74"/>
      <c r="I482" s="76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5.75" customHeight="1">
      <c r="A483" s="74"/>
      <c r="B483" s="74"/>
      <c r="C483" s="74"/>
      <c r="D483" s="74"/>
      <c r="E483" s="79"/>
      <c r="F483" s="74"/>
      <c r="G483" s="74"/>
      <c r="H483" s="74"/>
      <c r="I483" s="76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5.75" customHeight="1">
      <c r="A484" s="74"/>
      <c r="B484" s="74"/>
      <c r="C484" s="74"/>
      <c r="D484" s="74"/>
      <c r="E484" s="79"/>
      <c r="F484" s="74"/>
      <c r="G484" s="74"/>
      <c r="H484" s="74"/>
      <c r="I484" s="76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5.75" customHeight="1">
      <c r="A485" s="74"/>
      <c r="B485" s="74"/>
      <c r="C485" s="74"/>
      <c r="D485" s="74"/>
      <c r="E485" s="79"/>
      <c r="F485" s="74"/>
      <c r="G485" s="74"/>
      <c r="H485" s="74"/>
      <c r="I485" s="76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5.75" customHeight="1">
      <c r="A486" s="74"/>
      <c r="B486" s="74"/>
      <c r="C486" s="74"/>
      <c r="D486" s="74"/>
      <c r="E486" s="79"/>
      <c r="F486" s="74"/>
      <c r="G486" s="74"/>
      <c r="H486" s="74"/>
      <c r="I486" s="76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5.75" customHeight="1">
      <c r="A487" s="74"/>
      <c r="B487" s="74"/>
      <c r="C487" s="74"/>
      <c r="D487" s="74"/>
      <c r="E487" s="79"/>
      <c r="F487" s="74"/>
      <c r="G487" s="74"/>
      <c r="H487" s="74"/>
      <c r="I487" s="76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5.75" customHeight="1">
      <c r="A488" s="74"/>
      <c r="B488" s="74"/>
      <c r="C488" s="74"/>
      <c r="D488" s="74"/>
      <c r="E488" s="79"/>
      <c r="F488" s="74"/>
      <c r="G488" s="74"/>
      <c r="H488" s="74"/>
      <c r="I488" s="76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5.75" customHeight="1">
      <c r="A489" s="74"/>
      <c r="B489" s="74"/>
      <c r="C489" s="74"/>
      <c r="D489" s="74"/>
      <c r="E489" s="79"/>
      <c r="F489" s="74"/>
      <c r="G489" s="74"/>
      <c r="H489" s="74"/>
      <c r="I489" s="76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5.75" customHeight="1">
      <c r="A490" s="74"/>
      <c r="B490" s="74"/>
      <c r="C490" s="74"/>
      <c r="D490" s="74"/>
      <c r="E490" s="79"/>
      <c r="F490" s="74"/>
      <c r="G490" s="74"/>
      <c r="H490" s="74"/>
      <c r="I490" s="76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5.75" customHeight="1">
      <c r="A491" s="74"/>
      <c r="B491" s="74"/>
      <c r="C491" s="74"/>
      <c r="D491" s="74"/>
      <c r="E491" s="79"/>
      <c r="F491" s="74"/>
      <c r="G491" s="74"/>
      <c r="H491" s="74"/>
      <c r="I491" s="76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5.75" customHeight="1">
      <c r="A492" s="74"/>
      <c r="B492" s="74"/>
      <c r="C492" s="74"/>
      <c r="D492" s="74"/>
      <c r="E492" s="79"/>
      <c r="F492" s="74"/>
      <c r="G492" s="74"/>
      <c r="H492" s="74"/>
      <c r="I492" s="76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5.75" customHeight="1">
      <c r="A493" s="74"/>
      <c r="B493" s="74"/>
      <c r="C493" s="74"/>
      <c r="D493" s="74"/>
      <c r="E493" s="79"/>
      <c r="F493" s="74"/>
      <c r="G493" s="74"/>
      <c r="H493" s="74"/>
      <c r="I493" s="76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5.75" customHeight="1">
      <c r="A494" s="74"/>
      <c r="B494" s="74"/>
      <c r="C494" s="74"/>
      <c r="D494" s="74"/>
      <c r="E494" s="79"/>
      <c r="F494" s="74"/>
      <c r="G494" s="74"/>
      <c r="H494" s="74"/>
      <c r="I494" s="76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5.75" customHeight="1">
      <c r="A495" s="74"/>
      <c r="B495" s="74"/>
      <c r="C495" s="74"/>
      <c r="D495" s="74"/>
      <c r="E495" s="79"/>
      <c r="F495" s="74"/>
      <c r="G495" s="74"/>
      <c r="H495" s="74"/>
      <c r="I495" s="76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5.75" customHeight="1">
      <c r="A496" s="74"/>
      <c r="B496" s="74"/>
      <c r="C496" s="74"/>
      <c r="D496" s="74"/>
      <c r="E496" s="79"/>
      <c r="F496" s="74"/>
      <c r="G496" s="74"/>
      <c r="H496" s="74"/>
      <c r="I496" s="76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5.75" customHeight="1">
      <c r="A497" s="74"/>
      <c r="B497" s="74"/>
      <c r="C497" s="74"/>
      <c r="D497" s="74"/>
      <c r="E497" s="79"/>
      <c r="F497" s="74"/>
      <c r="G497" s="74"/>
      <c r="H497" s="74"/>
      <c r="I497" s="76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5.75" customHeight="1">
      <c r="A498" s="74"/>
      <c r="B498" s="74"/>
      <c r="C498" s="74"/>
      <c r="D498" s="74"/>
      <c r="E498" s="79"/>
      <c r="F498" s="74"/>
      <c r="G498" s="74"/>
      <c r="H498" s="74"/>
      <c r="I498" s="76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5.75" customHeight="1">
      <c r="A499" s="74"/>
      <c r="B499" s="74"/>
      <c r="C499" s="74"/>
      <c r="D499" s="74"/>
      <c r="E499" s="79"/>
      <c r="F499" s="74"/>
      <c r="G499" s="74"/>
      <c r="H499" s="74"/>
      <c r="I499" s="76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5.75" customHeight="1">
      <c r="A500" s="74"/>
      <c r="B500" s="74"/>
      <c r="C500" s="74"/>
      <c r="D500" s="74"/>
      <c r="E500" s="79"/>
      <c r="F500" s="74"/>
      <c r="G500" s="74"/>
      <c r="H500" s="74"/>
      <c r="I500" s="76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5.75" customHeight="1">
      <c r="A501" s="74"/>
      <c r="B501" s="74"/>
      <c r="C501" s="74"/>
      <c r="D501" s="74"/>
      <c r="E501" s="79"/>
      <c r="F501" s="74"/>
      <c r="G501" s="74"/>
      <c r="H501" s="74"/>
      <c r="I501" s="76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5.75" customHeight="1">
      <c r="A502" s="74"/>
      <c r="B502" s="74"/>
      <c r="C502" s="74"/>
      <c r="D502" s="74"/>
      <c r="E502" s="79"/>
      <c r="F502" s="74"/>
      <c r="G502" s="74"/>
      <c r="H502" s="74"/>
      <c r="I502" s="76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5.75" customHeight="1">
      <c r="A503" s="74"/>
      <c r="B503" s="74"/>
      <c r="C503" s="74"/>
      <c r="D503" s="74"/>
      <c r="E503" s="79"/>
      <c r="F503" s="74"/>
      <c r="G503" s="74"/>
      <c r="H503" s="74"/>
      <c r="I503" s="76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5.75" customHeight="1">
      <c r="A504" s="74"/>
      <c r="B504" s="74"/>
      <c r="C504" s="74"/>
      <c r="D504" s="74"/>
      <c r="E504" s="79"/>
      <c r="F504" s="74"/>
      <c r="G504" s="74"/>
      <c r="H504" s="74"/>
      <c r="I504" s="76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5.75" customHeight="1">
      <c r="A505" s="74"/>
      <c r="B505" s="74"/>
      <c r="C505" s="74"/>
      <c r="D505" s="74"/>
      <c r="E505" s="79"/>
      <c r="F505" s="74"/>
      <c r="G505" s="74"/>
      <c r="H505" s="74"/>
      <c r="I505" s="76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5.75" customHeight="1">
      <c r="A506" s="74"/>
      <c r="B506" s="74"/>
      <c r="C506" s="74"/>
      <c r="D506" s="74"/>
      <c r="E506" s="79"/>
      <c r="F506" s="74"/>
      <c r="G506" s="74"/>
      <c r="H506" s="74"/>
      <c r="I506" s="76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5.75" customHeight="1">
      <c r="A507" s="74"/>
      <c r="B507" s="74"/>
      <c r="C507" s="74"/>
      <c r="D507" s="74"/>
      <c r="E507" s="79"/>
      <c r="F507" s="74"/>
      <c r="G507" s="74"/>
      <c r="H507" s="74"/>
      <c r="I507" s="76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5.75" customHeight="1">
      <c r="A508" s="74"/>
      <c r="B508" s="74"/>
      <c r="C508" s="74"/>
      <c r="D508" s="74"/>
      <c r="E508" s="79"/>
      <c r="F508" s="74"/>
      <c r="G508" s="74"/>
      <c r="H508" s="74"/>
      <c r="I508" s="76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5.75" customHeight="1">
      <c r="A509" s="74"/>
      <c r="B509" s="74"/>
      <c r="C509" s="74"/>
      <c r="D509" s="74"/>
      <c r="E509" s="79"/>
      <c r="F509" s="74"/>
      <c r="G509" s="74"/>
      <c r="H509" s="74"/>
      <c r="I509" s="76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5.75" customHeight="1">
      <c r="A510" s="74"/>
      <c r="B510" s="74"/>
      <c r="C510" s="74"/>
      <c r="D510" s="74"/>
      <c r="E510" s="79"/>
      <c r="F510" s="74"/>
      <c r="G510" s="74"/>
      <c r="H510" s="74"/>
      <c r="I510" s="76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5.75" customHeight="1">
      <c r="A511" s="74"/>
      <c r="B511" s="74"/>
      <c r="C511" s="74"/>
      <c r="D511" s="74"/>
      <c r="E511" s="79"/>
      <c r="F511" s="74"/>
      <c r="G511" s="74"/>
      <c r="H511" s="74"/>
      <c r="I511" s="76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5.75" customHeight="1">
      <c r="A512" s="74"/>
      <c r="B512" s="74"/>
      <c r="C512" s="74"/>
      <c r="D512" s="74"/>
      <c r="E512" s="79"/>
      <c r="F512" s="74"/>
      <c r="G512" s="74"/>
      <c r="H512" s="74"/>
      <c r="I512" s="76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5.75" customHeight="1">
      <c r="A513" s="74"/>
      <c r="B513" s="74"/>
      <c r="C513" s="74"/>
      <c r="D513" s="74"/>
      <c r="E513" s="79"/>
      <c r="F513" s="74"/>
      <c r="G513" s="74"/>
      <c r="H513" s="74"/>
      <c r="I513" s="76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5.75" customHeight="1">
      <c r="A514" s="74"/>
      <c r="B514" s="74"/>
      <c r="C514" s="74"/>
      <c r="D514" s="74"/>
      <c r="E514" s="79"/>
      <c r="F514" s="74"/>
      <c r="G514" s="74"/>
      <c r="H514" s="74"/>
      <c r="I514" s="76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5.75" customHeight="1">
      <c r="A515" s="74"/>
      <c r="B515" s="74"/>
      <c r="C515" s="74"/>
      <c r="D515" s="74"/>
      <c r="E515" s="79"/>
      <c r="F515" s="74"/>
      <c r="G515" s="74"/>
      <c r="H515" s="74"/>
      <c r="I515" s="76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5.75" customHeight="1">
      <c r="A516" s="74"/>
      <c r="B516" s="74"/>
      <c r="C516" s="74"/>
      <c r="D516" s="74"/>
      <c r="E516" s="79"/>
      <c r="F516" s="74"/>
      <c r="G516" s="74"/>
      <c r="H516" s="74"/>
      <c r="I516" s="76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5.75" customHeight="1">
      <c r="A517" s="74"/>
      <c r="B517" s="74"/>
      <c r="C517" s="74"/>
      <c r="D517" s="74"/>
      <c r="E517" s="79"/>
      <c r="F517" s="74"/>
      <c r="G517" s="74"/>
      <c r="H517" s="74"/>
      <c r="I517" s="76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5.75" customHeight="1">
      <c r="A518" s="74"/>
      <c r="B518" s="74"/>
      <c r="C518" s="74"/>
      <c r="D518" s="74"/>
      <c r="E518" s="79"/>
      <c r="F518" s="74"/>
      <c r="G518" s="74"/>
      <c r="H518" s="74"/>
      <c r="I518" s="76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5.75" customHeight="1">
      <c r="A519" s="74"/>
      <c r="B519" s="74"/>
      <c r="C519" s="74"/>
      <c r="D519" s="74"/>
      <c r="E519" s="79"/>
      <c r="F519" s="74"/>
      <c r="G519" s="74"/>
      <c r="H519" s="74"/>
      <c r="I519" s="76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5.75" customHeight="1">
      <c r="A520" s="74"/>
      <c r="B520" s="74"/>
      <c r="C520" s="74"/>
      <c r="D520" s="74"/>
      <c r="E520" s="79"/>
      <c r="F520" s="74"/>
      <c r="G520" s="74"/>
      <c r="H520" s="74"/>
      <c r="I520" s="76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5.75" customHeight="1">
      <c r="A521" s="74"/>
      <c r="B521" s="74"/>
      <c r="C521" s="74"/>
      <c r="D521" s="74"/>
      <c r="E521" s="79"/>
      <c r="F521" s="74"/>
      <c r="G521" s="74"/>
      <c r="H521" s="74"/>
      <c r="I521" s="76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5.75" customHeight="1">
      <c r="A522" s="74"/>
      <c r="B522" s="74"/>
      <c r="C522" s="74"/>
      <c r="D522" s="74"/>
      <c r="E522" s="79"/>
      <c r="F522" s="74"/>
      <c r="G522" s="74"/>
      <c r="H522" s="74"/>
      <c r="I522" s="76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5.75" customHeight="1">
      <c r="A523" s="74"/>
      <c r="B523" s="74"/>
      <c r="C523" s="74"/>
      <c r="D523" s="74"/>
      <c r="E523" s="79"/>
      <c r="F523" s="74"/>
      <c r="G523" s="74"/>
      <c r="H523" s="74"/>
      <c r="I523" s="76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5.75" customHeight="1">
      <c r="A524" s="74"/>
      <c r="B524" s="74"/>
      <c r="C524" s="74"/>
      <c r="D524" s="74"/>
      <c r="E524" s="79"/>
      <c r="F524" s="74"/>
      <c r="G524" s="74"/>
      <c r="H524" s="74"/>
      <c r="I524" s="76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5.75" customHeight="1">
      <c r="A525" s="74"/>
      <c r="B525" s="74"/>
      <c r="C525" s="74"/>
      <c r="D525" s="74"/>
      <c r="E525" s="79"/>
      <c r="F525" s="74"/>
      <c r="G525" s="74"/>
      <c r="H525" s="74"/>
      <c r="I525" s="76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5.75" customHeight="1">
      <c r="A526" s="74"/>
      <c r="B526" s="74"/>
      <c r="C526" s="74"/>
      <c r="D526" s="74"/>
      <c r="E526" s="79"/>
      <c r="F526" s="74"/>
      <c r="G526" s="74"/>
      <c r="H526" s="74"/>
      <c r="I526" s="76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5.75" customHeight="1">
      <c r="A527" s="74"/>
      <c r="B527" s="74"/>
      <c r="C527" s="74"/>
      <c r="D527" s="74"/>
      <c r="E527" s="79"/>
      <c r="F527" s="74"/>
      <c r="G527" s="74"/>
      <c r="H527" s="74"/>
      <c r="I527" s="76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5.75" customHeight="1">
      <c r="A528" s="74"/>
      <c r="B528" s="74"/>
      <c r="C528" s="74"/>
      <c r="D528" s="74"/>
      <c r="E528" s="79"/>
      <c r="F528" s="74"/>
      <c r="G528" s="74"/>
      <c r="H528" s="74"/>
      <c r="I528" s="76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5.75" customHeight="1">
      <c r="A529" s="74"/>
      <c r="B529" s="74"/>
      <c r="C529" s="74"/>
      <c r="D529" s="74"/>
      <c r="E529" s="79"/>
      <c r="F529" s="74"/>
      <c r="G529" s="74"/>
      <c r="H529" s="74"/>
      <c r="I529" s="76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5.75" customHeight="1">
      <c r="A530" s="74"/>
      <c r="B530" s="74"/>
      <c r="C530" s="74"/>
      <c r="D530" s="74"/>
      <c r="E530" s="79"/>
      <c r="F530" s="74"/>
      <c r="G530" s="74"/>
      <c r="H530" s="74"/>
      <c r="I530" s="76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5.75" customHeight="1">
      <c r="A531" s="74"/>
      <c r="B531" s="74"/>
      <c r="C531" s="74"/>
      <c r="D531" s="74"/>
      <c r="E531" s="79"/>
      <c r="F531" s="74"/>
      <c r="G531" s="74"/>
      <c r="H531" s="74"/>
      <c r="I531" s="76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5.75" customHeight="1">
      <c r="A532" s="74"/>
      <c r="B532" s="74"/>
      <c r="C532" s="74"/>
      <c r="D532" s="74"/>
      <c r="E532" s="79"/>
      <c r="F532" s="74"/>
      <c r="G532" s="74"/>
      <c r="H532" s="74"/>
      <c r="I532" s="76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5.75" customHeight="1">
      <c r="A533" s="74"/>
      <c r="B533" s="74"/>
      <c r="C533" s="74"/>
      <c r="D533" s="74"/>
      <c r="E533" s="79"/>
      <c r="F533" s="74"/>
      <c r="G533" s="74"/>
      <c r="H533" s="74"/>
      <c r="I533" s="76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5.75" customHeight="1">
      <c r="A534" s="74"/>
      <c r="B534" s="74"/>
      <c r="C534" s="74"/>
      <c r="D534" s="74"/>
      <c r="E534" s="79"/>
      <c r="F534" s="74"/>
      <c r="G534" s="74"/>
      <c r="H534" s="74"/>
      <c r="I534" s="76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5.75" customHeight="1">
      <c r="A535" s="74"/>
      <c r="B535" s="74"/>
      <c r="C535" s="74"/>
      <c r="D535" s="74"/>
      <c r="E535" s="79"/>
      <c r="F535" s="74"/>
      <c r="G535" s="74"/>
      <c r="H535" s="74"/>
      <c r="I535" s="76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5.75" customHeight="1">
      <c r="A536" s="74"/>
      <c r="B536" s="74"/>
      <c r="C536" s="74"/>
      <c r="D536" s="74"/>
      <c r="E536" s="79"/>
      <c r="F536" s="74"/>
      <c r="G536" s="74"/>
      <c r="H536" s="74"/>
      <c r="I536" s="76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5.75" customHeight="1">
      <c r="A537" s="74"/>
      <c r="B537" s="74"/>
      <c r="C537" s="74"/>
      <c r="D537" s="74"/>
      <c r="E537" s="79"/>
      <c r="F537" s="74"/>
      <c r="G537" s="74"/>
      <c r="H537" s="74"/>
      <c r="I537" s="76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5.75" customHeight="1">
      <c r="A538" s="74"/>
      <c r="B538" s="74"/>
      <c r="C538" s="74"/>
      <c r="D538" s="74"/>
      <c r="E538" s="79"/>
      <c r="F538" s="74"/>
      <c r="G538" s="74"/>
      <c r="H538" s="74"/>
      <c r="I538" s="76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5.75" customHeight="1">
      <c r="A539" s="74"/>
      <c r="B539" s="74"/>
      <c r="C539" s="74"/>
      <c r="D539" s="74"/>
      <c r="E539" s="79"/>
      <c r="F539" s="74"/>
      <c r="G539" s="74"/>
      <c r="H539" s="74"/>
      <c r="I539" s="76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5.75" customHeight="1">
      <c r="A540" s="74"/>
      <c r="B540" s="74"/>
      <c r="C540" s="74"/>
      <c r="D540" s="74"/>
      <c r="E540" s="79"/>
      <c r="F540" s="74"/>
      <c r="G540" s="74"/>
      <c r="H540" s="74"/>
      <c r="I540" s="76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5.75" customHeight="1">
      <c r="A541" s="74"/>
      <c r="B541" s="74"/>
      <c r="C541" s="74"/>
      <c r="D541" s="74"/>
      <c r="E541" s="79"/>
      <c r="F541" s="74"/>
      <c r="G541" s="74"/>
      <c r="H541" s="74"/>
      <c r="I541" s="76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5.75" customHeight="1">
      <c r="A542" s="74"/>
      <c r="B542" s="74"/>
      <c r="C542" s="74"/>
      <c r="D542" s="74"/>
      <c r="E542" s="79"/>
      <c r="F542" s="74"/>
      <c r="G542" s="74"/>
      <c r="H542" s="74"/>
      <c r="I542" s="76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5.75" customHeight="1">
      <c r="A543" s="74"/>
      <c r="B543" s="74"/>
      <c r="C543" s="74"/>
      <c r="D543" s="74"/>
      <c r="E543" s="79"/>
      <c r="F543" s="74"/>
      <c r="G543" s="74"/>
      <c r="H543" s="74"/>
      <c r="I543" s="76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5.75" customHeight="1">
      <c r="A544" s="74"/>
      <c r="B544" s="74"/>
      <c r="C544" s="74"/>
      <c r="D544" s="74"/>
      <c r="E544" s="79"/>
      <c r="F544" s="74"/>
      <c r="G544" s="74"/>
      <c r="H544" s="74"/>
      <c r="I544" s="76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5.75" customHeight="1">
      <c r="A545" s="74"/>
      <c r="B545" s="74"/>
      <c r="C545" s="74"/>
      <c r="D545" s="74"/>
      <c r="E545" s="79"/>
      <c r="F545" s="74"/>
      <c r="G545" s="74"/>
      <c r="H545" s="74"/>
      <c r="I545" s="76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5.75" customHeight="1">
      <c r="A546" s="74"/>
      <c r="B546" s="74"/>
      <c r="C546" s="74"/>
      <c r="D546" s="74"/>
      <c r="E546" s="79"/>
      <c r="F546" s="74"/>
      <c r="G546" s="74"/>
      <c r="H546" s="74"/>
      <c r="I546" s="76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5.75" customHeight="1">
      <c r="A547" s="74"/>
      <c r="B547" s="74"/>
      <c r="C547" s="74"/>
      <c r="D547" s="74"/>
      <c r="E547" s="79"/>
      <c r="F547" s="74"/>
      <c r="G547" s="74"/>
      <c r="H547" s="74"/>
      <c r="I547" s="76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5.75" customHeight="1">
      <c r="A548" s="74"/>
      <c r="B548" s="74"/>
      <c r="C548" s="74"/>
      <c r="D548" s="74"/>
      <c r="E548" s="79"/>
      <c r="F548" s="74"/>
      <c r="G548" s="74"/>
      <c r="H548" s="74"/>
      <c r="I548" s="76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5.75" customHeight="1">
      <c r="A549" s="74"/>
      <c r="B549" s="74"/>
      <c r="C549" s="74"/>
      <c r="D549" s="74"/>
      <c r="E549" s="79"/>
      <c r="F549" s="74"/>
      <c r="G549" s="74"/>
      <c r="H549" s="74"/>
      <c r="I549" s="76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5.75" customHeight="1">
      <c r="A550" s="74"/>
      <c r="B550" s="74"/>
      <c r="C550" s="74"/>
      <c r="D550" s="74"/>
      <c r="E550" s="79"/>
      <c r="F550" s="74"/>
      <c r="G550" s="74"/>
      <c r="H550" s="74"/>
      <c r="I550" s="76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5.75" customHeight="1">
      <c r="A551" s="74"/>
      <c r="B551" s="74"/>
      <c r="C551" s="74"/>
      <c r="D551" s="74"/>
      <c r="E551" s="79"/>
      <c r="F551" s="74"/>
      <c r="G551" s="74"/>
      <c r="H551" s="74"/>
      <c r="I551" s="76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5.75" customHeight="1">
      <c r="A552" s="74"/>
      <c r="B552" s="74"/>
      <c r="C552" s="74"/>
      <c r="D552" s="74"/>
      <c r="E552" s="79"/>
      <c r="F552" s="74"/>
      <c r="G552" s="74"/>
      <c r="H552" s="74"/>
      <c r="I552" s="76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5.75" customHeight="1">
      <c r="A553" s="74"/>
      <c r="B553" s="74"/>
      <c r="C553" s="74"/>
      <c r="D553" s="74"/>
      <c r="E553" s="79"/>
      <c r="F553" s="74"/>
      <c r="G553" s="74"/>
      <c r="H553" s="74"/>
      <c r="I553" s="76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5.75" customHeight="1">
      <c r="A554" s="74"/>
      <c r="B554" s="74"/>
      <c r="C554" s="74"/>
      <c r="D554" s="74"/>
      <c r="E554" s="79"/>
      <c r="F554" s="74"/>
      <c r="G554" s="74"/>
      <c r="H554" s="74"/>
      <c r="I554" s="76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5.75" customHeight="1">
      <c r="A555" s="74"/>
      <c r="B555" s="74"/>
      <c r="C555" s="74"/>
      <c r="D555" s="74"/>
      <c r="E555" s="79"/>
      <c r="F555" s="74"/>
      <c r="G555" s="74"/>
      <c r="H555" s="74"/>
      <c r="I555" s="76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5.75" customHeight="1">
      <c r="A556" s="74"/>
      <c r="B556" s="74"/>
      <c r="C556" s="74"/>
      <c r="D556" s="74"/>
      <c r="E556" s="79"/>
      <c r="F556" s="74"/>
      <c r="G556" s="74"/>
      <c r="H556" s="74"/>
      <c r="I556" s="76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5.75" customHeight="1">
      <c r="A557" s="74"/>
      <c r="B557" s="74"/>
      <c r="C557" s="74"/>
      <c r="D557" s="74"/>
      <c r="E557" s="79"/>
      <c r="F557" s="74"/>
      <c r="G557" s="74"/>
      <c r="H557" s="74"/>
      <c r="I557" s="76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5.75" customHeight="1">
      <c r="A558" s="74"/>
      <c r="B558" s="74"/>
      <c r="C558" s="74"/>
      <c r="D558" s="74"/>
      <c r="E558" s="79"/>
      <c r="F558" s="74"/>
      <c r="G558" s="74"/>
      <c r="H558" s="74"/>
      <c r="I558" s="76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5.75" customHeight="1">
      <c r="A559" s="74"/>
      <c r="B559" s="74"/>
      <c r="C559" s="74"/>
      <c r="D559" s="74"/>
      <c r="E559" s="79"/>
      <c r="F559" s="74"/>
      <c r="G559" s="74"/>
      <c r="H559" s="74"/>
      <c r="I559" s="76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5.75" customHeight="1">
      <c r="A560" s="74"/>
      <c r="B560" s="74"/>
      <c r="C560" s="74"/>
      <c r="D560" s="74"/>
      <c r="E560" s="79"/>
      <c r="F560" s="74"/>
      <c r="G560" s="74"/>
      <c r="H560" s="74"/>
      <c r="I560" s="76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5.75" customHeight="1">
      <c r="A561" s="74"/>
      <c r="B561" s="74"/>
      <c r="C561" s="74"/>
      <c r="D561" s="74"/>
      <c r="E561" s="79"/>
      <c r="F561" s="74"/>
      <c r="G561" s="74"/>
      <c r="H561" s="74"/>
      <c r="I561" s="76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5.75" customHeight="1">
      <c r="A562" s="74"/>
      <c r="B562" s="74"/>
      <c r="C562" s="74"/>
      <c r="D562" s="74"/>
      <c r="E562" s="79"/>
      <c r="F562" s="74"/>
      <c r="G562" s="74"/>
      <c r="H562" s="74"/>
      <c r="I562" s="76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5.75" customHeight="1">
      <c r="A563" s="74"/>
      <c r="B563" s="74"/>
      <c r="C563" s="74"/>
      <c r="D563" s="74"/>
      <c r="E563" s="79"/>
      <c r="F563" s="74"/>
      <c r="G563" s="74"/>
      <c r="H563" s="74"/>
      <c r="I563" s="76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5.75" customHeight="1">
      <c r="A564" s="74"/>
      <c r="B564" s="74"/>
      <c r="C564" s="74"/>
      <c r="D564" s="74"/>
      <c r="E564" s="79"/>
      <c r="F564" s="74"/>
      <c r="G564" s="74"/>
      <c r="H564" s="74"/>
      <c r="I564" s="76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5.75" customHeight="1">
      <c r="A565" s="74"/>
      <c r="B565" s="74"/>
      <c r="C565" s="74"/>
      <c r="D565" s="74"/>
      <c r="E565" s="79"/>
      <c r="F565" s="74"/>
      <c r="G565" s="74"/>
      <c r="H565" s="74"/>
      <c r="I565" s="76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5.75" customHeight="1">
      <c r="A566" s="74"/>
      <c r="B566" s="74"/>
      <c r="C566" s="74"/>
      <c r="D566" s="74"/>
      <c r="E566" s="79"/>
      <c r="F566" s="74"/>
      <c r="G566" s="74"/>
      <c r="H566" s="74"/>
      <c r="I566" s="76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5.75" customHeight="1">
      <c r="A567" s="74"/>
      <c r="B567" s="74"/>
      <c r="C567" s="74"/>
      <c r="D567" s="74"/>
      <c r="E567" s="79"/>
      <c r="F567" s="74"/>
      <c r="G567" s="74"/>
      <c r="H567" s="74"/>
      <c r="I567" s="76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5.75" customHeight="1">
      <c r="A568" s="74"/>
      <c r="B568" s="74"/>
      <c r="C568" s="74"/>
      <c r="D568" s="74"/>
      <c r="E568" s="79"/>
      <c r="F568" s="74"/>
      <c r="G568" s="74"/>
      <c r="H568" s="74"/>
      <c r="I568" s="76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5.75" customHeight="1">
      <c r="A569" s="74"/>
      <c r="B569" s="74"/>
      <c r="C569" s="74"/>
      <c r="D569" s="74"/>
      <c r="E569" s="79"/>
      <c r="F569" s="74"/>
      <c r="G569" s="74"/>
      <c r="H569" s="74"/>
      <c r="I569" s="76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5.75" customHeight="1">
      <c r="A570" s="74"/>
      <c r="B570" s="74"/>
      <c r="C570" s="74"/>
      <c r="D570" s="74"/>
      <c r="E570" s="79"/>
      <c r="F570" s="74"/>
      <c r="G570" s="74"/>
      <c r="H570" s="74"/>
      <c r="I570" s="76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5.75" customHeight="1">
      <c r="A571" s="74"/>
      <c r="B571" s="74"/>
      <c r="C571" s="74"/>
      <c r="D571" s="74"/>
      <c r="E571" s="79"/>
      <c r="F571" s="74"/>
      <c r="G571" s="74"/>
      <c r="H571" s="74"/>
      <c r="I571" s="76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5.75" customHeight="1">
      <c r="A572" s="74"/>
      <c r="B572" s="74"/>
      <c r="C572" s="74"/>
      <c r="D572" s="74"/>
      <c r="E572" s="79"/>
      <c r="F572" s="74"/>
      <c r="G572" s="74"/>
      <c r="H572" s="74"/>
      <c r="I572" s="76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5.75" customHeight="1">
      <c r="A573" s="74"/>
      <c r="B573" s="74"/>
      <c r="C573" s="74"/>
      <c r="D573" s="74"/>
      <c r="E573" s="79"/>
      <c r="F573" s="74"/>
      <c r="G573" s="74"/>
      <c r="H573" s="74"/>
      <c r="I573" s="76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5.75" customHeight="1">
      <c r="A574" s="74"/>
      <c r="B574" s="74"/>
      <c r="C574" s="74"/>
      <c r="D574" s="74"/>
      <c r="E574" s="79"/>
      <c r="F574" s="74"/>
      <c r="G574" s="74"/>
      <c r="H574" s="74"/>
      <c r="I574" s="76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5.75" customHeight="1">
      <c r="A575" s="74"/>
      <c r="B575" s="74"/>
      <c r="C575" s="74"/>
      <c r="D575" s="74"/>
      <c r="E575" s="79"/>
      <c r="F575" s="74"/>
      <c r="G575" s="74"/>
      <c r="H575" s="74"/>
      <c r="I575" s="76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5.75" customHeight="1">
      <c r="A576" s="74"/>
      <c r="B576" s="74"/>
      <c r="C576" s="74"/>
      <c r="D576" s="74"/>
      <c r="E576" s="79"/>
      <c r="F576" s="74"/>
      <c r="G576" s="74"/>
      <c r="H576" s="74"/>
      <c r="I576" s="76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5.75" customHeight="1">
      <c r="A577" s="74"/>
      <c r="B577" s="74"/>
      <c r="C577" s="74"/>
      <c r="D577" s="74"/>
      <c r="E577" s="79"/>
      <c r="F577" s="74"/>
      <c r="G577" s="74"/>
      <c r="H577" s="74"/>
      <c r="I577" s="76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5.75" customHeight="1">
      <c r="A578" s="74"/>
      <c r="B578" s="74"/>
      <c r="C578" s="74"/>
      <c r="D578" s="74"/>
      <c r="E578" s="79"/>
      <c r="F578" s="74"/>
      <c r="G578" s="74"/>
      <c r="H578" s="74"/>
      <c r="I578" s="76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5.75" customHeight="1">
      <c r="A579" s="74"/>
      <c r="B579" s="74"/>
      <c r="C579" s="74"/>
      <c r="D579" s="74"/>
      <c r="E579" s="79"/>
      <c r="F579" s="74"/>
      <c r="G579" s="74"/>
      <c r="H579" s="74"/>
      <c r="I579" s="76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5.75" customHeight="1">
      <c r="A580" s="74"/>
      <c r="B580" s="74"/>
      <c r="C580" s="74"/>
      <c r="D580" s="74"/>
      <c r="E580" s="79"/>
      <c r="F580" s="74"/>
      <c r="G580" s="74"/>
      <c r="H580" s="74"/>
      <c r="I580" s="76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5.75" customHeight="1">
      <c r="A581" s="74"/>
      <c r="B581" s="74"/>
      <c r="C581" s="74"/>
      <c r="D581" s="74"/>
      <c r="E581" s="79"/>
      <c r="F581" s="74"/>
      <c r="G581" s="74"/>
      <c r="H581" s="74"/>
      <c r="I581" s="76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5.75" customHeight="1">
      <c r="A582" s="74"/>
      <c r="B582" s="74"/>
      <c r="C582" s="74"/>
      <c r="D582" s="74"/>
      <c r="E582" s="79"/>
      <c r="F582" s="74"/>
      <c r="G582" s="74"/>
      <c r="H582" s="74"/>
      <c r="I582" s="76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5.75" customHeight="1">
      <c r="A583" s="74"/>
      <c r="B583" s="74"/>
      <c r="C583" s="74"/>
      <c r="D583" s="74"/>
      <c r="E583" s="79"/>
      <c r="F583" s="74"/>
      <c r="G583" s="74"/>
      <c r="H583" s="74"/>
      <c r="I583" s="76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5.75" customHeight="1">
      <c r="A584" s="74"/>
      <c r="B584" s="74"/>
      <c r="C584" s="74"/>
      <c r="D584" s="74"/>
      <c r="E584" s="79"/>
      <c r="F584" s="74"/>
      <c r="G584" s="74"/>
      <c r="H584" s="74"/>
      <c r="I584" s="76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5.75" customHeight="1">
      <c r="A585" s="74"/>
      <c r="B585" s="74"/>
      <c r="C585" s="74"/>
      <c r="D585" s="74"/>
      <c r="E585" s="79"/>
      <c r="F585" s="74"/>
      <c r="G585" s="74"/>
      <c r="H585" s="74"/>
      <c r="I585" s="76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5.75" customHeight="1">
      <c r="A586" s="74"/>
      <c r="B586" s="74"/>
      <c r="C586" s="74"/>
      <c r="D586" s="74"/>
      <c r="E586" s="79"/>
      <c r="F586" s="74"/>
      <c r="G586" s="74"/>
      <c r="H586" s="74"/>
      <c r="I586" s="76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5.75" customHeight="1">
      <c r="A587" s="74"/>
      <c r="B587" s="74"/>
      <c r="C587" s="74"/>
      <c r="D587" s="74"/>
      <c r="E587" s="79"/>
      <c r="F587" s="74"/>
      <c r="G587" s="74"/>
      <c r="H587" s="74"/>
      <c r="I587" s="76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5.75" customHeight="1">
      <c r="A588" s="74"/>
      <c r="B588" s="74"/>
      <c r="C588" s="74"/>
      <c r="D588" s="74"/>
      <c r="E588" s="79"/>
      <c r="F588" s="74"/>
      <c r="G588" s="74"/>
      <c r="H588" s="74"/>
      <c r="I588" s="76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5.75" customHeight="1">
      <c r="A589" s="74"/>
      <c r="B589" s="74"/>
      <c r="C589" s="74"/>
      <c r="D589" s="74"/>
      <c r="E589" s="79"/>
      <c r="F589" s="74"/>
      <c r="G589" s="74"/>
      <c r="H589" s="74"/>
      <c r="I589" s="76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5.75" customHeight="1">
      <c r="A590" s="74"/>
      <c r="B590" s="74"/>
      <c r="C590" s="74"/>
      <c r="D590" s="74"/>
      <c r="E590" s="79"/>
      <c r="F590" s="74"/>
      <c r="G590" s="74"/>
      <c r="H590" s="74"/>
      <c r="I590" s="76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5.75" customHeight="1">
      <c r="A591" s="74"/>
      <c r="B591" s="74"/>
      <c r="C591" s="74"/>
      <c r="D591" s="74"/>
      <c r="E591" s="79"/>
      <c r="F591" s="74"/>
      <c r="G591" s="74"/>
      <c r="H591" s="74"/>
      <c r="I591" s="76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5.75" customHeight="1">
      <c r="A592" s="74"/>
      <c r="B592" s="74"/>
      <c r="C592" s="74"/>
      <c r="D592" s="74"/>
      <c r="E592" s="79"/>
      <c r="F592" s="74"/>
      <c r="G592" s="74"/>
      <c r="H592" s="74"/>
      <c r="I592" s="76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5.75" customHeight="1">
      <c r="A593" s="74"/>
      <c r="B593" s="74"/>
      <c r="C593" s="74"/>
      <c r="D593" s="74"/>
      <c r="E593" s="79"/>
      <c r="F593" s="74"/>
      <c r="G593" s="74"/>
      <c r="H593" s="74"/>
      <c r="I593" s="76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5.75" customHeight="1">
      <c r="A594" s="74"/>
      <c r="B594" s="74"/>
      <c r="C594" s="74"/>
      <c r="D594" s="74"/>
      <c r="E594" s="79"/>
      <c r="F594" s="74"/>
      <c r="G594" s="74"/>
      <c r="H594" s="74"/>
      <c r="I594" s="76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5.75" customHeight="1">
      <c r="A595" s="74"/>
      <c r="B595" s="74"/>
      <c r="C595" s="74"/>
      <c r="D595" s="74"/>
      <c r="E595" s="79"/>
      <c r="F595" s="74"/>
      <c r="G595" s="74"/>
      <c r="H595" s="74"/>
      <c r="I595" s="76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5.75" customHeight="1">
      <c r="A596" s="74"/>
      <c r="B596" s="74"/>
      <c r="C596" s="74"/>
      <c r="D596" s="74"/>
      <c r="E596" s="79"/>
      <c r="F596" s="74"/>
      <c r="G596" s="74"/>
      <c r="H596" s="74"/>
      <c r="I596" s="76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5.75" customHeight="1">
      <c r="A597" s="74"/>
      <c r="B597" s="74"/>
      <c r="C597" s="74"/>
      <c r="D597" s="74"/>
      <c r="E597" s="79"/>
      <c r="F597" s="74"/>
      <c r="G597" s="74"/>
      <c r="H597" s="74"/>
      <c r="I597" s="76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5.75" customHeight="1">
      <c r="A598" s="74"/>
      <c r="B598" s="74"/>
      <c r="C598" s="74"/>
      <c r="D598" s="74"/>
      <c r="E598" s="79"/>
      <c r="F598" s="74"/>
      <c r="G598" s="74"/>
      <c r="H598" s="74"/>
      <c r="I598" s="76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5.75" customHeight="1">
      <c r="A599" s="74"/>
      <c r="B599" s="74"/>
      <c r="C599" s="74"/>
      <c r="D599" s="74"/>
      <c r="E599" s="79"/>
      <c r="F599" s="74"/>
      <c r="G599" s="74"/>
      <c r="H599" s="74"/>
      <c r="I599" s="76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5.75" customHeight="1">
      <c r="A600" s="74"/>
      <c r="B600" s="74"/>
      <c r="C600" s="74"/>
      <c r="D600" s="74"/>
      <c r="E600" s="79"/>
      <c r="F600" s="74"/>
      <c r="G600" s="74"/>
      <c r="H600" s="74"/>
      <c r="I600" s="76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5.75" customHeight="1">
      <c r="A601" s="74"/>
      <c r="B601" s="74"/>
      <c r="C601" s="74"/>
      <c r="D601" s="74"/>
      <c r="E601" s="79"/>
      <c r="F601" s="74"/>
      <c r="G601" s="74"/>
      <c r="H601" s="74"/>
      <c r="I601" s="76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5.75" customHeight="1">
      <c r="A602" s="74"/>
      <c r="B602" s="74"/>
      <c r="C602" s="74"/>
      <c r="D602" s="74"/>
      <c r="E602" s="79"/>
      <c r="F602" s="74"/>
      <c r="G602" s="74"/>
      <c r="H602" s="74"/>
      <c r="I602" s="76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5.75" customHeight="1">
      <c r="A603" s="74"/>
      <c r="B603" s="74"/>
      <c r="C603" s="74"/>
      <c r="D603" s="74"/>
      <c r="E603" s="79"/>
      <c r="F603" s="74"/>
      <c r="G603" s="74"/>
      <c r="H603" s="74"/>
      <c r="I603" s="76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5.75" customHeight="1">
      <c r="A604" s="74"/>
      <c r="B604" s="74"/>
      <c r="C604" s="74"/>
      <c r="D604" s="74"/>
      <c r="E604" s="79"/>
      <c r="F604" s="74"/>
      <c r="G604" s="74"/>
      <c r="H604" s="74"/>
      <c r="I604" s="76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5.75" customHeight="1">
      <c r="A605" s="74"/>
      <c r="B605" s="74"/>
      <c r="C605" s="74"/>
      <c r="D605" s="74"/>
      <c r="E605" s="79"/>
      <c r="F605" s="74"/>
      <c r="G605" s="74"/>
      <c r="H605" s="74"/>
      <c r="I605" s="76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5.75" customHeight="1">
      <c r="A606" s="74"/>
      <c r="B606" s="74"/>
      <c r="C606" s="74"/>
      <c r="D606" s="74"/>
      <c r="E606" s="79"/>
      <c r="F606" s="74"/>
      <c r="G606" s="74"/>
      <c r="H606" s="74"/>
      <c r="I606" s="76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5.75" customHeight="1">
      <c r="A607" s="74"/>
      <c r="B607" s="74"/>
      <c r="C607" s="74"/>
      <c r="D607" s="74"/>
      <c r="E607" s="79"/>
      <c r="F607" s="74"/>
      <c r="G607" s="74"/>
      <c r="H607" s="74"/>
      <c r="I607" s="76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5.75" customHeight="1">
      <c r="A608" s="74"/>
      <c r="B608" s="74"/>
      <c r="C608" s="74"/>
      <c r="D608" s="74"/>
      <c r="E608" s="79"/>
      <c r="F608" s="74"/>
      <c r="G608" s="74"/>
      <c r="H608" s="74"/>
      <c r="I608" s="76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5.75" customHeight="1">
      <c r="A609" s="74"/>
      <c r="B609" s="74"/>
      <c r="C609" s="74"/>
      <c r="D609" s="74"/>
      <c r="E609" s="79"/>
      <c r="F609" s="74"/>
      <c r="G609" s="74"/>
      <c r="H609" s="74"/>
      <c r="I609" s="76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5.75" customHeight="1">
      <c r="A610" s="74"/>
      <c r="B610" s="74"/>
      <c r="C610" s="74"/>
      <c r="D610" s="74"/>
      <c r="E610" s="79"/>
      <c r="F610" s="74"/>
      <c r="G610" s="74"/>
      <c r="H610" s="74"/>
      <c r="I610" s="76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5.75" customHeight="1">
      <c r="A611" s="74"/>
      <c r="B611" s="74"/>
      <c r="C611" s="74"/>
      <c r="D611" s="74"/>
      <c r="E611" s="79"/>
      <c r="F611" s="74"/>
      <c r="G611" s="74"/>
      <c r="H611" s="74"/>
      <c r="I611" s="76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5.75" customHeight="1">
      <c r="A612" s="74"/>
      <c r="B612" s="74"/>
      <c r="C612" s="74"/>
      <c r="D612" s="74"/>
      <c r="E612" s="79"/>
      <c r="F612" s="74"/>
      <c r="G612" s="74"/>
      <c r="H612" s="74"/>
      <c r="I612" s="76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5.75" customHeight="1">
      <c r="A613" s="74"/>
      <c r="B613" s="74"/>
      <c r="C613" s="74"/>
      <c r="D613" s="74"/>
      <c r="E613" s="79"/>
      <c r="F613" s="74"/>
      <c r="G613" s="74"/>
      <c r="H613" s="74"/>
      <c r="I613" s="76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5.75" customHeight="1">
      <c r="A614" s="74"/>
      <c r="B614" s="74"/>
      <c r="C614" s="74"/>
      <c r="D614" s="74"/>
      <c r="E614" s="79"/>
      <c r="F614" s="74"/>
      <c r="G614" s="74"/>
      <c r="H614" s="74"/>
      <c r="I614" s="76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5.75" customHeight="1">
      <c r="A615" s="74"/>
      <c r="B615" s="74"/>
      <c r="C615" s="74"/>
      <c r="D615" s="74"/>
      <c r="E615" s="79"/>
      <c r="F615" s="74"/>
      <c r="G615" s="74"/>
      <c r="H615" s="74"/>
      <c r="I615" s="76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5.75" customHeight="1">
      <c r="A616" s="74"/>
      <c r="B616" s="74"/>
      <c r="C616" s="74"/>
      <c r="D616" s="74"/>
      <c r="E616" s="79"/>
      <c r="F616" s="74"/>
      <c r="G616" s="74"/>
      <c r="H616" s="74"/>
      <c r="I616" s="76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5.75" customHeight="1">
      <c r="A617" s="74"/>
      <c r="B617" s="74"/>
      <c r="C617" s="74"/>
      <c r="D617" s="74"/>
      <c r="E617" s="79"/>
      <c r="F617" s="74"/>
      <c r="G617" s="74"/>
      <c r="H617" s="74"/>
      <c r="I617" s="76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5.75" customHeight="1">
      <c r="A618" s="74"/>
      <c r="B618" s="74"/>
      <c r="C618" s="74"/>
      <c r="D618" s="74"/>
      <c r="E618" s="79"/>
      <c r="F618" s="74"/>
      <c r="G618" s="74"/>
      <c r="H618" s="74"/>
      <c r="I618" s="76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5.75" customHeight="1">
      <c r="A619" s="74"/>
      <c r="B619" s="74"/>
      <c r="C619" s="74"/>
      <c r="D619" s="74"/>
      <c r="E619" s="79"/>
      <c r="F619" s="74"/>
      <c r="G619" s="74"/>
      <c r="H619" s="74"/>
      <c r="I619" s="76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5.75" customHeight="1">
      <c r="A620" s="74"/>
      <c r="B620" s="74"/>
      <c r="C620" s="74"/>
      <c r="D620" s="74"/>
      <c r="E620" s="79"/>
      <c r="F620" s="74"/>
      <c r="G620" s="74"/>
      <c r="H620" s="74"/>
      <c r="I620" s="76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5.75" customHeight="1">
      <c r="A621" s="74"/>
      <c r="B621" s="74"/>
      <c r="C621" s="74"/>
      <c r="D621" s="74"/>
      <c r="E621" s="79"/>
      <c r="F621" s="74"/>
      <c r="G621" s="74"/>
      <c r="H621" s="74"/>
      <c r="I621" s="76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5.75" customHeight="1">
      <c r="A622" s="74"/>
      <c r="B622" s="74"/>
      <c r="C622" s="74"/>
      <c r="D622" s="74"/>
      <c r="E622" s="79"/>
      <c r="F622" s="74"/>
      <c r="G622" s="74"/>
      <c r="H622" s="74"/>
      <c r="I622" s="76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5.75" customHeight="1">
      <c r="A623" s="74"/>
      <c r="B623" s="74"/>
      <c r="C623" s="74"/>
      <c r="D623" s="74"/>
      <c r="E623" s="79"/>
      <c r="F623" s="74"/>
      <c r="G623" s="74"/>
      <c r="H623" s="74"/>
      <c r="I623" s="76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5.75" customHeight="1">
      <c r="A624" s="74"/>
      <c r="B624" s="74"/>
      <c r="C624" s="74"/>
      <c r="D624" s="74"/>
      <c r="E624" s="79"/>
      <c r="F624" s="74"/>
      <c r="G624" s="74"/>
      <c r="H624" s="74"/>
      <c r="I624" s="76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5.75" customHeight="1">
      <c r="A625" s="74"/>
      <c r="B625" s="74"/>
      <c r="C625" s="74"/>
      <c r="D625" s="74"/>
      <c r="E625" s="79"/>
      <c r="F625" s="74"/>
      <c r="G625" s="74"/>
      <c r="H625" s="74"/>
      <c r="I625" s="76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5.75" customHeight="1">
      <c r="A626" s="74"/>
      <c r="B626" s="74"/>
      <c r="C626" s="74"/>
      <c r="D626" s="74"/>
      <c r="E626" s="79"/>
      <c r="F626" s="74"/>
      <c r="G626" s="74"/>
      <c r="H626" s="74"/>
      <c r="I626" s="76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5.75" customHeight="1">
      <c r="A627" s="74"/>
      <c r="B627" s="74"/>
      <c r="C627" s="74"/>
      <c r="D627" s="74"/>
      <c r="E627" s="79"/>
      <c r="F627" s="74"/>
      <c r="G627" s="74"/>
      <c r="H627" s="74"/>
      <c r="I627" s="76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5.75" customHeight="1">
      <c r="A628" s="74"/>
      <c r="B628" s="74"/>
      <c r="C628" s="74"/>
      <c r="D628" s="74"/>
      <c r="E628" s="79"/>
      <c r="F628" s="74"/>
      <c r="G628" s="74"/>
      <c r="H628" s="74"/>
      <c r="I628" s="76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5.75" customHeight="1">
      <c r="A629" s="74"/>
      <c r="B629" s="74"/>
      <c r="C629" s="74"/>
      <c r="D629" s="74"/>
      <c r="E629" s="79"/>
      <c r="F629" s="74"/>
      <c r="G629" s="74"/>
      <c r="H629" s="74"/>
      <c r="I629" s="76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5.75" customHeight="1">
      <c r="A630" s="74"/>
      <c r="B630" s="74"/>
      <c r="C630" s="74"/>
      <c r="D630" s="74"/>
      <c r="E630" s="79"/>
      <c r="F630" s="74"/>
      <c r="G630" s="74"/>
      <c r="H630" s="74"/>
      <c r="I630" s="76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5.75" customHeight="1">
      <c r="A631" s="74"/>
      <c r="B631" s="74"/>
      <c r="C631" s="74"/>
      <c r="D631" s="74"/>
      <c r="E631" s="79"/>
      <c r="F631" s="74"/>
      <c r="G631" s="74"/>
      <c r="H631" s="74"/>
      <c r="I631" s="76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5.75" customHeight="1">
      <c r="A632" s="74"/>
      <c r="B632" s="74"/>
      <c r="C632" s="74"/>
      <c r="D632" s="74"/>
      <c r="E632" s="79"/>
      <c r="F632" s="74"/>
      <c r="G632" s="74"/>
      <c r="H632" s="74"/>
      <c r="I632" s="76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5.75" customHeight="1">
      <c r="A633" s="74"/>
      <c r="B633" s="74"/>
      <c r="C633" s="74"/>
      <c r="D633" s="74"/>
      <c r="E633" s="79"/>
      <c r="F633" s="74"/>
      <c r="G633" s="74"/>
      <c r="H633" s="74"/>
      <c r="I633" s="76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5.75" customHeight="1">
      <c r="A634" s="74"/>
      <c r="B634" s="74"/>
      <c r="C634" s="74"/>
      <c r="D634" s="74"/>
      <c r="E634" s="79"/>
      <c r="F634" s="74"/>
      <c r="G634" s="74"/>
      <c r="H634" s="74"/>
      <c r="I634" s="76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5.75" customHeight="1">
      <c r="A635" s="74"/>
      <c r="B635" s="74"/>
      <c r="C635" s="74"/>
      <c r="D635" s="74"/>
      <c r="E635" s="79"/>
      <c r="F635" s="74"/>
      <c r="G635" s="74"/>
      <c r="H635" s="74"/>
      <c r="I635" s="76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5.75" customHeight="1">
      <c r="A636" s="74"/>
      <c r="B636" s="74"/>
      <c r="C636" s="74"/>
      <c r="D636" s="74"/>
      <c r="E636" s="79"/>
      <c r="F636" s="74"/>
      <c r="G636" s="74"/>
      <c r="H636" s="74"/>
      <c r="I636" s="76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5.75" customHeight="1">
      <c r="A637" s="74"/>
      <c r="B637" s="74"/>
      <c r="C637" s="74"/>
      <c r="D637" s="74"/>
      <c r="E637" s="79"/>
      <c r="F637" s="74"/>
      <c r="G637" s="74"/>
      <c r="H637" s="74"/>
      <c r="I637" s="76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5.75" customHeight="1">
      <c r="A638" s="74"/>
      <c r="B638" s="74"/>
      <c r="C638" s="74"/>
      <c r="D638" s="74"/>
      <c r="E638" s="79"/>
      <c r="F638" s="74"/>
      <c r="G638" s="74"/>
      <c r="H638" s="74"/>
      <c r="I638" s="76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5.75" customHeight="1">
      <c r="A639" s="74"/>
      <c r="B639" s="74"/>
      <c r="C639" s="74"/>
      <c r="D639" s="74"/>
      <c r="E639" s="79"/>
      <c r="F639" s="74"/>
      <c r="G639" s="74"/>
      <c r="H639" s="74"/>
      <c r="I639" s="76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5.75" customHeight="1">
      <c r="A640" s="74"/>
      <c r="B640" s="74"/>
      <c r="C640" s="74"/>
      <c r="D640" s="74"/>
      <c r="E640" s="79"/>
      <c r="F640" s="74"/>
      <c r="G640" s="74"/>
      <c r="H640" s="74"/>
      <c r="I640" s="76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5.75" customHeight="1">
      <c r="A641" s="74"/>
      <c r="B641" s="74"/>
      <c r="C641" s="74"/>
      <c r="D641" s="74"/>
      <c r="E641" s="79"/>
      <c r="F641" s="74"/>
      <c r="G641" s="74"/>
      <c r="H641" s="74"/>
      <c r="I641" s="76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5.75" customHeight="1">
      <c r="A642" s="74"/>
      <c r="B642" s="74"/>
      <c r="C642" s="74"/>
      <c r="D642" s="74"/>
      <c r="E642" s="79"/>
      <c r="F642" s="74"/>
      <c r="G642" s="74"/>
      <c r="H642" s="74"/>
      <c r="I642" s="76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5.75" customHeight="1">
      <c r="A643" s="74"/>
      <c r="B643" s="74"/>
      <c r="C643" s="74"/>
      <c r="D643" s="74"/>
      <c r="E643" s="79"/>
      <c r="F643" s="74"/>
      <c r="G643" s="74"/>
      <c r="H643" s="74"/>
      <c r="I643" s="76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5.75" customHeight="1">
      <c r="A644" s="74"/>
      <c r="B644" s="74"/>
      <c r="C644" s="74"/>
      <c r="D644" s="74"/>
      <c r="E644" s="79"/>
      <c r="F644" s="74"/>
      <c r="G644" s="74"/>
      <c r="H644" s="74"/>
      <c r="I644" s="76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5.75" customHeight="1">
      <c r="A645" s="74"/>
      <c r="B645" s="74"/>
      <c r="C645" s="74"/>
      <c r="D645" s="74"/>
      <c r="E645" s="79"/>
      <c r="F645" s="74"/>
      <c r="G645" s="74"/>
      <c r="H645" s="74"/>
      <c r="I645" s="76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5.75" customHeight="1">
      <c r="A646" s="74"/>
      <c r="B646" s="74"/>
      <c r="C646" s="74"/>
      <c r="D646" s="74"/>
      <c r="E646" s="79"/>
      <c r="F646" s="74"/>
      <c r="G646" s="74"/>
      <c r="H646" s="74"/>
      <c r="I646" s="76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5.75" customHeight="1">
      <c r="A647" s="74"/>
      <c r="B647" s="74"/>
      <c r="C647" s="74"/>
      <c r="D647" s="74"/>
      <c r="E647" s="79"/>
      <c r="F647" s="74"/>
      <c r="G647" s="74"/>
      <c r="H647" s="74"/>
      <c r="I647" s="76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5.75" customHeight="1">
      <c r="A648" s="74"/>
      <c r="B648" s="74"/>
      <c r="C648" s="74"/>
      <c r="D648" s="74"/>
      <c r="E648" s="79"/>
      <c r="F648" s="74"/>
      <c r="G648" s="74"/>
      <c r="H648" s="74"/>
      <c r="I648" s="76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5.75" customHeight="1">
      <c r="A649" s="74"/>
      <c r="B649" s="74"/>
      <c r="C649" s="74"/>
      <c r="D649" s="74"/>
      <c r="E649" s="79"/>
      <c r="F649" s="74"/>
      <c r="G649" s="74"/>
      <c r="H649" s="74"/>
      <c r="I649" s="76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5.75" customHeight="1">
      <c r="A650" s="74"/>
      <c r="B650" s="74"/>
      <c r="C650" s="74"/>
      <c r="D650" s="74"/>
      <c r="E650" s="79"/>
      <c r="F650" s="74"/>
      <c r="G650" s="74"/>
      <c r="H650" s="74"/>
      <c r="I650" s="76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5.75" customHeight="1">
      <c r="A651" s="74"/>
      <c r="B651" s="74"/>
      <c r="C651" s="74"/>
      <c r="D651" s="74"/>
      <c r="E651" s="79"/>
      <c r="F651" s="74"/>
      <c r="G651" s="74"/>
      <c r="H651" s="74"/>
      <c r="I651" s="76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5.75" customHeight="1">
      <c r="A652" s="74"/>
      <c r="B652" s="74"/>
      <c r="C652" s="74"/>
      <c r="D652" s="74"/>
      <c r="E652" s="79"/>
      <c r="F652" s="74"/>
      <c r="G652" s="74"/>
      <c r="H652" s="74"/>
      <c r="I652" s="76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5.75" customHeight="1">
      <c r="A653" s="74"/>
      <c r="B653" s="74"/>
      <c r="C653" s="74"/>
      <c r="D653" s="74"/>
      <c r="E653" s="79"/>
      <c r="F653" s="74"/>
      <c r="G653" s="74"/>
      <c r="H653" s="74"/>
      <c r="I653" s="76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5.75" customHeight="1">
      <c r="A654" s="74"/>
      <c r="B654" s="74"/>
      <c r="C654" s="74"/>
      <c r="D654" s="74"/>
      <c r="E654" s="79"/>
      <c r="F654" s="74"/>
      <c r="G654" s="74"/>
      <c r="H654" s="74"/>
      <c r="I654" s="76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5.75" customHeight="1">
      <c r="A655" s="74"/>
      <c r="B655" s="74"/>
      <c r="C655" s="74"/>
      <c r="D655" s="74"/>
      <c r="E655" s="79"/>
      <c r="F655" s="74"/>
      <c r="G655" s="74"/>
      <c r="H655" s="74"/>
      <c r="I655" s="76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5.75" customHeight="1">
      <c r="A656" s="74"/>
      <c r="B656" s="74"/>
      <c r="C656" s="74"/>
      <c r="D656" s="74"/>
      <c r="E656" s="79"/>
      <c r="F656" s="74"/>
      <c r="G656" s="74"/>
      <c r="H656" s="74"/>
      <c r="I656" s="76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5.75" customHeight="1">
      <c r="A657" s="74"/>
      <c r="B657" s="74"/>
      <c r="C657" s="74"/>
      <c r="D657" s="74"/>
      <c r="E657" s="79"/>
      <c r="F657" s="74"/>
      <c r="G657" s="74"/>
      <c r="H657" s="74"/>
      <c r="I657" s="76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5.75" customHeight="1">
      <c r="A658" s="74"/>
      <c r="B658" s="74"/>
      <c r="C658" s="74"/>
      <c r="D658" s="74"/>
      <c r="E658" s="79"/>
      <c r="F658" s="74"/>
      <c r="G658" s="74"/>
      <c r="H658" s="74"/>
      <c r="I658" s="76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5.75" customHeight="1">
      <c r="A659" s="74"/>
      <c r="B659" s="74"/>
      <c r="C659" s="74"/>
      <c r="D659" s="74"/>
      <c r="E659" s="79"/>
      <c r="F659" s="74"/>
      <c r="G659" s="74"/>
      <c r="H659" s="74"/>
      <c r="I659" s="76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5.75" customHeight="1">
      <c r="A660" s="74"/>
      <c r="B660" s="74"/>
      <c r="C660" s="74"/>
      <c r="D660" s="74"/>
      <c r="E660" s="79"/>
      <c r="F660" s="74"/>
      <c r="G660" s="74"/>
      <c r="H660" s="74"/>
      <c r="I660" s="76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5.75" customHeight="1">
      <c r="A661" s="74"/>
      <c r="B661" s="74"/>
      <c r="C661" s="74"/>
      <c r="D661" s="74"/>
      <c r="E661" s="79"/>
      <c r="F661" s="74"/>
      <c r="G661" s="74"/>
      <c r="H661" s="74"/>
      <c r="I661" s="76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5.75" customHeight="1">
      <c r="A662" s="74"/>
      <c r="B662" s="74"/>
      <c r="C662" s="74"/>
      <c r="D662" s="74"/>
      <c r="E662" s="79"/>
      <c r="F662" s="74"/>
      <c r="G662" s="74"/>
      <c r="H662" s="74"/>
      <c r="I662" s="76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5.75" customHeight="1">
      <c r="A663" s="74"/>
      <c r="B663" s="74"/>
      <c r="C663" s="74"/>
      <c r="D663" s="74"/>
      <c r="E663" s="79"/>
      <c r="F663" s="74"/>
      <c r="G663" s="74"/>
      <c r="H663" s="74"/>
      <c r="I663" s="76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5.75" customHeight="1">
      <c r="A664" s="74"/>
      <c r="B664" s="74"/>
      <c r="C664" s="74"/>
      <c r="D664" s="74"/>
      <c r="E664" s="79"/>
      <c r="F664" s="74"/>
      <c r="G664" s="74"/>
      <c r="H664" s="74"/>
      <c r="I664" s="76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5.75" customHeight="1">
      <c r="A665" s="74"/>
      <c r="B665" s="74"/>
      <c r="C665" s="74"/>
      <c r="D665" s="74"/>
      <c r="E665" s="79"/>
      <c r="F665" s="74"/>
      <c r="G665" s="74"/>
      <c r="H665" s="74"/>
      <c r="I665" s="76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5.75" customHeight="1">
      <c r="A666" s="74"/>
      <c r="B666" s="74"/>
      <c r="C666" s="74"/>
      <c r="D666" s="74"/>
      <c r="E666" s="79"/>
      <c r="F666" s="74"/>
      <c r="G666" s="74"/>
      <c r="H666" s="74"/>
      <c r="I666" s="76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5.75" customHeight="1">
      <c r="A667" s="74"/>
      <c r="B667" s="74"/>
      <c r="C667" s="74"/>
      <c r="D667" s="74"/>
      <c r="E667" s="79"/>
      <c r="F667" s="74"/>
      <c r="G667" s="74"/>
      <c r="H667" s="74"/>
      <c r="I667" s="76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5.75" customHeight="1">
      <c r="A668" s="74"/>
      <c r="B668" s="74"/>
      <c r="C668" s="74"/>
      <c r="D668" s="74"/>
      <c r="E668" s="79"/>
      <c r="F668" s="74"/>
      <c r="G668" s="74"/>
      <c r="H668" s="74"/>
      <c r="I668" s="76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5.75" customHeight="1">
      <c r="A669" s="74"/>
      <c r="B669" s="74"/>
      <c r="C669" s="74"/>
      <c r="D669" s="74"/>
      <c r="E669" s="79"/>
      <c r="F669" s="74"/>
      <c r="G669" s="74"/>
      <c r="H669" s="74"/>
      <c r="I669" s="76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5.75" customHeight="1">
      <c r="A670" s="74"/>
      <c r="B670" s="74"/>
      <c r="C670" s="74"/>
      <c r="D670" s="74"/>
      <c r="E670" s="79"/>
      <c r="F670" s="74"/>
      <c r="G670" s="74"/>
      <c r="H670" s="74"/>
      <c r="I670" s="76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5.75" customHeight="1">
      <c r="A671" s="74"/>
      <c r="B671" s="74"/>
      <c r="C671" s="74"/>
      <c r="D671" s="74"/>
      <c r="E671" s="79"/>
      <c r="F671" s="74"/>
      <c r="G671" s="74"/>
      <c r="H671" s="74"/>
      <c r="I671" s="76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5.75" customHeight="1">
      <c r="A672" s="74"/>
      <c r="B672" s="74"/>
      <c r="C672" s="74"/>
      <c r="D672" s="74"/>
      <c r="E672" s="79"/>
      <c r="F672" s="74"/>
      <c r="G672" s="74"/>
      <c r="H672" s="74"/>
      <c r="I672" s="76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5.75" customHeight="1">
      <c r="A673" s="74"/>
      <c r="B673" s="74"/>
      <c r="C673" s="74"/>
      <c r="D673" s="74"/>
      <c r="E673" s="79"/>
      <c r="F673" s="74"/>
      <c r="G673" s="74"/>
      <c r="H673" s="74"/>
      <c r="I673" s="76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5.75" customHeight="1">
      <c r="A674" s="74"/>
      <c r="B674" s="74"/>
      <c r="C674" s="74"/>
      <c r="D674" s="74"/>
      <c r="E674" s="79"/>
      <c r="F674" s="74"/>
      <c r="G674" s="74"/>
      <c r="H674" s="74"/>
      <c r="I674" s="76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5.75" customHeight="1">
      <c r="A675" s="74"/>
      <c r="B675" s="74"/>
      <c r="C675" s="74"/>
      <c r="D675" s="74"/>
      <c r="E675" s="79"/>
      <c r="F675" s="74"/>
      <c r="G675" s="74"/>
      <c r="H675" s="74"/>
      <c r="I675" s="76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5.75" customHeight="1">
      <c r="A676" s="74"/>
      <c r="B676" s="74"/>
      <c r="C676" s="74"/>
      <c r="D676" s="74"/>
      <c r="E676" s="79"/>
      <c r="F676" s="74"/>
      <c r="G676" s="74"/>
      <c r="H676" s="74"/>
      <c r="I676" s="76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5.75" customHeight="1">
      <c r="A677" s="74"/>
      <c r="B677" s="74"/>
      <c r="C677" s="74"/>
      <c r="D677" s="74"/>
      <c r="E677" s="79"/>
      <c r="F677" s="74"/>
      <c r="G677" s="74"/>
      <c r="H677" s="74"/>
      <c r="I677" s="76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5.75" customHeight="1">
      <c r="A678" s="74"/>
      <c r="B678" s="74"/>
      <c r="C678" s="74"/>
      <c r="D678" s="74"/>
      <c r="E678" s="79"/>
      <c r="F678" s="74"/>
      <c r="G678" s="74"/>
      <c r="H678" s="74"/>
      <c r="I678" s="76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5.75" customHeight="1">
      <c r="A679" s="74"/>
      <c r="B679" s="74"/>
      <c r="C679" s="74"/>
      <c r="D679" s="74"/>
      <c r="E679" s="79"/>
      <c r="F679" s="74"/>
      <c r="G679" s="74"/>
      <c r="H679" s="74"/>
      <c r="I679" s="76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5.75" customHeight="1">
      <c r="A680" s="74"/>
      <c r="B680" s="74"/>
      <c r="C680" s="74"/>
      <c r="D680" s="74"/>
      <c r="E680" s="79"/>
      <c r="F680" s="74"/>
      <c r="G680" s="74"/>
      <c r="H680" s="74"/>
      <c r="I680" s="76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5.75" customHeight="1">
      <c r="A681" s="74"/>
      <c r="B681" s="74"/>
      <c r="C681" s="74"/>
      <c r="D681" s="74"/>
      <c r="E681" s="79"/>
      <c r="F681" s="74"/>
      <c r="G681" s="74"/>
      <c r="H681" s="74"/>
      <c r="I681" s="76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5.75" customHeight="1">
      <c r="A682" s="74"/>
      <c r="B682" s="74"/>
      <c r="C682" s="74"/>
      <c r="D682" s="74"/>
      <c r="E682" s="79"/>
      <c r="F682" s="74"/>
      <c r="G682" s="74"/>
      <c r="H682" s="74"/>
      <c r="I682" s="76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5.75" customHeight="1">
      <c r="A683" s="74"/>
      <c r="B683" s="74"/>
      <c r="C683" s="74"/>
      <c r="D683" s="74"/>
      <c r="E683" s="79"/>
      <c r="F683" s="74"/>
      <c r="G683" s="74"/>
      <c r="H683" s="74"/>
      <c r="I683" s="76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5.75" customHeight="1">
      <c r="A684" s="74"/>
      <c r="B684" s="74"/>
      <c r="C684" s="74"/>
      <c r="D684" s="74"/>
      <c r="E684" s="79"/>
      <c r="F684" s="74"/>
      <c r="G684" s="74"/>
      <c r="H684" s="74"/>
      <c r="I684" s="76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5.75" customHeight="1">
      <c r="A685" s="74"/>
      <c r="B685" s="74"/>
      <c r="C685" s="74"/>
      <c r="D685" s="74"/>
      <c r="E685" s="79"/>
      <c r="F685" s="74"/>
      <c r="G685" s="74"/>
      <c r="H685" s="74"/>
      <c r="I685" s="76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5.75" customHeight="1">
      <c r="A686" s="74"/>
      <c r="B686" s="74"/>
      <c r="C686" s="74"/>
      <c r="D686" s="74"/>
      <c r="E686" s="79"/>
      <c r="F686" s="74"/>
      <c r="G686" s="74"/>
      <c r="H686" s="74"/>
      <c r="I686" s="76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5.75" customHeight="1">
      <c r="A687" s="74"/>
      <c r="B687" s="74"/>
      <c r="C687" s="74"/>
      <c r="D687" s="74"/>
      <c r="E687" s="79"/>
      <c r="F687" s="74"/>
      <c r="G687" s="74"/>
      <c r="H687" s="74"/>
      <c r="I687" s="76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5.75" customHeight="1">
      <c r="A688" s="74"/>
      <c r="B688" s="74"/>
      <c r="C688" s="74"/>
      <c r="D688" s="74"/>
      <c r="E688" s="79"/>
      <c r="F688" s="74"/>
      <c r="G688" s="74"/>
      <c r="H688" s="74"/>
      <c r="I688" s="76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5.75" customHeight="1">
      <c r="A689" s="74"/>
      <c r="B689" s="74"/>
      <c r="C689" s="74"/>
      <c r="D689" s="74"/>
      <c r="E689" s="79"/>
      <c r="F689" s="74"/>
      <c r="G689" s="74"/>
      <c r="H689" s="74"/>
      <c r="I689" s="76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5.75" customHeight="1">
      <c r="A690" s="74"/>
      <c r="B690" s="74"/>
      <c r="C690" s="74"/>
      <c r="D690" s="74"/>
      <c r="E690" s="79"/>
      <c r="F690" s="74"/>
      <c r="G690" s="74"/>
      <c r="H690" s="74"/>
      <c r="I690" s="76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5.75" customHeight="1">
      <c r="A691" s="74"/>
      <c r="B691" s="74"/>
      <c r="C691" s="74"/>
      <c r="D691" s="74"/>
      <c r="E691" s="79"/>
      <c r="F691" s="74"/>
      <c r="G691" s="74"/>
      <c r="H691" s="74"/>
      <c r="I691" s="76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5.75" customHeight="1">
      <c r="A692" s="74"/>
      <c r="B692" s="74"/>
      <c r="C692" s="74"/>
      <c r="D692" s="74"/>
      <c r="E692" s="79"/>
      <c r="F692" s="74"/>
      <c r="G692" s="74"/>
      <c r="H692" s="74"/>
      <c r="I692" s="76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5.75" customHeight="1">
      <c r="A693" s="74"/>
      <c r="B693" s="74"/>
      <c r="C693" s="74"/>
      <c r="D693" s="74"/>
      <c r="E693" s="79"/>
      <c r="F693" s="74"/>
      <c r="G693" s="74"/>
      <c r="H693" s="74"/>
      <c r="I693" s="76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5.75" customHeight="1">
      <c r="A694" s="74"/>
      <c r="B694" s="74"/>
      <c r="C694" s="74"/>
      <c r="D694" s="74"/>
      <c r="E694" s="79"/>
      <c r="F694" s="74"/>
      <c r="G694" s="74"/>
      <c r="H694" s="74"/>
      <c r="I694" s="76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5.75" customHeight="1">
      <c r="A695" s="74"/>
      <c r="B695" s="74"/>
      <c r="C695" s="74"/>
      <c r="D695" s="74"/>
      <c r="E695" s="79"/>
      <c r="F695" s="74"/>
      <c r="G695" s="74"/>
      <c r="H695" s="74"/>
      <c r="I695" s="76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5.75" customHeight="1">
      <c r="A696" s="74"/>
      <c r="B696" s="74"/>
      <c r="C696" s="74"/>
      <c r="D696" s="74"/>
      <c r="E696" s="79"/>
      <c r="F696" s="74"/>
      <c r="G696" s="74"/>
      <c r="H696" s="74"/>
      <c r="I696" s="76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5.75" customHeight="1">
      <c r="A697" s="74"/>
      <c r="B697" s="74"/>
      <c r="C697" s="74"/>
      <c r="D697" s="74"/>
      <c r="E697" s="79"/>
      <c r="F697" s="74"/>
      <c r="G697" s="74"/>
      <c r="H697" s="74"/>
      <c r="I697" s="76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5.75" customHeight="1">
      <c r="A698" s="74"/>
      <c r="B698" s="74"/>
      <c r="C698" s="74"/>
      <c r="D698" s="74"/>
      <c r="E698" s="79"/>
      <c r="F698" s="74"/>
      <c r="G698" s="74"/>
      <c r="H698" s="74"/>
      <c r="I698" s="76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5.75" customHeight="1">
      <c r="A699" s="74"/>
      <c r="B699" s="74"/>
      <c r="C699" s="74"/>
      <c r="D699" s="74"/>
      <c r="E699" s="79"/>
      <c r="F699" s="74"/>
      <c r="G699" s="74"/>
      <c r="H699" s="74"/>
      <c r="I699" s="76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5.75" customHeight="1">
      <c r="A700" s="74"/>
      <c r="B700" s="74"/>
      <c r="C700" s="74"/>
      <c r="D700" s="74"/>
      <c r="E700" s="79"/>
      <c r="F700" s="74"/>
      <c r="G700" s="74"/>
      <c r="H700" s="74"/>
      <c r="I700" s="76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5.75" customHeight="1">
      <c r="A701" s="74"/>
      <c r="B701" s="74"/>
      <c r="C701" s="74"/>
      <c r="D701" s="74"/>
      <c r="E701" s="79"/>
      <c r="F701" s="74"/>
      <c r="G701" s="74"/>
      <c r="H701" s="74"/>
      <c r="I701" s="76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5.75" customHeight="1">
      <c r="A702" s="74"/>
      <c r="B702" s="74"/>
      <c r="C702" s="74"/>
      <c r="D702" s="74"/>
      <c r="E702" s="79"/>
      <c r="F702" s="74"/>
      <c r="G702" s="74"/>
      <c r="H702" s="74"/>
      <c r="I702" s="76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5.75" customHeight="1">
      <c r="A703" s="74"/>
      <c r="B703" s="74"/>
      <c r="C703" s="74"/>
      <c r="D703" s="74"/>
      <c r="E703" s="79"/>
      <c r="F703" s="74"/>
      <c r="G703" s="74"/>
      <c r="H703" s="74"/>
      <c r="I703" s="76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5.75" customHeight="1">
      <c r="A704" s="74"/>
      <c r="B704" s="74"/>
      <c r="C704" s="74"/>
      <c r="D704" s="74"/>
      <c r="E704" s="79"/>
      <c r="F704" s="74"/>
      <c r="G704" s="74"/>
      <c r="H704" s="74"/>
      <c r="I704" s="76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5.75" customHeight="1">
      <c r="A705" s="74"/>
      <c r="B705" s="74"/>
      <c r="C705" s="74"/>
      <c r="D705" s="74"/>
      <c r="E705" s="79"/>
      <c r="F705" s="74"/>
      <c r="G705" s="74"/>
      <c r="H705" s="74"/>
      <c r="I705" s="76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5.75" customHeight="1">
      <c r="A706" s="74"/>
      <c r="B706" s="74"/>
      <c r="C706" s="74"/>
      <c r="D706" s="74"/>
      <c r="E706" s="79"/>
      <c r="F706" s="74"/>
      <c r="G706" s="74"/>
      <c r="H706" s="74"/>
      <c r="I706" s="76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5.75" customHeight="1">
      <c r="A707" s="74"/>
      <c r="B707" s="74"/>
      <c r="C707" s="74"/>
      <c r="D707" s="74"/>
      <c r="E707" s="79"/>
      <c r="F707" s="74"/>
      <c r="G707" s="74"/>
      <c r="H707" s="74"/>
      <c r="I707" s="76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5.75" customHeight="1">
      <c r="A708" s="74"/>
      <c r="B708" s="74"/>
      <c r="C708" s="74"/>
      <c r="D708" s="74"/>
      <c r="E708" s="79"/>
      <c r="F708" s="74"/>
      <c r="G708" s="74"/>
      <c r="H708" s="74"/>
      <c r="I708" s="76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5.75" customHeight="1">
      <c r="A709" s="74"/>
      <c r="B709" s="74"/>
      <c r="C709" s="74"/>
      <c r="D709" s="74"/>
      <c r="E709" s="79"/>
      <c r="F709" s="74"/>
      <c r="G709" s="74"/>
      <c r="H709" s="74"/>
      <c r="I709" s="76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5.75" customHeight="1">
      <c r="A710" s="74"/>
      <c r="B710" s="74"/>
      <c r="C710" s="74"/>
      <c r="D710" s="74"/>
      <c r="E710" s="79"/>
      <c r="F710" s="74"/>
      <c r="G710" s="74"/>
      <c r="H710" s="74"/>
      <c r="I710" s="76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5.75" customHeight="1">
      <c r="A711" s="74"/>
      <c r="B711" s="74"/>
      <c r="C711" s="74"/>
      <c r="D711" s="74"/>
      <c r="E711" s="79"/>
      <c r="F711" s="74"/>
      <c r="G711" s="74"/>
      <c r="H711" s="74"/>
      <c r="I711" s="76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5.75" customHeight="1">
      <c r="A712" s="74"/>
      <c r="B712" s="74"/>
      <c r="C712" s="74"/>
      <c r="D712" s="74"/>
      <c r="E712" s="79"/>
      <c r="F712" s="74"/>
      <c r="G712" s="74"/>
      <c r="H712" s="74"/>
      <c r="I712" s="76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5.75" customHeight="1">
      <c r="A713" s="74"/>
      <c r="B713" s="74"/>
      <c r="C713" s="74"/>
      <c r="D713" s="74"/>
      <c r="E713" s="79"/>
      <c r="F713" s="74"/>
      <c r="G713" s="74"/>
      <c r="H713" s="74"/>
      <c r="I713" s="76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5.75" customHeight="1">
      <c r="A714" s="74"/>
      <c r="B714" s="74"/>
      <c r="C714" s="74"/>
      <c r="D714" s="74"/>
      <c r="E714" s="79"/>
      <c r="F714" s="74"/>
      <c r="G714" s="74"/>
      <c r="H714" s="74"/>
      <c r="I714" s="76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5.75" customHeight="1">
      <c r="A715" s="74"/>
      <c r="B715" s="74"/>
      <c r="C715" s="74"/>
      <c r="D715" s="74"/>
      <c r="E715" s="79"/>
      <c r="F715" s="74"/>
      <c r="G715" s="74"/>
      <c r="H715" s="74"/>
      <c r="I715" s="76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5.75" customHeight="1">
      <c r="A716" s="74"/>
      <c r="B716" s="74"/>
      <c r="C716" s="74"/>
      <c r="D716" s="74"/>
      <c r="E716" s="79"/>
      <c r="F716" s="74"/>
      <c r="G716" s="74"/>
      <c r="H716" s="74"/>
      <c r="I716" s="76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5.75" customHeight="1">
      <c r="A717" s="74"/>
      <c r="B717" s="74"/>
      <c r="C717" s="74"/>
      <c r="D717" s="74"/>
      <c r="E717" s="79"/>
      <c r="F717" s="74"/>
      <c r="G717" s="74"/>
      <c r="H717" s="74"/>
      <c r="I717" s="76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5.75" customHeight="1">
      <c r="A718" s="74"/>
      <c r="B718" s="74"/>
      <c r="C718" s="74"/>
      <c r="D718" s="74"/>
      <c r="E718" s="79"/>
      <c r="F718" s="74"/>
      <c r="G718" s="74"/>
      <c r="H718" s="74"/>
      <c r="I718" s="76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5.75" customHeight="1">
      <c r="A719" s="74"/>
      <c r="B719" s="74"/>
      <c r="C719" s="74"/>
      <c r="D719" s="74"/>
      <c r="E719" s="79"/>
      <c r="F719" s="74"/>
      <c r="G719" s="74"/>
      <c r="H719" s="74"/>
      <c r="I719" s="76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5.75" customHeight="1">
      <c r="A720" s="74"/>
      <c r="B720" s="74"/>
      <c r="C720" s="74"/>
      <c r="D720" s="74"/>
      <c r="E720" s="79"/>
      <c r="F720" s="74"/>
      <c r="G720" s="74"/>
      <c r="H720" s="74"/>
      <c r="I720" s="76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5.75" customHeight="1">
      <c r="A721" s="74"/>
      <c r="B721" s="74"/>
      <c r="C721" s="74"/>
      <c r="D721" s="74"/>
      <c r="E721" s="79"/>
      <c r="F721" s="74"/>
      <c r="G721" s="74"/>
      <c r="H721" s="74"/>
      <c r="I721" s="76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5.75" customHeight="1">
      <c r="A722" s="74"/>
      <c r="B722" s="74"/>
      <c r="C722" s="74"/>
      <c r="D722" s="74"/>
      <c r="E722" s="79"/>
      <c r="F722" s="74"/>
      <c r="G722" s="74"/>
      <c r="H722" s="74"/>
      <c r="I722" s="76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5.75" customHeight="1">
      <c r="A723" s="74"/>
      <c r="B723" s="74"/>
      <c r="C723" s="74"/>
      <c r="D723" s="74"/>
      <c r="E723" s="79"/>
      <c r="F723" s="74"/>
      <c r="G723" s="74"/>
      <c r="H723" s="74"/>
      <c r="I723" s="76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5.75" customHeight="1">
      <c r="A724" s="74"/>
      <c r="B724" s="74"/>
      <c r="C724" s="74"/>
      <c r="D724" s="74"/>
      <c r="E724" s="79"/>
      <c r="F724" s="74"/>
      <c r="G724" s="74"/>
      <c r="H724" s="74"/>
      <c r="I724" s="76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5.75" customHeight="1">
      <c r="A725" s="74"/>
      <c r="B725" s="74"/>
      <c r="C725" s="74"/>
      <c r="D725" s="74"/>
      <c r="E725" s="79"/>
      <c r="F725" s="74"/>
      <c r="G725" s="74"/>
      <c r="H725" s="74"/>
      <c r="I725" s="76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5.75" customHeight="1">
      <c r="A726" s="74"/>
      <c r="B726" s="74"/>
      <c r="C726" s="74"/>
      <c r="D726" s="74"/>
      <c r="E726" s="79"/>
      <c r="F726" s="74"/>
      <c r="G726" s="74"/>
      <c r="H726" s="74"/>
      <c r="I726" s="76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5.75" customHeight="1">
      <c r="A727" s="74"/>
      <c r="B727" s="74"/>
      <c r="C727" s="74"/>
      <c r="D727" s="74"/>
      <c r="E727" s="79"/>
      <c r="F727" s="74"/>
      <c r="G727" s="74"/>
      <c r="H727" s="74"/>
      <c r="I727" s="76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5.75" customHeight="1">
      <c r="A728" s="74"/>
      <c r="B728" s="74"/>
      <c r="C728" s="74"/>
      <c r="D728" s="74"/>
      <c r="E728" s="79"/>
      <c r="F728" s="74"/>
      <c r="G728" s="74"/>
      <c r="H728" s="74"/>
      <c r="I728" s="76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5.75" customHeight="1">
      <c r="A729" s="74"/>
      <c r="B729" s="74"/>
      <c r="C729" s="74"/>
      <c r="D729" s="74"/>
      <c r="E729" s="79"/>
      <c r="F729" s="74"/>
      <c r="G729" s="74"/>
      <c r="H729" s="74"/>
      <c r="I729" s="76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5.75" customHeight="1">
      <c r="A730" s="74"/>
      <c r="B730" s="74"/>
      <c r="C730" s="74"/>
      <c r="D730" s="74"/>
      <c r="E730" s="79"/>
      <c r="F730" s="74"/>
      <c r="G730" s="74"/>
      <c r="H730" s="74"/>
      <c r="I730" s="76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5.75" customHeight="1">
      <c r="A731" s="74"/>
      <c r="B731" s="74"/>
      <c r="C731" s="74"/>
      <c r="D731" s="74"/>
      <c r="E731" s="79"/>
      <c r="F731" s="74"/>
      <c r="G731" s="74"/>
      <c r="H731" s="74"/>
      <c r="I731" s="76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5.75" customHeight="1">
      <c r="A732" s="74"/>
      <c r="B732" s="74"/>
      <c r="C732" s="74"/>
      <c r="D732" s="74"/>
      <c r="E732" s="79"/>
      <c r="F732" s="74"/>
      <c r="G732" s="74"/>
      <c r="H732" s="74"/>
      <c r="I732" s="76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5.75" customHeight="1">
      <c r="A733" s="74"/>
      <c r="B733" s="74"/>
      <c r="C733" s="74"/>
      <c r="D733" s="74"/>
      <c r="E733" s="79"/>
      <c r="F733" s="74"/>
      <c r="G733" s="74"/>
      <c r="H733" s="74"/>
      <c r="I733" s="76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5.75" customHeight="1">
      <c r="A734" s="74"/>
      <c r="B734" s="74"/>
      <c r="C734" s="74"/>
      <c r="D734" s="74"/>
      <c r="E734" s="79"/>
      <c r="F734" s="74"/>
      <c r="G734" s="74"/>
      <c r="H734" s="74"/>
      <c r="I734" s="76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5.75" customHeight="1">
      <c r="A735" s="74"/>
      <c r="B735" s="74"/>
      <c r="C735" s="74"/>
      <c r="D735" s="74"/>
      <c r="E735" s="79"/>
      <c r="F735" s="74"/>
      <c r="G735" s="74"/>
      <c r="H735" s="74"/>
      <c r="I735" s="76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5.75" customHeight="1">
      <c r="A736" s="74"/>
      <c r="B736" s="74"/>
      <c r="C736" s="74"/>
      <c r="D736" s="74"/>
      <c r="E736" s="79"/>
      <c r="F736" s="74"/>
      <c r="G736" s="74"/>
      <c r="H736" s="74"/>
      <c r="I736" s="76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5.75" customHeight="1">
      <c r="A737" s="74"/>
      <c r="B737" s="74"/>
      <c r="C737" s="74"/>
      <c r="D737" s="74"/>
      <c r="E737" s="79"/>
      <c r="F737" s="74"/>
      <c r="G737" s="74"/>
      <c r="H737" s="74"/>
      <c r="I737" s="76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5.75" customHeight="1">
      <c r="A738" s="74"/>
      <c r="B738" s="74"/>
      <c r="C738" s="74"/>
      <c r="D738" s="74"/>
      <c r="E738" s="79"/>
      <c r="F738" s="74"/>
      <c r="G738" s="74"/>
      <c r="H738" s="74"/>
      <c r="I738" s="76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5.75" customHeight="1">
      <c r="A739" s="74"/>
      <c r="B739" s="74"/>
      <c r="C739" s="74"/>
      <c r="D739" s="74"/>
      <c r="E739" s="79"/>
      <c r="F739" s="74"/>
      <c r="G739" s="74"/>
      <c r="H739" s="74"/>
      <c r="I739" s="76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5.75" customHeight="1">
      <c r="A740" s="74"/>
      <c r="B740" s="74"/>
      <c r="C740" s="74"/>
      <c r="D740" s="74"/>
      <c r="E740" s="79"/>
      <c r="F740" s="74"/>
      <c r="G740" s="74"/>
      <c r="H740" s="74"/>
      <c r="I740" s="76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5.75" customHeight="1">
      <c r="A741" s="74"/>
      <c r="B741" s="74"/>
      <c r="C741" s="74"/>
      <c r="D741" s="74"/>
      <c r="E741" s="79"/>
      <c r="F741" s="74"/>
      <c r="G741" s="74"/>
      <c r="H741" s="74"/>
      <c r="I741" s="76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5.75" customHeight="1">
      <c r="A742" s="74"/>
      <c r="B742" s="74"/>
      <c r="C742" s="74"/>
      <c r="D742" s="74"/>
      <c r="E742" s="79"/>
      <c r="F742" s="74"/>
      <c r="G742" s="74"/>
      <c r="H742" s="74"/>
      <c r="I742" s="76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5.75" customHeight="1">
      <c r="A743" s="74"/>
      <c r="B743" s="74"/>
      <c r="C743" s="74"/>
      <c r="D743" s="74"/>
      <c r="E743" s="79"/>
      <c r="F743" s="74"/>
      <c r="G743" s="74"/>
      <c r="H743" s="74"/>
      <c r="I743" s="76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5.75" customHeight="1">
      <c r="A744" s="74"/>
      <c r="B744" s="74"/>
      <c r="C744" s="74"/>
      <c r="D744" s="74"/>
      <c r="E744" s="79"/>
      <c r="F744" s="74"/>
      <c r="G744" s="74"/>
      <c r="H744" s="74"/>
      <c r="I744" s="76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5.75" customHeight="1">
      <c r="A745" s="74"/>
      <c r="B745" s="74"/>
      <c r="C745" s="74"/>
      <c r="D745" s="74"/>
      <c r="E745" s="79"/>
      <c r="F745" s="74"/>
      <c r="G745" s="74"/>
      <c r="H745" s="74"/>
      <c r="I745" s="76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5.75" customHeight="1">
      <c r="A746" s="74"/>
      <c r="B746" s="74"/>
      <c r="C746" s="74"/>
      <c r="D746" s="74"/>
      <c r="E746" s="79"/>
      <c r="F746" s="74"/>
      <c r="G746" s="74"/>
      <c r="H746" s="74"/>
      <c r="I746" s="76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5.75" customHeight="1">
      <c r="A747" s="74"/>
      <c r="B747" s="74"/>
      <c r="C747" s="74"/>
      <c r="D747" s="74"/>
      <c r="E747" s="79"/>
      <c r="F747" s="74"/>
      <c r="G747" s="74"/>
      <c r="H747" s="74"/>
      <c r="I747" s="76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5.75" customHeight="1">
      <c r="A748" s="74"/>
      <c r="B748" s="74"/>
      <c r="C748" s="74"/>
      <c r="D748" s="74"/>
      <c r="E748" s="79"/>
      <c r="F748" s="74"/>
      <c r="G748" s="74"/>
      <c r="H748" s="74"/>
      <c r="I748" s="76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5.75" customHeight="1">
      <c r="A749" s="74"/>
      <c r="B749" s="74"/>
      <c r="C749" s="74"/>
      <c r="D749" s="74"/>
      <c r="E749" s="79"/>
      <c r="F749" s="74"/>
      <c r="G749" s="74"/>
      <c r="H749" s="74"/>
      <c r="I749" s="76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5.75" customHeight="1">
      <c r="A750" s="74"/>
      <c r="B750" s="74"/>
      <c r="C750" s="74"/>
      <c r="D750" s="74"/>
      <c r="E750" s="79"/>
      <c r="F750" s="74"/>
      <c r="G750" s="74"/>
      <c r="H750" s="74"/>
      <c r="I750" s="76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5.75" customHeight="1">
      <c r="A751" s="74"/>
      <c r="B751" s="74"/>
      <c r="C751" s="74"/>
      <c r="D751" s="74"/>
      <c r="E751" s="79"/>
      <c r="F751" s="74"/>
      <c r="G751" s="74"/>
      <c r="H751" s="74"/>
      <c r="I751" s="76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5.75" customHeight="1">
      <c r="A752" s="74"/>
      <c r="B752" s="74"/>
      <c r="C752" s="74"/>
      <c r="D752" s="74"/>
      <c r="E752" s="79"/>
      <c r="F752" s="74"/>
      <c r="G752" s="74"/>
      <c r="H752" s="74"/>
      <c r="I752" s="76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5.75" customHeight="1">
      <c r="A753" s="74"/>
      <c r="B753" s="74"/>
      <c r="C753" s="74"/>
      <c r="D753" s="74"/>
      <c r="E753" s="79"/>
      <c r="F753" s="74"/>
      <c r="G753" s="74"/>
      <c r="H753" s="74"/>
      <c r="I753" s="76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5.75" customHeight="1">
      <c r="A754" s="74"/>
      <c r="B754" s="74"/>
      <c r="C754" s="74"/>
      <c r="D754" s="74"/>
      <c r="E754" s="79"/>
      <c r="F754" s="74"/>
      <c r="G754" s="74"/>
      <c r="H754" s="74"/>
      <c r="I754" s="76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5.75" customHeight="1">
      <c r="A755" s="74"/>
      <c r="B755" s="74"/>
      <c r="C755" s="74"/>
      <c r="D755" s="74"/>
      <c r="E755" s="79"/>
      <c r="F755" s="74"/>
      <c r="G755" s="74"/>
      <c r="H755" s="74"/>
      <c r="I755" s="76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5.75" customHeight="1">
      <c r="A756" s="74"/>
      <c r="B756" s="74"/>
      <c r="C756" s="74"/>
      <c r="D756" s="74"/>
      <c r="E756" s="79"/>
      <c r="F756" s="74"/>
      <c r="G756" s="74"/>
      <c r="H756" s="74"/>
      <c r="I756" s="76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5.75" customHeight="1">
      <c r="A757" s="74"/>
      <c r="B757" s="74"/>
      <c r="C757" s="74"/>
      <c r="D757" s="74"/>
      <c r="E757" s="79"/>
      <c r="F757" s="74"/>
      <c r="G757" s="74"/>
      <c r="H757" s="74"/>
      <c r="I757" s="76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5.75" customHeight="1">
      <c r="A758" s="74"/>
      <c r="B758" s="74"/>
      <c r="C758" s="74"/>
      <c r="D758" s="74"/>
      <c r="E758" s="79"/>
      <c r="F758" s="74"/>
      <c r="G758" s="74"/>
      <c r="H758" s="74"/>
      <c r="I758" s="76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5.75" customHeight="1">
      <c r="A759" s="74"/>
      <c r="B759" s="74"/>
      <c r="C759" s="74"/>
      <c r="D759" s="74"/>
      <c r="E759" s="79"/>
      <c r="F759" s="74"/>
      <c r="G759" s="74"/>
      <c r="H759" s="74"/>
      <c r="I759" s="76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5.75" customHeight="1">
      <c r="A760" s="74"/>
      <c r="B760" s="74"/>
      <c r="C760" s="74"/>
      <c r="D760" s="74"/>
      <c r="E760" s="79"/>
      <c r="F760" s="74"/>
      <c r="G760" s="74"/>
      <c r="H760" s="74"/>
      <c r="I760" s="76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5.75" customHeight="1">
      <c r="A761" s="74"/>
      <c r="B761" s="74"/>
      <c r="C761" s="74"/>
      <c r="D761" s="74"/>
      <c r="E761" s="79"/>
      <c r="F761" s="74"/>
      <c r="G761" s="74"/>
      <c r="H761" s="74"/>
      <c r="I761" s="76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5.75" customHeight="1">
      <c r="A762" s="74"/>
      <c r="B762" s="74"/>
      <c r="C762" s="74"/>
      <c r="D762" s="74"/>
      <c r="E762" s="79"/>
      <c r="F762" s="74"/>
      <c r="G762" s="74"/>
      <c r="H762" s="74"/>
      <c r="I762" s="76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5.75" customHeight="1">
      <c r="A763" s="74"/>
      <c r="B763" s="74"/>
      <c r="C763" s="74"/>
      <c r="D763" s="74"/>
      <c r="E763" s="79"/>
      <c r="F763" s="74"/>
      <c r="G763" s="74"/>
      <c r="H763" s="74"/>
      <c r="I763" s="76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5.75" customHeight="1">
      <c r="A764" s="74"/>
      <c r="B764" s="74"/>
      <c r="C764" s="74"/>
      <c r="D764" s="74"/>
      <c r="E764" s="79"/>
      <c r="F764" s="74"/>
      <c r="G764" s="74"/>
      <c r="H764" s="74"/>
      <c r="I764" s="76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5.75" customHeight="1">
      <c r="A765" s="74"/>
      <c r="B765" s="74"/>
      <c r="C765" s="74"/>
      <c r="D765" s="74"/>
      <c r="E765" s="79"/>
      <c r="F765" s="74"/>
      <c r="G765" s="74"/>
      <c r="H765" s="74"/>
      <c r="I765" s="76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5.75" customHeight="1">
      <c r="A766" s="74"/>
      <c r="B766" s="74"/>
      <c r="C766" s="74"/>
      <c r="D766" s="74"/>
      <c r="E766" s="79"/>
      <c r="F766" s="74"/>
      <c r="G766" s="74"/>
      <c r="H766" s="74"/>
      <c r="I766" s="76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5.75" customHeight="1">
      <c r="A767" s="74"/>
      <c r="B767" s="74"/>
      <c r="C767" s="74"/>
      <c r="D767" s="74"/>
      <c r="E767" s="79"/>
      <c r="F767" s="74"/>
      <c r="G767" s="74"/>
      <c r="H767" s="74"/>
      <c r="I767" s="76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5.75" customHeight="1">
      <c r="A768" s="74"/>
      <c r="B768" s="74"/>
      <c r="C768" s="74"/>
      <c r="D768" s="74"/>
      <c r="E768" s="79"/>
      <c r="F768" s="74"/>
      <c r="G768" s="74"/>
      <c r="H768" s="74"/>
      <c r="I768" s="76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5.75" customHeight="1">
      <c r="A769" s="74"/>
      <c r="B769" s="74"/>
      <c r="C769" s="74"/>
      <c r="D769" s="74"/>
      <c r="E769" s="79"/>
      <c r="F769" s="74"/>
      <c r="G769" s="74"/>
      <c r="H769" s="74"/>
      <c r="I769" s="76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5.75" customHeight="1">
      <c r="A770" s="74"/>
      <c r="B770" s="74"/>
      <c r="C770" s="74"/>
      <c r="D770" s="74"/>
      <c r="E770" s="79"/>
      <c r="F770" s="74"/>
      <c r="G770" s="74"/>
      <c r="H770" s="74"/>
      <c r="I770" s="76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5.75" customHeight="1">
      <c r="A771" s="74"/>
      <c r="B771" s="74"/>
      <c r="C771" s="74"/>
      <c r="D771" s="74"/>
      <c r="E771" s="79"/>
      <c r="F771" s="74"/>
      <c r="G771" s="74"/>
      <c r="H771" s="74"/>
      <c r="I771" s="76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5.75" customHeight="1">
      <c r="A772" s="74"/>
      <c r="B772" s="74"/>
      <c r="C772" s="74"/>
      <c r="D772" s="74"/>
      <c r="E772" s="79"/>
      <c r="F772" s="74"/>
      <c r="G772" s="74"/>
      <c r="H772" s="74"/>
      <c r="I772" s="76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5.75" customHeight="1">
      <c r="A773" s="74"/>
      <c r="B773" s="74"/>
      <c r="C773" s="74"/>
      <c r="D773" s="74"/>
      <c r="E773" s="79"/>
      <c r="F773" s="74"/>
      <c r="G773" s="74"/>
      <c r="H773" s="74"/>
      <c r="I773" s="76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5.75" customHeight="1">
      <c r="A774" s="74"/>
      <c r="B774" s="74"/>
      <c r="C774" s="74"/>
      <c r="D774" s="74"/>
      <c r="E774" s="79"/>
      <c r="F774" s="74"/>
      <c r="G774" s="74"/>
      <c r="H774" s="74"/>
      <c r="I774" s="76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5.75" customHeight="1">
      <c r="A775" s="74"/>
      <c r="B775" s="74"/>
      <c r="C775" s="74"/>
      <c r="D775" s="74"/>
      <c r="E775" s="79"/>
      <c r="F775" s="74"/>
      <c r="G775" s="74"/>
      <c r="H775" s="74"/>
      <c r="I775" s="76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5.75" customHeight="1">
      <c r="A776" s="74"/>
      <c r="B776" s="74"/>
      <c r="C776" s="74"/>
      <c r="D776" s="74"/>
      <c r="E776" s="79"/>
      <c r="F776" s="74"/>
      <c r="G776" s="74"/>
      <c r="H776" s="74"/>
      <c r="I776" s="76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5.75" customHeight="1">
      <c r="A777" s="74"/>
      <c r="B777" s="74"/>
      <c r="C777" s="74"/>
      <c r="D777" s="74"/>
      <c r="E777" s="79"/>
      <c r="F777" s="74"/>
      <c r="G777" s="74"/>
      <c r="H777" s="74"/>
      <c r="I777" s="76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5.75" customHeight="1">
      <c r="A778" s="74"/>
      <c r="B778" s="74"/>
      <c r="C778" s="74"/>
      <c r="D778" s="74"/>
      <c r="E778" s="79"/>
      <c r="F778" s="74"/>
      <c r="G778" s="74"/>
      <c r="H778" s="74"/>
      <c r="I778" s="76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5.75" customHeight="1">
      <c r="A779" s="74"/>
      <c r="B779" s="74"/>
      <c r="C779" s="74"/>
      <c r="D779" s="74"/>
      <c r="E779" s="79"/>
      <c r="F779" s="74"/>
      <c r="G779" s="74"/>
      <c r="H779" s="74"/>
      <c r="I779" s="76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5.75" customHeight="1">
      <c r="A780" s="74"/>
      <c r="B780" s="74"/>
      <c r="C780" s="74"/>
      <c r="D780" s="74"/>
      <c r="E780" s="79"/>
      <c r="F780" s="74"/>
      <c r="G780" s="74"/>
      <c r="H780" s="74"/>
      <c r="I780" s="76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5.75" customHeight="1">
      <c r="A781" s="74"/>
      <c r="B781" s="74"/>
      <c r="C781" s="74"/>
      <c r="D781" s="74"/>
      <c r="E781" s="79"/>
      <c r="F781" s="74"/>
      <c r="G781" s="74"/>
      <c r="H781" s="74"/>
      <c r="I781" s="76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5.75" customHeight="1">
      <c r="A782" s="74"/>
      <c r="B782" s="74"/>
      <c r="C782" s="74"/>
      <c r="D782" s="74"/>
      <c r="E782" s="79"/>
      <c r="F782" s="74"/>
      <c r="G782" s="74"/>
      <c r="H782" s="74"/>
      <c r="I782" s="76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5.75" customHeight="1">
      <c r="A783" s="74"/>
      <c r="B783" s="74"/>
      <c r="C783" s="74"/>
      <c r="D783" s="74"/>
      <c r="E783" s="79"/>
      <c r="F783" s="74"/>
      <c r="G783" s="74"/>
      <c r="H783" s="74"/>
      <c r="I783" s="76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5.75" customHeight="1">
      <c r="A784" s="74"/>
      <c r="B784" s="74"/>
      <c r="C784" s="74"/>
      <c r="D784" s="74"/>
      <c r="E784" s="79"/>
      <c r="F784" s="74"/>
      <c r="G784" s="74"/>
      <c r="H784" s="74"/>
      <c r="I784" s="76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5.75" customHeight="1">
      <c r="A785" s="74"/>
      <c r="B785" s="74"/>
      <c r="C785" s="74"/>
      <c r="D785" s="74"/>
      <c r="E785" s="79"/>
      <c r="F785" s="74"/>
      <c r="G785" s="74"/>
      <c r="H785" s="74"/>
      <c r="I785" s="76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5.75" customHeight="1">
      <c r="A786" s="74"/>
      <c r="B786" s="74"/>
      <c r="C786" s="74"/>
      <c r="D786" s="74"/>
      <c r="E786" s="79"/>
      <c r="F786" s="74"/>
      <c r="G786" s="74"/>
      <c r="H786" s="74"/>
      <c r="I786" s="76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5.75" customHeight="1">
      <c r="A787" s="74"/>
      <c r="B787" s="74"/>
      <c r="C787" s="74"/>
      <c r="D787" s="74"/>
      <c r="E787" s="79"/>
      <c r="F787" s="74"/>
      <c r="G787" s="74"/>
      <c r="H787" s="74"/>
      <c r="I787" s="76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5.75" customHeight="1">
      <c r="A788" s="74"/>
      <c r="B788" s="74"/>
      <c r="C788" s="74"/>
      <c r="D788" s="74"/>
      <c r="E788" s="79"/>
      <c r="F788" s="74"/>
      <c r="G788" s="74"/>
      <c r="H788" s="74"/>
      <c r="I788" s="76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5.75" customHeight="1">
      <c r="A789" s="74"/>
      <c r="B789" s="74"/>
      <c r="C789" s="74"/>
      <c r="D789" s="74"/>
      <c r="E789" s="79"/>
      <c r="F789" s="74"/>
      <c r="G789" s="74"/>
      <c r="H789" s="74"/>
      <c r="I789" s="76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5.75" customHeight="1">
      <c r="A790" s="74"/>
      <c r="B790" s="74"/>
      <c r="C790" s="74"/>
      <c r="D790" s="74"/>
      <c r="E790" s="79"/>
      <c r="F790" s="74"/>
      <c r="G790" s="74"/>
      <c r="H790" s="74"/>
      <c r="I790" s="76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5.75" customHeight="1">
      <c r="A791" s="74"/>
      <c r="B791" s="74"/>
      <c r="C791" s="74"/>
      <c r="D791" s="74"/>
      <c r="E791" s="79"/>
      <c r="F791" s="74"/>
      <c r="G791" s="74"/>
      <c r="H791" s="74"/>
      <c r="I791" s="76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5.75" customHeight="1">
      <c r="A792" s="74"/>
      <c r="B792" s="74"/>
      <c r="C792" s="74"/>
      <c r="D792" s="74"/>
      <c r="E792" s="79"/>
      <c r="F792" s="74"/>
      <c r="G792" s="74"/>
      <c r="H792" s="74"/>
      <c r="I792" s="76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5.75" customHeight="1">
      <c r="A793" s="74"/>
      <c r="B793" s="74"/>
      <c r="C793" s="74"/>
      <c r="D793" s="74"/>
      <c r="E793" s="79"/>
      <c r="F793" s="74"/>
      <c r="G793" s="74"/>
      <c r="H793" s="74"/>
      <c r="I793" s="76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5.75" customHeight="1">
      <c r="A794" s="74"/>
      <c r="B794" s="74"/>
      <c r="C794" s="74"/>
      <c r="D794" s="74"/>
      <c r="E794" s="79"/>
      <c r="F794" s="74"/>
      <c r="G794" s="74"/>
      <c r="H794" s="74"/>
      <c r="I794" s="76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5.75" customHeight="1">
      <c r="A795" s="74"/>
      <c r="B795" s="74"/>
      <c r="C795" s="74"/>
      <c r="D795" s="74"/>
      <c r="E795" s="79"/>
      <c r="F795" s="74"/>
      <c r="G795" s="74"/>
      <c r="H795" s="74"/>
      <c r="I795" s="76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5.75" customHeight="1">
      <c r="A796" s="74"/>
      <c r="B796" s="74"/>
      <c r="C796" s="74"/>
      <c r="D796" s="74"/>
      <c r="E796" s="79"/>
      <c r="F796" s="74"/>
      <c r="G796" s="74"/>
      <c r="H796" s="74"/>
      <c r="I796" s="76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5.75" customHeight="1">
      <c r="A797" s="74"/>
      <c r="B797" s="74"/>
      <c r="C797" s="74"/>
      <c r="D797" s="74"/>
      <c r="E797" s="79"/>
      <c r="F797" s="74"/>
      <c r="G797" s="74"/>
      <c r="H797" s="74"/>
      <c r="I797" s="76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5.75" customHeight="1">
      <c r="A798" s="74"/>
      <c r="B798" s="74"/>
      <c r="C798" s="74"/>
      <c r="D798" s="74"/>
      <c r="E798" s="79"/>
      <c r="F798" s="74"/>
      <c r="G798" s="74"/>
      <c r="H798" s="74"/>
      <c r="I798" s="76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5.75" customHeight="1">
      <c r="A799" s="74"/>
      <c r="B799" s="74"/>
      <c r="C799" s="74"/>
      <c r="D799" s="74"/>
      <c r="E799" s="79"/>
      <c r="F799" s="74"/>
      <c r="G799" s="74"/>
      <c r="H799" s="74"/>
      <c r="I799" s="76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5.75" customHeight="1">
      <c r="A800" s="74"/>
      <c r="B800" s="74"/>
      <c r="C800" s="74"/>
      <c r="D800" s="74"/>
      <c r="E800" s="79"/>
      <c r="F800" s="74"/>
      <c r="G800" s="74"/>
      <c r="H800" s="74"/>
      <c r="I800" s="76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5.75" customHeight="1">
      <c r="A801" s="74"/>
      <c r="B801" s="74"/>
      <c r="C801" s="74"/>
      <c r="D801" s="74"/>
      <c r="E801" s="79"/>
      <c r="F801" s="74"/>
      <c r="G801" s="74"/>
      <c r="H801" s="74"/>
      <c r="I801" s="76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5.75" customHeight="1">
      <c r="A802" s="74"/>
      <c r="B802" s="74"/>
      <c r="C802" s="74"/>
      <c r="D802" s="74"/>
      <c r="E802" s="79"/>
      <c r="F802" s="74"/>
      <c r="G802" s="74"/>
      <c r="H802" s="74"/>
      <c r="I802" s="76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5.75" customHeight="1">
      <c r="A803" s="74"/>
      <c r="B803" s="74"/>
      <c r="C803" s="74"/>
      <c r="D803" s="74"/>
      <c r="E803" s="79"/>
      <c r="F803" s="74"/>
      <c r="G803" s="74"/>
      <c r="H803" s="74"/>
      <c r="I803" s="76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5.75" customHeight="1">
      <c r="A804" s="74"/>
      <c r="B804" s="74"/>
      <c r="C804" s="74"/>
      <c r="D804" s="74"/>
      <c r="E804" s="79"/>
      <c r="F804" s="74"/>
      <c r="G804" s="74"/>
      <c r="H804" s="74"/>
      <c r="I804" s="76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5.75" customHeight="1">
      <c r="A805" s="74"/>
      <c r="B805" s="74"/>
      <c r="C805" s="74"/>
      <c r="D805" s="74"/>
      <c r="E805" s="79"/>
      <c r="F805" s="74"/>
      <c r="G805" s="74"/>
      <c r="H805" s="74"/>
      <c r="I805" s="76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5.75" customHeight="1">
      <c r="A806" s="74"/>
      <c r="B806" s="74"/>
      <c r="C806" s="74"/>
      <c r="D806" s="74"/>
      <c r="E806" s="79"/>
      <c r="F806" s="74"/>
      <c r="G806" s="74"/>
      <c r="H806" s="74"/>
      <c r="I806" s="76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5.75" customHeight="1">
      <c r="A807" s="74"/>
      <c r="B807" s="74"/>
      <c r="C807" s="74"/>
      <c r="D807" s="74"/>
      <c r="E807" s="79"/>
      <c r="F807" s="74"/>
      <c r="G807" s="74"/>
      <c r="H807" s="74"/>
      <c r="I807" s="76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5.75" customHeight="1">
      <c r="A808" s="74"/>
      <c r="B808" s="74"/>
      <c r="C808" s="74"/>
      <c r="D808" s="74"/>
      <c r="E808" s="79"/>
      <c r="F808" s="74"/>
      <c r="G808" s="74"/>
      <c r="H808" s="74"/>
      <c r="I808" s="76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5.75" customHeight="1">
      <c r="A809" s="74"/>
      <c r="B809" s="74"/>
      <c r="C809" s="74"/>
      <c r="D809" s="74"/>
      <c r="E809" s="79"/>
      <c r="F809" s="74"/>
      <c r="G809" s="74"/>
      <c r="H809" s="74"/>
      <c r="I809" s="76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5.75" customHeight="1">
      <c r="A810" s="74"/>
      <c r="B810" s="74"/>
      <c r="C810" s="74"/>
      <c r="D810" s="74"/>
      <c r="E810" s="79"/>
      <c r="F810" s="74"/>
      <c r="G810" s="74"/>
      <c r="H810" s="74"/>
      <c r="I810" s="76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5.75" customHeight="1">
      <c r="A811" s="74"/>
      <c r="B811" s="74"/>
      <c r="C811" s="74"/>
      <c r="D811" s="74"/>
      <c r="E811" s="79"/>
      <c r="F811" s="74"/>
      <c r="G811" s="74"/>
      <c r="H811" s="74"/>
      <c r="I811" s="76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5.75" customHeight="1">
      <c r="A812" s="74"/>
      <c r="B812" s="74"/>
      <c r="C812" s="74"/>
      <c r="D812" s="74"/>
      <c r="E812" s="79"/>
      <c r="F812" s="74"/>
      <c r="G812" s="74"/>
      <c r="H812" s="74"/>
      <c r="I812" s="76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5.75" customHeight="1">
      <c r="A813" s="74"/>
      <c r="B813" s="74"/>
      <c r="C813" s="74"/>
      <c r="D813" s="74"/>
      <c r="E813" s="79"/>
      <c r="F813" s="74"/>
      <c r="G813" s="74"/>
      <c r="H813" s="74"/>
      <c r="I813" s="76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5.75" customHeight="1">
      <c r="A814" s="74"/>
      <c r="B814" s="74"/>
      <c r="C814" s="74"/>
      <c r="D814" s="74"/>
      <c r="E814" s="79"/>
      <c r="F814" s="74"/>
      <c r="G814" s="74"/>
      <c r="H814" s="74"/>
      <c r="I814" s="76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5.75" customHeight="1">
      <c r="A815" s="74"/>
      <c r="B815" s="74"/>
      <c r="C815" s="74"/>
      <c r="D815" s="74"/>
      <c r="E815" s="79"/>
      <c r="F815" s="74"/>
      <c r="G815" s="74"/>
      <c r="H815" s="74"/>
      <c r="I815" s="76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5.75" customHeight="1">
      <c r="A816" s="74"/>
      <c r="B816" s="74"/>
      <c r="C816" s="74"/>
      <c r="D816" s="74"/>
      <c r="E816" s="79"/>
      <c r="F816" s="74"/>
      <c r="G816" s="74"/>
      <c r="H816" s="74"/>
      <c r="I816" s="76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5.75" customHeight="1">
      <c r="A817" s="74"/>
      <c r="B817" s="74"/>
      <c r="C817" s="74"/>
      <c r="D817" s="74"/>
      <c r="E817" s="79"/>
      <c r="F817" s="74"/>
      <c r="G817" s="74"/>
      <c r="H817" s="74"/>
      <c r="I817" s="76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5.75" customHeight="1">
      <c r="A818" s="74"/>
      <c r="B818" s="74"/>
      <c r="C818" s="74"/>
      <c r="D818" s="74"/>
      <c r="E818" s="79"/>
      <c r="F818" s="74"/>
      <c r="G818" s="74"/>
      <c r="H818" s="74"/>
      <c r="I818" s="76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5.75" customHeight="1">
      <c r="A819" s="74"/>
      <c r="B819" s="74"/>
      <c r="C819" s="74"/>
      <c r="D819" s="74"/>
      <c r="E819" s="79"/>
      <c r="F819" s="74"/>
      <c r="G819" s="74"/>
      <c r="H819" s="74"/>
      <c r="I819" s="76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5.75" customHeight="1">
      <c r="A820" s="74"/>
      <c r="B820" s="74"/>
      <c r="C820" s="74"/>
      <c r="D820" s="74"/>
      <c r="E820" s="79"/>
      <c r="F820" s="74"/>
      <c r="G820" s="74"/>
      <c r="H820" s="74"/>
      <c r="I820" s="76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5.75" customHeight="1">
      <c r="A821" s="74"/>
      <c r="B821" s="74"/>
      <c r="C821" s="74"/>
      <c r="D821" s="74"/>
      <c r="E821" s="79"/>
      <c r="F821" s="74"/>
      <c r="G821" s="74"/>
      <c r="H821" s="74"/>
      <c r="I821" s="76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5.75" customHeight="1">
      <c r="A822" s="74"/>
      <c r="B822" s="74"/>
      <c r="C822" s="74"/>
      <c r="D822" s="74"/>
      <c r="E822" s="79"/>
      <c r="F822" s="74"/>
      <c r="G822" s="74"/>
      <c r="H822" s="74"/>
      <c r="I822" s="76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5.75" customHeight="1">
      <c r="A823" s="74"/>
      <c r="B823" s="74"/>
      <c r="C823" s="74"/>
      <c r="D823" s="74"/>
      <c r="E823" s="79"/>
      <c r="F823" s="74"/>
      <c r="G823" s="74"/>
      <c r="H823" s="74"/>
      <c r="I823" s="76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5.75" customHeight="1">
      <c r="A824" s="74"/>
      <c r="B824" s="74"/>
      <c r="C824" s="74"/>
      <c r="D824" s="74"/>
      <c r="E824" s="79"/>
      <c r="F824" s="74"/>
      <c r="G824" s="74"/>
      <c r="H824" s="74"/>
      <c r="I824" s="76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5.75" customHeight="1">
      <c r="A825" s="74"/>
      <c r="B825" s="74"/>
      <c r="C825" s="74"/>
      <c r="D825" s="74"/>
      <c r="E825" s="79"/>
      <c r="F825" s="74"/>
      <c r="G825" s="74"/>
      <c r="H825" s="74"/>
      <c r="I825" s="76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5.75" customHeight="1">
      <c r="A826" s="74"/>
      <c r="B826" s="74"/>
      <c r="C826" s="74"/>
      <c r="D826" s="74"/>
      <c r="E826" s="79"/>
      <c r="F826" s="74"/>
      <c r="G826" s="74"/>
      <c r="H826" s="74"/>
      <c r="I826" s="76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5.75" customHeight="1">
      <c r="A827" s="74"/>
      <c r="B827" s="74"/>
      <c r="C827" s="74"/>
      <c r="D827" s="74"/>
      <c r="E827" s="79"/>
      <c r="F827" s="74"/>
      <c r="G827" s="74"/>
      <c r="H827" s="74"/>
      <c r="I827" s="76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5.75" customHeight="1">
      <c r="A828" s="74"/>
      <c r="B828" s="74"/>
      <c r="C828" s="74"/>
      <c r="D828" s="74"/>
      <c r="E828" s="79"/>
      <c r="F828" s="74"/>
      <c r="G828" s="74"/>
      <c r="H828" s="74"/>
      <c r="I828" s="76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5.75" customHeight="1">
      <c r="A829" s="74"/>
      <c r="B829" s="74"/>
      <c r="C829" s="74"/>
      <c r="D829" s="74"/>
      <c r="E829" s="79"/>
      <c r="F829" s="74"/>
      <c r="G829" s="74"/>
      <c r="H829" s="74"/>
      <c r="I829" s="76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5.75" customHeight="1">
      <c r="A830" s="74"/>
      <c r="B830" s="74"/>
      <c r="C830" s="74"/>
      <c r="D830" s="74"/>
      <c r="E830" s="79"/>
      <c r="F830" s="74"/>
      <c r="G830" s="74"/>
      <c r="H830" s="74"/>
      <c r="I830" s="76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5.75" customHeight="1">
      <c r="A831" s="74"/>
      <c r="B831" s="74"/>
      <c r="C831" s="74"/>
      <c r="D831" s="74"/>
      <c r="E831" s="79"/>
      <c r="F831" s="74"/>
      <c r="G831" s="74"/>
      <c r="H831" s="74"/>
      <c r="I831" s="76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5.75" customHeight="1">
      <c r="A832" s="74"/>
      <c r="B832" s="74"/>
      <c r="C832" s="74"/>
      <c r="D832" s="74"/>
      <c r="E832" s="79"/>
      <c r="F832" s="74"/>
      <c r="G832" s="74"/>
      <c r="H832" s="74"/>
      <c r="I832" s="76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5.75" customHeight="1">
      <c r="A833" s="74"/>
      <c r="B833" s="74"/>
      <c r="C833" s="74"/>
      <c r="D833" s="74"/>
      <c r="E833" s="79"/>
      <c r="F833" s="74"/>
      <c r="G833" s="74"/>
      <c r="H833" s="74"/>
      <c r="I833" s="76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5.75" customHeight="1">
      <c r="A834" s="74"/>
      <c r="B834" s="74"/>
      <c r="C834" s="74"/>
      <c r="D834" s="74"/>
      <c r="E834" s="79"/>
      <c r="F834" s="74"/>
      <c r="G834" s="74"/>
      <c r="H834" s="74"/>
      <c r="I834" s="76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5.75" customHeight="1">
      <c r="A835" s="74"/>
      <c r="B835" s="74"/>
      <c r="C835" s="74"/>
      <c r="D835" s="74"/>
      <c r="E835" s="79"/>
      <c r="F835" s="74"/>
      <c r="G835" s="74"/>
      <c r="H835" s="74"/>
      <c r="I835" s="76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5.75" customHeight="1">
      <c r="A836" s="74"/>
      <c r="B836" s="74"/>
      <c r="C836" s="74"/>
      <c r="D836" s="74"/>
      <c r="E836" s="79"/>
      <c r="F836" s="74"/>
      <c r="G836" s="74"/>
      <c r="H836" s="74"/>
      <c r="I836" s="76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5.75" customHeight="1">
      <c r="A837" s="74"/>
      <c r="B837" s="74"/>
      <c r="C837" s="74"/>
      <c r="D837" s="74"/>
      <c r="E837" s="79"/>
      <c r="F837" s="74"/>
      <c r="G837" s="74"/>
      <c r="H837" s="74"/>
      <c r="I837" s="76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5.75" customHeight="1">
      <c r="A838" s="74"/>
      <c r="B838" s="74"/>
      <c r="C838" s="74"/>
      <c r="D838" s="74"/>
      <c r="E838" s="79"/>
      <c r="F838" s="74"/>
      <c r="G838" s="74"/>
      <c r="H838" s="74"/>
      <c r="I838" s="76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5.75" customHeight="1">
      <c r="A839" s="74"/>
      <c r="B839" s="74"/>
      <c r="C839" s="74"/>
      <c r="D839" s="74"/>
      <c r="E839" s="79"/>
      <c r="F839" s="74"/>
      <c r="G839" s="74"/>
      <c r="H839" s="74"/>
      <c r="I839" s="76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5.75" customHeight="1">
      <c r="A840" s="74"/>
      <c r="B840" s="74"/>
      <c r="C840" s="74"/>
      <c r="D840" s="74"/>
      <c r="E840" s="79"/>
      <c r="F840" s="74"/>
      <c r="G840" s="74"/>
      <c r="H840" s="74"/>
      <c r="I840" s="76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5.75" customHeight="1">
      <c r="A841" s="74"/>
      <c r="B841" s="74"/>
      <c r="C841" s="74"/>
      <c r="D841" s="74"/>
      <c r="E841" s="79"/>
      <c r="F841" s="74"/>
      <c r="G841" s="74"/>
      <c r="H841" s="74"/>
      <c r="I841" s="76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5.75" customHeight="1">
      <c r="A842" s="74"/>
      <c r="B842" s="74"/>
      <c r="C842" s="74"/>
      <c r="D842" s="74"/>
      <c r="E842" s="79"/>
      <c r="F842" s="74"/>
      <c r="G842" s="74"/>
      <c r="H842" s="74"/>
      <c r="I842" s="76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5.75" customHeight="1">
      <c r="A843" s="74"/>
      <c r="B843" s="74"/>
      <c r="C843" s="74"/>
      <c r="D843" s="74"/>
      <c r="E843" s="79"/>
      <c r="F843" s="74"/>
      <c r="G843" s="74"/>
      <c r="H843" s="74"/>
      <c r="I843" s="76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5.75" customHeight="1">
      <c r="A844" s="74"/>
      <c r="B844" s="74"/>
      <c r="C844" s="74"/>
      <c r="D844" s="74"/>
      <c r="E844" s="79"/>
      <c r="F844" s="74"/>
      <c r="G844" s="74"/>
      <c r="H844" s="74"/>
      <c r="I844" s="76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5.75" customHeight="1">
      <c r="A845" s="74"/>
      <c r="B845" s="74"/>
      <c r="C845" s="74"/>
      <c r="D845" s="74"/>
      <c r="E845" s="79"/>
      <c r="F845" s="74"/>
      <c r="G845" s="74"/>
      <c r="H845" s="74"/>
      <c r="I845" s="76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5.75" customHeight="1">
      <c r="A846" s="74"/>
      <c r="B846" s="74"/>
      <c r="C846" s="74"/>
      <c r="D846" s="74"/>
      <c r="E846" s="79"/>
      <c r="F846" s="74"/>
      <c r="G846" s="74"/>
      <c r="H846" s="74"/>
      <c r="I846" s="76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5.75" customHeight="1">
      <c r="A847" s="74"/>
      <c r="B847" s="74"/>
      <c r="C847" s="74"/>
      <c r="D847" s="74"/>
      <c r="E847" s="79"/>
      <c r="F847" s="74"/>
      <c r="G847" s="74"/>
      <c r="H847" s="74"/>
      <c r="I847" s="76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5.75" customHeight="1">
      <c r="A848" s="74"/>
      <c r="B848" s="74"/>
      <c r="C848" s="74"/>
      <c r="D848" s="74"/>
      <c r="E848" s="79"/>
      <c r="F848" s="74"/>
      <c r="G848" s="74"/>
      <c r="H848" s="74"/>
      <c r="I848" s="76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5.75" customHeight="1">
      <c r="A849" s="74"/>
      <c r="B849" s="74"/>
      <c r="C849" s="74"/>
      <c r="D849" s="74"/>
      <c r="E849" s="79"/>
      <c r="F849" s="74"/>
      <c r="G849" s="74"/>
      <c r="H849" s="74"/>
      <c r="I849" s="76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5.75" customHeight="1">
      <c r="A850" s="74"/>
      <c r="B850" s="74"/>
      <c r="C850" s="74"/>
      <c r="D850" s="74"/>
      <c r="E850" s="79"/>
      <c r="F850" s="74"/>
      <c r="G850" s="74"/>
      <c r="H850" s="74"/>
      <c r="I850" s="76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5.75" customHeight="1">
      <c r="A851" s="74"/>
      <c r="B851" s="74"/>
      <c r="C851" s="74"/>
      <c r="D851" s="74"/>
      <c r="E851" s="79"/>
      <c r="F851" s="74"/>
      <c r="G851" s="74"/>
      <c r="H851" s="74"/>
      <c r="I851" s="76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5.75" customHeight="1">
      <c r="A852" s="74"/>
      <c r="B852" s="74"/>
      <c r="C852" s="74"/>
      <c r="D852" s="74"/>
      <c r="E852" s="79"/>
      <c r="F852" s="74"/>
      <c r="G852" s="74"/>
      <c r="H852" s="74"/>
      <c r="I852" s="76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5.75" customHeight="1">
      <c r="A853" s="74"/>
      <c r="B853" s="74"/>
      <c r="C853" s="74"/>
      <c r="D853" s="74"/>
      <c r="E853" s="79"/>
      <c r="F853" s="74"/>
      <c r="G853" s="74"/>
      <c r="H853" s="74"/>
      <c r="I853" s="76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5.75" customHeight="1">
      <c r="A854" s="74"/>
      <c r="B854" s="74"/>
      <c r="C854" s="74"/>
      <c r="D854" s="74"/>
      <c r="E854" s="79"/>
      <c r="F854" s="74"/>
      <c r="G854" s="74"/>
      <c r="H854" s="74"/>
      <c r="I854" s="76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5.75" customHeight="1">
      <c r="A855" s="74"/>
      <c r="B855" s="74"/>
      <c r="C855" s="74"/>
      <c r="D855" s="74"/>
      <c r="E855" s="79"/>
      <c r="F855" s="74"/>
      <c r="G855" s="74"/>
      <c r="H855" s="74"/>
      <c r="I855" s="76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5.75" customHeight="1">
      <c r="A856" s="74"/>
      <c r="B856" s="74"/>
      <c r="C856" s="74"/>
      <c r="D856" s="74"/>
      <c r="E856" s="79"/>
      <c r="F856" s="74"/>
      <c r="G856" s="74"/>
      <c r="H856" s="74"/>
      <c r="I856" s="76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5.75" customHeight="1">
      <c r="A857" s="74"/>
      <c r="B857" s="74"/>
      <c r="C857" s="74"/>
      <c r="D857" s="74"/>
      <c r="E857" s="79"/>
      <c r="F857" s="74"/>
      <c r="G857" s="74"/>
      <c r="H857" s="74"/>
      <c r="I857" s="76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5.75" customHeight="1">
      <c r="A858" s="74"/>
      <c r="B858" s="74"/>
      <c r="C858" s="74"/>
      <c r="D858" s="74"/>
      <c r="E858" s="79"/>
      <c r="F858" s="74"/>
      <c r="G858" s="74"/>
      <c r="H858" s="74"/>
      <c r="I858" s="76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5.75" customHeight="1">
      <c r="A859" s="74"/>
      <c r="B859" s="74"/>
      <c r="C859" s="74"/>
      <c r="D859" s="74"/>
      <c r="E859" s="79"/>
      <c r="F859" s="74"/>
      <c r="G859" s="74"/>
      <c r="H859" s="74"/>
      <c r="I859" s="76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5.75" customHeight="1">
      <c r="A860" s="74"/>
      <c r="B860" s="74"/>
      <c r="C860" s="74"/>
      <c r="D860" s="74"/>
      <c r="E860" s="79"/>
      <c r="F860" s="74"/>
      <c r="G860" s="74"/>
      <c r="H860" s="74"/>
      <c r="I860" s="76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5.75" customHeight="1">
      <c r="A861" s="74"/>
      <c r="B861" s="74"/>
      <c r="C861" s="74"/>
      <c r="D861" s="74"/>
      <c r="E861" s="79"/>
      <c r="F861" s="74"/>
      <c r="G861" s="74"/>
      <c r="H861" s="74"/>
      <c r="I861" s="76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5.75" customHeight="1">
      <c r="A862" s="74"/>
      <c r="B862" s="74"/>
      <c r="C862" s="74"/>
      <c r="D862" s="74"/>
      <c r="E862" s="79"/>
      <c r="F862" s="74"/>
      <c r="G862" s="74"/>
      <c r="H862" s="74"/>
      <c r="I862" s="76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5.75" customHeight="1">
      <c r="A863" s="74"/>
      <c r="B863" s="74"/>
      <c r="C863" s="74"/>
      <c r="D863" s="74"/>
      <c r="E863" s="79"/>
      <c r="F863" s="74"/>
      <c r="G863" s="74"/>
      <c r="H863" s="74"/>
      <c r="I863" s="76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5.75" customHeight="1">
      <c r="A864" s="74"/>
      <c r="B864" s="74"/>
      <c r="C864" s="74"/>
      <c r="D864" s="74"/>
      <c r="E864" s="79"/>
      <c r="F864" s="74"/>
      <c r="G864" s="74"/>
      <c r="H864" s="74"/>
      <c r="I864" s="76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5.75" customHeight="1">
      <c r="A865" s="74"/>
      <c r="B865" s="74"/>
      <c r="C865" s="74"/>
      <c r="D865" s="74"/>
      <c r="E865" s="79"/>
      <c r="F865" s="74"/>
      <c r="G865" s="74"/>
      <c r="H865" s="74"/>
      <c r="I865" s="76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5.75" customHeight="1">
      <c r="A866" s="74"/>
      <c r="B866" s="74"/>
      <c r="C866" s="74"/>
      <c r="D866" s="74"/>
      <c r="E866" s="79"/>
      <c r="F866" s="74"/>
      <c r="G866" s="74"/>
      <c r="H866" s="74"/>
      <c r="I866" s="76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5.75" customHeight="1">
      <c r="A867" s="74"/>
      <c r="B867" s="74"/>
      <c r="C867" s="74"/>
      <c r="D867" s="74"/>
      <c r="E867" s="79"/>
      <c r="F867" s="74"/>
      <c r="G867" s="74"/>
      <c r="H867" s="74"/>
      <c r="I867" s="76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5.75" customHeight="1">
      <c r="A868" s="74"/>
      <c r="B868" s="74"/>
      <c r="C868" s="74"/>
      <c r="D868" s="74"/>
      <c r="E868" s="79"/>
      <c r="F868" s="74"/>
      <c r="G868" s="74"/>
      <c r="H868" s="74"/>
      <c r="I868" s="76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5.75" customHeight="1">
      <c r="A869" s="74"/>
      <c r="B869" s="74"/>
      <c r="C869" s="74"/>
      <c r="D869" s="74"/>
      <c r="E869" s="79"/>
      <c r="F869" s="74"/>
      <c r="G869" s="74"/>
      <c r="H869" s="74"/>
      <c r="I869" s="76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5.75" customHeight="1">
      <c r="A870" s="74"/>
      <c r="B870" s="74"/>
      <c r="C870" s="74"/>
      <c r="D870" s="74"/>
      <c r="E870" s="79"/>
      <c r="F870" s="74"/>
      <c r="G870" s="74"/>
      <c r="H870" s="74"/>
      <c r="I870" s="76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5.75" customHeight="1">
      <c r="A871" s="74"/>
      <c r="B871" s="74"/>
      <c r="C871" s="74"/>
      <c r="D871" s="74"/>
      <c r="E871" s="79"/>
      <c r="F871" s="74"/>
      <c r="G871" s="74"/>
      <c r="H871" s="74"/>
      <c r="I871" s="76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5.75" customHeight="1">
      <c r="A872" s="74"/>
      <c r="B872" s="74"/>
      <c r="C872" s="74"/>
      <c r="D872" s="74"/>
      <c r="E872" s="79"/>
      <c r="F872" s="74"/>
      <c r="G872" s="74"/>
      <c r="H872" s="74"/>
      <c r="I872" s="76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5.75" customHeight="1">
      <c r="A873" s="74"/>
      <c r="B873" s="74"/>
      <c r="C873" s="74"/>
      <c r="D873" s="74"/>
      <c r="E873" s="79"/>
      <c r="F873" s="74"/>
      <c r="G873" s="74"/>
      <c r="H873" s="74"/>
      <c r="I873" s="76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5.75" customHeight="1">
      <c r="A874" s="74"/>
      <c r="B874" s="74"/>
      <c r="C874" s="74"/>
      <c r="D874" s="74"/>
      <c r="E874" s="79"/>
      <c r="F874" s="74"/>
      <c r="G874" s="74"/>
      <c r="H874" s="74"/>
      <c r="I874" s="76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5.75" customHeight="1">
      <c r="A875" s="74"/>
      <c r="B875" s="74"/>
      <c r="C875" s="74"/>
      <c r="D875" s="74"/>
      <c r="E875" s="79"/>
      <c r="F875" s="74"/>
      <c r="G875" s="74"/>
      <c r="H875" s="74"/>
      <c r="I875" s="76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5.75" customHeight="1">
      <c r="A876" s="74"/>
      <c r="B876" s="74"/>
      <c r="C876" s="74"/>
      <c r="D876" s="74"/>
      <c r="E876" s="79"/>
      <c r="F876" s="74"/>
      <c r="G876" s="74"/>
      <c r="H876" s="74"/>
      <c r="I876" s="76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5.75" customHeight="1">
      <c r="A877" s="74"/>
      <c r="B877" s="74"/>
      <c r="C877" s="74"/>
      <c r="D877" s="74"/>
      <c r="E877" s="79"/>
      <c r="F877" s="74"/>
      <c r="G877" s="74"/>
      <c r="H877" s="74"/>
      <c r="I877" s="76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5.75" customHeight="1">
      <c r="A878" s="74"/>
      <c r="B878" s="74"/>
      <c r="C878" s="74"/>
      <c r="D878" s="74"/>
      <c r="E878" s="79"/>
      <c r="F878" s="74"/>
      <c r="G878" s="74"/>
      <c r="H878" s="74"/>
      <c r="I878" s="76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5.75" customHeight="1">
      <c r="A879" s="74"/>
      <c r="B879" s="74"/>
      <c r="C879" s="74"/>
      <c r="D879" s="74"/>
      <c r="E879" s="79"/>
      <c r="F879" s="74"/>
      <c r="G879" s="74"/>
      <c r="H879" s="74"/>
      <c r="I879" s="76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5.75" customHeight="1">
      <c r="A880" s="74"/>
      <c r="B880" s="74"/>
      <c r="C880" s="74"/>
      <c r="D880" s="74"/>
      <c r="E880" s="79"/>
      <c r="F880" s="74"/>
      <c r="G880" s="74"/>
      <c r="H880" s="74"/>
      <c r="I880" s="76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5.75" customHeight="1">
      <c r="A881" s="74"/>
      <c r="B881" s="74"/>
      <c r="C881" s="74"/>
      <c r="D881" s="74"/>
      <c r="E881" s="79"/>
      <c r="F881" s="74"/>
      <c r="G881" s="74"/>
      <c r="H881" s="74"/>
      <c r="I881" s="76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5.75" customHeight="1">
      <c r="A882" s="74"/>
      <c r="B882" s="74"/>
      <c r="C882" s="74"/>
      <c r="D882" s="74"/>
      <c r="E882" s="79"/>
      <c r="F882" s="74"/>
      <c r="G882" s="74"/>
      <c r="H882" s="74"/>
      <c r="I882" s="76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5.75" customHeight="1">
      <c r="A883" s="74"/>
      <c r="B883" s="74"/>
      <c r="C883" s="74"/>
      <c r="D883" s="74"/>
      <c r="E883" s="79"/>
      <c r="F883" s="74"/>
      <c r="G883" s="74"/>
      <c r="H883" s="74"/>
      <c r="I883" s="76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5.75" customHeight="1">
      <c r="A884" s="74"/>
      <c r="B884" s="74"/>
      <c r="C884" s="74"/>
      <c r="D884" s="74"/>
      <c r="E884" s="79"/>
      <c r="F884" s="74"/>
      <c r="G884" s="74"/>
      <c r="H884" s="74"/>
      <c r="I884" s="76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5.75" customHeight="1">
      <c r="A885" s="74"/>
      <c r="B885" s="74"/>
      <c r="C885" s="74"/>
      <c r="D885" s="74"/>
      <c r="E885" s="79"/>
      <c r="F885" s="74"/>
      <c r="G885" s="74"/>
      <c r="H885" s="74"/>
      <c r="I885" s="76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5.75" customHeight="1">
      <c r="A886" s="74"/>
      <c r="B886" s="74"/>
      <c r="C886" s="74"/>
      <c r="D886" s="74"/>
      <c r="E886" s="79"/>
      <c r="F886" s="74"/>
      <c r="G886" s="74"/>
      <c r="H886" s="74"/>
      <c r="I886" s="76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5.75" customHeight="1">
      <c r="A887" s="74"/>
      <c r="B887" s="74"/>
      <c r="C887" s="74"/>
      <c r="D887" s="74"/>
      <c r="E887" s="79"/>
      <c r="F887" s="74"/>
      <c r="G887" s="74"/>
      <c r="H887" s="74"/>
      <c r="I887" s="76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5.75" customHeight="1">
      <c r="A888" s="74"/>
      <c r="B888" s="74"/>
      <c r="C888" s="74"/>
      <c r="D888" s="74"/>
      <c r="E888" s="79"/>
      <c r="F888" s="74"/>
      <c r="G888" s="74"/>
      <c r="H888" s="74"/>
      <c r="I888" s="76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5.75" customHeight="1">
      <c r="A889" s="74"/>
      <c r="B889" s="74"/>
      <c r="C889" s="74"/>
      <c r="D889" s="74"/>
      <c r="E889" s="79"/>
      <c r="F889" s="74"/>
      <c r="G889" s="74"/>
      <c r="H889" s="74"/>
      <c r="I889" s="76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5.75" customHeight="1">
      <c r="A890" s="74"/>
      <c r="B890" s="74"/>
      <c r="C890" s="74"/>
      <c r="D890" s="74"/>
      <c r="E890" s="79"/>
      <c r="F890" s="74"/>
      <c r="G890" s="74"/>
      <c r="H890" s="74"/>
      <c r="I890" s="76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5.75" customHeight="1">
      <c r="A891" s="74"/>
      <c r="B891" s="74"/>
      <c r="C891" s="74"/>
      <c r="D891" s="74"/>
      <c r="E891" s="79"/>
      <c r="F891" s="74"/>
      <c r="G891" s="74"/>
      <c r="H891" s="74"/>
      <c r="I891" s="76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5.75" customHeight="1">
      <c r="A892" s="74"/>
      <c r="B892" s="74"/>
      <c r="C892" s="74"/>
      <c r="D892" s="74"/>
      <c r="E892" s="79"/>
      <c r="F892" s="74"/>
      <c r="G892" s="74"/>
      <c r="H892" s="74"/>
      <c r="I892" s="76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5.75" customHeight="1">
      <c r="A893" s="74"/>
      <c r="B893" s="74"/>
      <c r="C893" s="74"/>
      <c r="D893" s="74"/>
      <c r="E893" s="79"/>
      <c r="F893" s="74"/>
      <c r="G893" s="74"/>
      <c r="H893" s="74"/>
      <c r="I893" s="76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5.75" customHeight="1">
      <c r="A894" s="74"/>
      <c r="B894" s="74"/>
      <c r="C894" s="74"/>
      <c r="D894" s="74"/>
      <c r="E894" s="79"/>
      <c r="F894" s="74"/>
      <c r="G894" s="74"/>
      <c r="H894" s="74"/>
      <c r="I894" s="76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5.75" customHeight="1">
      <c r="A895" s="74"/>
      <c r="B895" s="74"/>
      <c r="C895" s="74"/>
      <c r="D895" s="74"/>
      <c r="E895" s="79"/>
      <c r="F895" s="74"/>
      <c r="G895" s="74"/>
      <c r="H895" s="74"/>
      <c r="I895" s="76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5.75" customHeight="1">
      <c r="A896" s="74"/>
      <c r="B896" s="74"/>
      <c r="C896" s="74"/>
      <c r="D896" s="74"/>
      <c r="E896" s="79"/>
      <c r="F896" s="74"/>
      <c r="G896" s="74"/>
      <c r="H896" s="74"/>
      <c r="I896" s="76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5.75" customHeight="1">
      <c r="A897" s="74"/>
      <c r="B897" s="74"/>
      <c r="C897" s="74"/>
      <c r="D897" s="74"/>
      <c r="E897" s="79"/>
      <c r="F897" s="74"/>
      <c r="G897" s="74"/>
      <c r="H897" s="74"/>
      <c r="I897" s="76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5.75" customHeight="1">
      <c r="A898" s="74"/>
      <c r="B898" s="74"/>
      <c r="C898" s="74"/>
      <c r="D898" s="74"/>
      <c r="E898" s="79"/>
      <c r="F898" s="74"/>
      <c r="G898" s="74"/>
      <c r="H898" s="74"/>
      <c r="I898" s="76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5.75" customHeight="1">
      <c r="A899" s="74"/>
      <c r="B899" s="74"/>
      <c r="C899" s="74"/>
      <c r="D899" s="74"/>
      <c r="E899" s="79"/>
      <c r="F899" s="74"/>
      <c r="G899" s="74"/>
      <c r="H899" s="74"/>
      <c r="I899" s="76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5.75" customHeight="1">
      <c r="A900" s="74"/>
      <c r="B900" s="74"/>
      <c r="C900" s="74"/>
      <c r="D900" s="74"/>
      <c r="E900" s="79"/>
      <c r="F900" s="74"/>
      <c r="G900" s="74"/>
      <c r="H900" s="74"/>
      <c r="I900" s="76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5.75" customHeight="1">
      <c r="A901" s="74"/>
      <c r="B901" s="74"/>
      <c r="C901" s="74"/>
      <c r="D901" s="74"/>
      <c r="E901" s="79"/>
      <c r="F901" s="74"/>
      <c r="G901" s="74"/>
      <c r="H901" s="74"/>
      <c r="I901" s="76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5.75" customHeight="1">
      <c r="A902" s="74"/>
      <c r="B902" s="74"/>
      <c r="C902" s="74"/>
      <c r="D902" s="74"/>
      <c r="E902" s="79"/>
      <c r="F902" s="74"/>
      <c r="G902" s="74"/>
      <c r="H902" s="74"/>
      <c r="I902" s="76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5.75" customHeight="1">
      <c r="A903" s="74"/>
      <c r="B903" s="74"/>
      <c r="C903" s="74"/>
      <c r="D903" s="74"/>
      <c r="E903" s="79"/>
      <c r="F903" s="74"/>
      <c r="G903" s="74"/>
      <c r="H903" s="74"/>
      <c r="I903" s="76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5.75" customHeight="1">
      <c r="A904" s="74"/>
      <c r="B904" s="74"/>
      <c r="C904" s="74"/>
      <c r="D904" s="74"/>
      <c r="E904" s="79"/>
      <c r="F904" s="74"/>
      <c r="G904" s="74"/>
      <c r="H904" s="74"/>
      <c r="I904" s="76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5.75" customHeight="1">
      <c r="A905" s="74"/>
      <c r="B905" s="74"/>
      <c r="C905" s="74"/>
      <c r="D905" s="74"/>
      <c r="E905" s="79"/>
      <c r="F905" s="74"/>
      <c r="G905" s="74"/>
      <c r="H905" s="74"/>
      <c r="I905" s="76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5.75" customHeight="1">
      <c r="A906" s="74"/>
      <c r="B906" s="74"/>
      <c r="C906" s="74"/>
      <c r="D906" s="74"/>
      <c r="E906" s="79"/>
      <c r="F906" s="74"/>
      <c r="G906" s="74"/>
      <c r="H906" s="74"/>
      <c r="I906" s="76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5.75" customHeight="1">
      <c r="A907" s="74"/>
      <c r="B907" s="74"/>
      <c r="C907" s="74"/>
      <c r="D907" s="74"/>
      <c r="E907" s="79"/>
      <c r="F907" s="74"/>
      <c r="G907" s="74"/>
      <c r="H907" s="74"/>
      <c r="I907" s="76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5.75" customHeight="1">
      <c r="A908" s="74"/>
      <c r="B908" s="74"/>
      <c r="C908" s="74"/>
      <c r="D908" s="74"/>
      <c r="E908" s="79"/>
      <c r="F908" s="74"/>
      <c r="G908" s="74"/>
      <c r="H908" s="74"/>
      <c r="I908" s="76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5.75" customHeight="1">
      <c r="A909" s="74"/>
      <c r="B909" s="74"/>
      <c r="C909" s="74"/>
      <c r="D909" s="74"/>
      <c r="E909" s="79"/>
      <c r="F909" s="74"/>
      <c r="G909" s="74"/>
      <c r="H909" s="74"/>
      <c r="I909" s="76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5.75" customHeight="1">
      <c r="A910" s="74"/>
      <c r="B910" s="74"/>
      <c r="C910" s="74"/>
      <c r="D910" s="74"/>
      <c r="E910" s="79"/>
      <c r="F910" s="74"/>
      <c r="G910" s="74"/>
      <c r="H910" s="74"/>
      <c r="I910" s="76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5.75" customHeight="1">
      <c r="A911" s="74"/>
      <c r="B911" s="74"/>
      <c r="C911" s="74"/>
      <c r="D911" s="74"/>
      <c r="E911" s="79"/>
      <c r="F911" s="74"/>
      <c r="G911" s="74"/>
      <c r="H911" s="74"/>
      <c r="I911" s="76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5.75" customHeight="1">
      <c r="A912" s="74"/>
      <c r="B912" s="74"/>
      <c r="C912" s="74"/>
      <c r="D912" s="74"/>
      <c r="E912" s="79"/>
      <c r="F912" s="74"/>
      <c r="G912" s="74"/>
      <c r="H912" s="74"/>
      <c r="I912" s="76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5.75" customHeight="1">
      <c r="A913" s="74"/>
      <c r="B913" s="74"/>
      <c r="C913" s="74"/>
      <c r="D913" s="74"/>
      <c r="E913" s="79"/>
      <c r="F913" s="74"/>
      <c r="G913" s="74"/>
      <c r="H913" s="74"/>
      <c r="I913" s="76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5.75" customHeight="1">
      <c r="A914" s="74"/>
      <c r="B914" s="74"/>
      <c r="C914" s="74"/>
      <c r="D914" s="74"/>
      <c r="E914" s="79"/>
      <c r="F914" s="74"/>
      <c r="G914" s="74"/>
      <c r="H914" s="74"/>
      <c r="I914" s="76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5.75" customHeight="1">
      <c r="A915" s="74"/>
      <c r="B915" s="74"/>
      <c r="C915" s="74"/>
      <c r="D915" s="74"/>
      <c r="E915" s="79"/>
      <c r="F915" s="74"/>
      <c r="G915" s="74"/>
      <c r="H915" s="74"/>
      <c r="I915" s="76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5.75" customHeight="1">
      <c r="A916" s="74"/>
      <c r="B916" s="74"/>
      <c r="C916" s="74"/>
      <c r="D916" s="74"/>
      <c r="E916" s="79"/>
      <c r="F916" s="74"/>
      <c r="G916" s="74"/>
      <c r="H916" s="74"/>
      <c r="I916" s="76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5.75" customHeight="1">
      <c r="A917" s="74"/>
      <c r="B917" s="74"/>
      <c r="C917" s="74"/>
      <c r="D917" s="74"/>
      <c r="E917" s="79"/>
      <c r="F917" s="74"/>
      <c r="G917" s="74"/>
      <c r="H917" s="74"/>
      <c r="I917" s="76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5.75" customHeight="1">
      <c r="A918" s="74"/>
      <c r="B918" s="74"/>
      <c r="C918" s="74"/>
      <c r="D918" s="74"/>
      <c r="E918" s="79"/>
      <c r="F918" s="74"/>
      <c r="G918" s="74"/>
      <c r="H918" s="74"/>
      <c r="I918" s="76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5.75" customHeight="1">
      <c r="A919" s="74"/>
      <c r="B919" s="74"/>
      <c r="C919" s="74"/>
      <c r="D919" s="74"/>
      <c r="E919" s="79"/>
      <c r="F919" s="74"/>
      <c r="G919" s="74"/>
      <c r="H919" s="74"/>
      <c r="I919" s="76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5.75" customHeight="1">
      <c r="A920" s="74"/>
      <c r="B920" s="74"/>
      <c r="C920" s="74"/>
      <c r="D920" s="74"/>
      <c r="E920" s="79"/>
      <c r="F920" s="74"/>
      <c r="G920" s="74"/>
      <c r="H920" s="74"/>
      <c r="I920" s="76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5.75" customHeight="1">
      <c r="A921" s="74"/>
      <c r="B921" s="74"/>
      <c r="C921" s="74"/>
      <c r="D921" s="74"/>
      <c r="E921" s="79"/>
      <c r="F921" s="74"/>
      <c r="G921" s="74"/>
      <c r="H921" s="74"/>
      <c r="I921" s="76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5.75" customHeight="1">
      <c r="A922" s="74"/>
      <c r="B922" s="74"/>
      <c r="C922" s="74"/>
      <c r="D922" s="74"/>
      <c r="E922" s="79"/>
      <c r="F922" s="74"/>
      <c r="G922" s="74"/>
      <c r="H922" s="74"/>
      <c r="I922" s="76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5.75" customHeight="1">
      <c r="A923" s="74"/>
      <c r="B923" s="74"/>
      <c r="C923" s="74"/>
      <c r="D923" s="74"/>
      <c r="E923" s="79"/>
      <c r="F923" s="74"/>
      <c r="G923" s="74"/>
      <c r="H923" s="74"/>
      <c r="I923" s="76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5.75" customHeight="1">
      <c r="A924" s="74"/>
      <c r="B924" s="74"/>
      <c r="C924" s="74"/>
      <c r="D924" s="74"/>
      <c r="E924" s="79"/>
      <c r="F924" s="74"/>
      <c r="G924" s="74"/>
      <c r="H924" s="74"/>
      <c r="I924" s="76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5.75" customHeight="1">
      <c r="A925" s="74"/>
      <c r="B925" s="74"/>
      <c r="C925" s="74"/>
      <c r="D925" s="74"/>
      <c r="E925" s="79"/>
      <c r="F925" s="74"/>
      <c r="G925" s="74"/>
      <c r="H925" s="74"/>
      <c r="I925" s="76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5.75" customHeight="1">
      <c r="A926" s="74"/>
      <c r="B926" s="74"/>
      <c r="C926" s="74"/>
      <c r="D926" s="74"/>
      <c r="E926" s="79"/>
      <c r="F926" s="74"/>
      <c r="G926" s="74"/>
      <c r="H926" s="74"/>
      <c r="I926" s="76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5.75" customHeight="1">
      <c r="A927" s="74"/>
      <c r="B927" s="74"/>
      <c r="C927" s="74"/>
      <c r="D927" s="74"/>
      <c r="E927" s="79"/>
      <c r="F927" s="74"/>
      <c r="G927" s="74"/>
      <c r="H927" s="74"/>
      <c r="I927" s="76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5.75" customHeight="1">
      <c r="A928" s="74"/>
      <c r="B928" s="74"/>
      <c r="C928" s="74"/>
      <c r="D928" s="74"/>
      <c r="E928" s="79"/>
      <c r="F928" s="74"/>
      <c r="G928" s="74"/>
      <c r="H928" s="74"/>
      <c r="I928" s="76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5.75" customHeight="1">
      <c r="A929" s="74"/>
      <c r="B929" s="74"/>
      <c r="C929" s="74"/>
      <c r="D929" s="74"/>
      <c r="E929" s="79"/>
      <c r="F929" s="74"/>
      <c r="G929" s="74"/>
      <c r="H929" s="74"/>
      <c r="I929" s="76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5.75" customHeight="1">
      <c r="A930" s="74"/>
      <c r="B930" s="74"/>
      <c r="C930" s="74"/>
      <c r="D930" s="74"/>
      <c r="E930" s="79"/>
      <c r="F930" s="74"/>
      <c r="G930" s="74"/>
      <c r="H930" s="74"/>
      <c r="I930" s="76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5.75" customHeight="1">
      <c r="A931" s="74"/>
      <c r="B931" s="74"/>
      <c r="C931" s="74"/>
      <c r="D931" s="74"/>
      <c r="E931" s="79"/>
      <c r="F931" s="74"/>
      <c r="G931" s="74"/>
      <c r="H931" s="74"/>
      <c r="I931" s="76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5.75" customHeight="1">
      <c r="A932" s="74"/>
      <c r="B932" s="74"/>
      <c r="C932" s="74"/>
      <c r="D932" s="74"/>
      <c r="E932" s="79"/>
      <c r="F932" s="74"/>
      <c r="G932" s="74"/>
      <c r="H932" s="74"/>
      <c r="I932" s="76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5.75" customHeight="1">
      <c r="A933" s="74"/>
      <c r="B933" s="74"/>
      <c r="C933" s="74"/>
      <c r="D933" s="74"/>
      <c r="E933" s="79"/>
      <c r="F933" s="74"/>
      <c r="G933" s="74"/>
      <c r="H933" s="74"/>
      <c r="I933" s="76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5.75" customHeight="1">
      <c r="A934" s="74"/>
      <c r="B934" s="74"/>
      <c r="C934" s="74"/>
      <c r="D934" s="74"/>
      <c r="E934" s="79"/>
      <c r="F934" s="74"/>
      <c r="G934" s="74"/>
      <c r="H934" s="74"/>
      <c r="I934" s="76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5.75" customHeight="1">
      <c r="A935" s="74"/>
      <c r="B935" s="74"/>
      <c r="C935" s="74"/>
      <c r="D935" s="74"/>
      <c r="E935" s="79"/>
      <c r="F935" s="74"/>
      <c r="G935" s="74"/>
      <c r="H935" s="74"/>
      <c r="I935" s="76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5.75" customHeight="1">
      <c r="A936" s="74"/>
      <c r="B936" s="74"/>
      <c r="C936" s="74"/>
      <c r="D936" s="74"/>
      <c r="E936" s="79"/>
      <c r="F936" s="74"/>
      <c r="G936" s="74"/>
      <c r="H936" s="74"/>
      <c r="I936" s="76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5.75" customHeight="1">
      <c r="A937" s="74"/>
      <c r="B937" s="74"/>
      <c r="C937" s="74"/>
      <c r="D937" s="74"/>
      <c r="E937" s="79"/>
      <c r="F937" s="74"/>
      <c r="G937" s="74"/>
      <c r="H937" s="74"/>
      <c r="I937" s="76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5.75" customHeight="1">
      <c r="A938" s="74"/>
      <c r="B938" s="74"/>
      <c r="C938" s="74"/>
      <c r="D938" s="74"/>
      <c r="E938" s="79"/>
      <c r="F938" s="74"/>
      <c r="G938" s="74"/>
      <c r="H938" s="74"/>
      <c r="I938" s="76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5.75" customHeight="1">
      <c r="A939" s="74"/>
      <c r="B939" s="74"/>
      <c r="C939" s="74"/>
      <c r="D939" s="74"/>
      <c r="E939" s="79"/>
      <c r="F939" s="74"/>
      <c r="G939" s="74"/>
      <c r="H939" s="74"/>
      <c r="I939" s="76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5.75" customHeight="1">
      <c r="A940" s="74"/>
      <c r="B940" s="74"/>
      <c r="C940" s="74"/>
      <c r="D940" s="74"/>
      <c r="E940" s="79"/>
      <c r="F940" s="74"/>
      <c r="G940" s="74"/>
      <c r="H940" s="74"/>
      <c r="I940" s="76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5.75" customHeight="1">
      <c r="A941" s="74"/>
      <c r="B941" s="74"/>
      <c r="C941" s="74"/>
      <c r="D941" s="74"/>
      <c r="E941" s="79"/>
      <c r="F941" s="74"/>
      <c r="G941" s="74"/>
      <c r="H941" s="74"/>
      <c r="I941" s="76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5.75" customHeight="1">
      <c r="A942" s="74"/>
      <c r="B942" s="74"/>
      <c r="C942" s="74"/>
      <c r="D942" s="74"/>
      <c r="E942" s="79"/>
      <c r="F942" s="74"/>
      <c r="G942" s="74"/>
      <c r="H942" s="74"/>
      <c r="I942" s="76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5.75" customHeight="1">
      <c r="A943" s="74"/>
      <c r="B943" s="74"/>
      <c r="C943" s="74"/>
      <c r="D943" s="74"/>
      <c r="E943" s="79"/>
      <c r="F943" s="74"/>
      <c r="G943" s="74"/>
      <c r="H943" s="74"/>
      <c r="I943" s="76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5.75" customHeight="1">
      <c r="A944" s="74"/>
      <c r="B944" s="74"/>
      <c r="C944" s="74"/>
      <c r="D944" s="74"/>
      <c r="E944" s="79"/>
      <c r="F944" s="74"/>
      <c r="G944" s="74"/>
      <c r="H944" s="74"/>
      <c r="I944" s="76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5.75" customHeight="1">
      <c r="A945" s="74"/>
      <c r="B945" s="74"/>
      <c r="C945" s="74"/>
      <c r="D945" s="74"/>
      <c r="E945" s="79"/>
      <c r="F945" s="74"/>
      <c r="G945" s="74"/>
      <c r="H945" s="74"/>
      <c r="I945" s="76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5.75" customHeight="1">
      <c r="A946" s="74"/>
      <c r="B946" s="74"/>
      <c r="C946" s="74"/>
      <c r="D946" s="74"/>
      <c r="E946" s="79"/>
      <c r="F946" s="74"/>
      <c r="G946" s="74"/>
      <c r="H946" s="74"/>
      <c r="I946" s="76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5.75" customHeight="1">
      <c r="A947" s="74"/>
      <c r="B947" s="74"/>
      <c r="C947" s="74"/>
      <c r="D947" s="74"/>
      <c r="E947" s="79"/>
      <c r="F947" s="74"/>
      <c r="G947" s="74"/>
      <c r="H947" s="74"/>
      <c r="I947" s="76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5.75" customHeight="1">
      <c r="A948" s="74"/>
      <c r="B948" s="74"/>
      <c r="C948" s="74"/>
      <c r="D948" s="74"/>
      <c r="E948" s="79"/>
      <c r="F948" s="74"/>
      <c r="G948" s="74"/>
      <c r="H948" s="74"/>
      <c r="I948" s="76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5.75" customHeight="1">
      <c r="A949" s="74"/>
      <c r="B949" s="74"/>
      <c r="C949" s="74"/>
      <c r="D949" s="74"/>
      <c r="E949" s="79"/>
      <c r="F949" s="74"/>
      <c r="G949" s="74"/>
      <c r="H949" s="74"/>
      <c r="I949" s="76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5.75" customHeight="1">
      <c r="A950" s="74"/>
      <c r="B950" s="74"/>
      <c r="C950" s="74"/>
      <c r="D950" s="74"/>
      <c r="E950" s="79"/>
      <c r="F950" s="74"/>
      <c r="G950" s="74"/>
      <c r="H950" s="74"/>
      <c r="I950" s="76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5.75" customHeight="1">
      <c r="A951" s="74"/>
      <c r="B951" s="74"/>
      <c r="C951" s="74"/>
      <c r="D951" s="74"/>
      <c r="E951" s="79"/>
      <c r="F951" s="74"/>
      <c r="G951" s="74"/>
      <c r="H951" s="74"/>
      <c r="I951" s="76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5.75" customHeight="1">
      <c r="A952" s="74"/>
      <c r="B952" s="74"/>
      <c r="C952" s="74"/>
      <c r="D952" s="74"/>
      <c r="E952" s="79"/>
      <c r="F952" s="74"/>
      <c r="G952" s="74"/>
      <c r="H952" s="74"/>
      <c r="I952" s="76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5.75" customHeight="1">
      <c r="A953" s="74"/>
      <c r="B953" s="74"/>
      <c r="C953" s="74"/>
      <c r="D953" s="74"/>
      <c r="E953" s="79"/>
      <c r="F953" s="74"/>
      <c r="G953" s="74"/>
      <c r="H953" s="74"/>
      <c r="I953" s="76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5.75" customHeight="1">
      <c r="A954" s="74"/>
      <c r="B954" s="74"/>
      <c r="C954" s="74"/>
      <c r="D954" s="74"/>
      <c r="E954" s="79"/>
      <c r="F954" s="74"/>
      <c r="G954" s="74"/>
      <c r="H954" s="74"/>
      <c r="I954" s="76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5.75" customHeight="1">
      <c r="A955" s="74"/>
      <c r="B955" s="74"/>
      <c r="C955" s="74"/>
      <c r="D955" s="74"/>
      <c r="E955" s="79"/>
      <c r="F955" s="74"/>
      <c r="G955" s="74"/>
      <c r="H955" s="74"/>
      <c r="I955" s="76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5.75" customHeight="1">
      <c r="A956" s="74"/>
      <c r="B956" s="74"/>
      <c r="C956" s="74"/>
      <c r="D956" s="74"/>
      <c r="E956" s="79"/>
      <c r="F956" s="74"/>
      <c r="G956" s="74"/>
      <c r="H956" s="74"/>
      <c r="I956" s="76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5.75" customHeight="1">
      <c r="A957" s="74"/>
      <c r="B957" s="74"/>
      <c r="C957" s="74"/>
      <c r="D957" s="74"/>
      <c r="E957" s="79"/>
      <c r="F957" s="74"/>
      <c r="G957" s="74"/>
      <c r="H957" s="74"/>
      <c r="I957" s="76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5.75" customHeight="1">
      <c r="A958" s="74"/>
      <c r="B958" s="74"/>
      <c r="C958" s="74"/>
      <c r="D958" s="74"/>
      <c r="E958" s="79"/>
      <c r="F958" s="74"/>
      <c r="G958" s="74"/>
      <c r="H958" s="74"/>
      <c r="I958" s="76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5.75" customHeight="1">
      <c r="A959" s="74"/>
      <c r="B959" s="74"/>
      <c r="C959" s="74"/>
      <c r="D959" s="74"/>
      <c r="E959" s="79"/>
      <c r="F959" s="74"/>
      <c r="G959" s="74"/>
      <c r="H959" s="74"/>
      <c r="I959" s="76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5.75" customHeight="1">
      <c r="A960" s="74"/>
      <c r="B960" s="74"/>
      <c r="C960" s="74"/>
      <c r="D960" s="74"/>
      <c r="E960" s="79"/>
      <c r="F960" s="74"/>
      <c r="G960" s="74"/>
      <c r="H960" s="74"/>
      <c r="I960" s="76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5.75" customHeight="1">
      <c r="A961" s="74"/>
      <c r="B961" s="74"/>
      <c r="C961" s="74"/>
      <c r="D961" s="74"/>
      <c r="E961" s="79"/>
      <c r="F961" s="74"/>
      <c r="G961" s="74"/>
      <c r="H961" s="74"/>
      <c r="I961" s="76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5.75" customHeight="1">
      <c r="A962" s="74"/>
      <c r="B962" s="74"/>
      <c r="C962" s="74"/>
      <c r="D962" s="74"/>
      <c r="E962" s="79"/>
      <c r="F962" s="74"/>
      <c r="G962" s="74"/>
      <c r="H962" s="74"/>
      <c r="I962" s="76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5.75" customHeight="1">
      <c r="A963" s="74"/>
      <c r="B963" s="74"/>
      <c r="C963" s="74"/>
      <c r="D963" s="74"/>
      <c r="E963" s="79"/>
      <c r="F963" s="74"/>
      <c r="G963" s="74"/>
      <c r="H963" s="74"/>
      <c r="I963" s="76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5.75" customHeight="1">
      <c r="A964" s="74"/>
      <c r="B964" s="74"/>
      <c r="C964" s="74"/>
      <c r="D964" s="74"/>
      <c r="E964" s="79"/>
      <c r="F964" s="74"/>
      <c r="G964" s="74"/>
      <c r="H964" s="74"/>
      <c r="I964" s="76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5.75" customHeight="1">
      <c r="A965" s="74"/>
      <c r="B965" s="74"/>
      <c r="C965" s="74"/>
      <c r="D965" s="74"/>
      <c r="E965" s="79"/>
      <c r="F965" s="74"/>
      <c r="G965" s="74"/>
      <c r="H965" s="74"/>
      <c r="I965" s="76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5.75" customHeight="1">
      <c r="A966" s="74"/>
      <c r="B966" s="74"/>
      <c r="C966" s="74"/>
      <c r="D966" s="74"/>
      <c r="E966" s="79"/>
      <c r="F966" s="74"/>
      <c r="G966" s="74"/>
      <c r="H966" s="74"/>
      <c r="I966" s="76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5.75" customHeight="1">
      <c r="A967" s="74"/>
      <c r="B967" s="74"/>
      <c r="C967" s="74"/>
      <c r="D967" s="74"/>
      <c r="E967" s="79"/>
      <c r="F967" s="74"/>
      <c r="G967" s="74"/>
      <c r="H967" s="74"/>
      <c r="I967" s="76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5.75" customHeight="1">
      <c r="A968" s="74"/>
      <c r="B968" s="74"/>
      <c r="C968" s="74"/>
      <c r="D968" s="74"/>
      <c r="E968" s="79"/>
      <c r="F968" s="74"/>
      <c r="G968" s="74"/>
      <c r="H968" s="74"/>
      <c r="I968" s="76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5.75" customHeight="1">
      <c r="A969" s="74"/>
      <c r="B969" s="74"/>
      <c r="C969" s="74"/>
      <c r="D969" s="74"/>
      <c r="E969" s="79"/>
      <c r="F969" s="74"/>
      <c r="G969" s="74"/>
      <c r="H969" s="74"/>
      <c r="I969" s="76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5.75" customHeight="1">
      <c r="A970" s="74"/>
      <c r="B970" s="74"/>
      <c r="C970" s="74"/>
      <c r="D970" s="74"/>
      <c r="E970" s="79"/>
      <c r="F970" s="74"/>
      <c r="G970" s="74"/>
      <c r="H970" s="74"/>
      <c r="I970" s="76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5.75" customHeight="1">
      <c r="A971" s="74"/>
      <c r="B971" s="74"/>
      <c r="C971" s="74"/>
      <c r="D971" s="74"/>
      <c r="E971" s="79"/>
      <c r="F971" s="74"/>
      <c r="G971" s="74"/>
      <c r="H971" s="74"/>
      <c r="I971" s="76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5.75" customHeight="1">
      <c r="A972" s="74"/>
      <c r="B972" s="74"/>
      <c r="C972" s="74"/>
      <c r="D972" s="74"/>
      <c r="E972" s="79"/>
      <c r="F972" s="74"/>
      <c r="G972" s="74"/>
      <c r="H972" s="74"/>
      <c r="I972" s="76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5.75" customHeight="1">
      <c r="A973" s="74"/>
      <c r="B973" s="74"/>
      <c r="C973" s="74"/>
      <c r="D973" s="74"/>
      <c r="E973" s="79"/>
      <c r="F973" s="74"/>
      <c r="G973" s="74"/>
      <c r="H973" s="74"/>
      <c r="I973" s="76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5.75" customHeight="1">
      <c r="A974" s="74"/>
      <c r="B974" s="74"/>
      <c r="C974" s="74"/>
      <c r="D974" s="74"/>
      <c r="E974" s="79"/>
      <c r="F974" s="74"/>
      <c r="G974" s="74"/>
      <c r="H974" s="74"/>
      <c r="I974" s="76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5.75" customHeight="1">
      <c r="A975" s="74"/>
      <c r="B975" s="74"/>
      <c r="C975" s="74"/>
      <c r="D975" s="74"/>
      <c r="E975" s="79"/>
      <c r="F975" s="74"/>
      <c r="G975" s="74"/>
      <c r="H975" s="74"/>
      <c r="I975" s="76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5.75" customHeight="1">
      <c r="A976" s="74"/>
      <c r="B976" s="74"/>
      <c r="C976" s="74"/>
      <c r="D976" s="74"/>
      <c r="E976" s="79"/>
      <c r="F976" s="74"/>
      <c r="G976" s="74"/>
      <c r="H976" s="74"/>
      <c r="I976" s="76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5.75" customHeight="1">
      <c r="A977" s="74"/>
      <c r="B977" s="74"/>
      <c r="C977" s="74"/>
      <c r="D977" s="74"/>
      <c r="E977" s="79"/>
      <c r="F977" s="74"/>
      <c r="G977" s="74"/>
      <c r="H977" s="74"/>
      <c r="I977" s="76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5.75" customHeight="1">
      <c r="A978" s="74"/>
      <c r="B978" s="74"/>
      <c r="C978" s="74"/>
      <c r="D978" s="74"/>
      <c r="E978" s="79"/>
      <c r="F978" s="74"/>
      <c r="G978" s="74"/>
      <c r="H978" s="74"/>
      <c r="I978" s="76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5.75" customHeight="1">
      <c r="A979" s="74"/>
      <c r="B979" s="74"/>
      <c r="C979" s="74"/>
      <c r="D979" s="74"/>
      <c r="E979" s="79"/>
      <c r="F979" s="74"/>
      <c r="G979" s="74"/>
      <c r="H979" s="74"/>
      <c r="I979" s="76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5.75" customHeight="1">
      <c r="A980" s="74"/>
      <c r="B980" s="74"/>
      <c r="C980" s="74"/>
      <c r="D980" s="74"/>
      <c r="E980" s="79"/>
      <c r="F980" s="74"/>
      <c r="G980" s="74"/>
      <c r="H980" s="74"/>
      <c r="I980" s="76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5.75" customHeight="1">
      <c r="A981" s="74"/>
      <c r="B981" s="74"/>
      <c r="C981" s="74"/>
      <c r="D981" s="74"/>
      <c r="E981" s="79"/>
      <c r="F981" s="74"/>
      <c r="G981" s="74"/>
      <c r="H981" s="74"/>
      <c r="I981" s="76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5.75" customHeight="1">
      <c r="A982" s="74"/>
      <c r="B982" s="74"/>
      <c r="C982" s="74"/>
      <c r="D982" s="74"/>
      <c r="E982" s="79"/>
      <c r="F982" s="74"/>
      <c r="G982" s="74"/>
      <c r="H982" s="74"/>
      <c r="I982" s="76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5.75" customHeight="1">
      <c r="A983" s="74"/>
      <c r="B983" s="74"/>
      <c r="C983" s="74"/>
      <c r="D983" s="74"/>
      <c r="E983" s="79"/>
      <c r="F983" s="74"/>
      <c r="G983" s="74"/>
      <c r="H983" s="74"/>
      <c r="I983" s="76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5.75" customHeight="1">
      <c r="A984" s="74"/>
      <c r="B984" s="74"/>
      <c r="C984" s="74"/>
      <c r="D984" s="74"/>
      <c r="E984" s="79"/>
      <c r="F984" s="74"/>
      <c r="G984" s="74"/>
      <c r="H984" s="74"/>
      <c r="I984" s="76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5.75" customHeight="1">
      <c r="A985" s="74"/>
      <c r="B985" s="74"/>
      <c r="C985" s="74"/>
      <c r="D985" s="74"/>
      <c r="E985" s="79"/>
      <c r="F985" s="74"/>
      <c r="G985" s="74"/>
      <c r="H985" s="74"/>
      <c r="I985" s="76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5.75" customHeight="1">
      <c r="A986" s="74"/>
      <c r="B986" s="74"/>
      <c r="C986" s="74"/>
      <c r="D986" s="74"/>
      <c r="E986" s="79"/>
      <c r="F986" s="74"/>
      <c r="G986" s="74"/>
      <c r="H986" s="74"/>
      <c r="I986" s="76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5.75" customHeight="1">
      <c r="A987" s="74"/>
      <c r="B987" s="74"/>
      <c r="C987" s="74"/>
      <c r="D987" s="74"/>
      <c r="E987" s="79"/>
      <c r="F987" s="74"/>
      <c r="G987" s="74"/>
      <c r="H987" s="74"/>
      <c r="I987" s="76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5.75" customHeight="1">
      <c r="A988" s="74"/>
      <c r="B988" s="74"/>
      <c r="C988" s="74"/>
      <c r="D988" s="74"/>
      <c r="E988" s="79"/>
      <c r="F988" s="74"/>
      <c r="G988" s="74"/>
      <c r="H988" s="74"/>
      <c r="I988" s="76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5.75" customHeight="1">
      <c r="A989" s="74"/>
      <c r="B989" s="74"/>
      <c r="C989" s="74"/>
      <c r="D989" s="74"/>
      <c r="E989" s="79"/>
      <c r="F989" s="74"/>
      <c r="G989" s="74"/>
      <c r="H989" s="74"/>
      <c r="I989" s="76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5.75" customHeight="1">
      <c r="A990" s="74"/>
      <c r="B990" s="74"/>
      <c r="C990" s="74"/>
      <c r="D990" s="74"/>
      <c r="E990" s="79"/>
      <c r="F990" s="74"/>
      <c r="G990" s="74"/>
      <c r="H990" s="74"/>
      <c r="I990" s="76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5.75" customHeight="1">
      <c r="A991" s="74"/>
      <c r="B991" s="74"/>
      <c r="C991" s="74"/>
      <c r="D991" s="74"/>
      <c r="E991" s="79"/>
      <c r="F991" s="74"/>
      <c r="G991" s="74"/>
      <c r="H991" s="74"/>
      <c r="I991" s="76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5.75" customHeight="1">
      <c r="A992" s="74"/>
      <c r="B992" s="74"/>
      <c r="C992" s="74"/>
      <c r="D992" s="74"/>
      <c r="E992" s="79"/>
      <c r="F992" s="74"/>
      <c r="G992" s="74"/>
      <c r="H992" s="74"/>
      <c r="I992" s="76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5.75" customHeight="1">
      <c r="A993" s="74"/>
      <c r="B993" s="74"/>
      <c r="C993" s="74"/>
      <c r="D993" s="74"/>
      <c r="E993" s="79"/>
      <c r="F993" s="74"/>
      <c r="G993" s="74"/>
      <c r="H993" s="74"/>
      <c r="I993" s="76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5.75" customHeight="1">
      <c r="A994" s="74"/>
      <c r="B994" s="74"/>
      <c r="C994" s="74"/>
      <c r="D994" s="74"/>
      <c r="E994" s="79"/>
      <c r="F994" s="74"/>
      <c r="G994" s="74"/>
      <c r="H994" s="74"/>
      <c r="I994" s="76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5.75" customHeight="1">
      <c r="A995" s="74"/>
      <c r="B995" s="74"/>
      <c r="C995" s="74"/>
      <c r="D995" s="74"/>
      <c r="E995" s="79"/>
      <c r="F995" s="74"/>
      <c r="G995" s="74"/>
      <c r="H995" s="74"/>
      <c r="I995" s="76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5.75" customHeight="1">
      <c r="A996" s="74"/>
      <c r="B996" s="74"/>
      <c r="C996" s="74"/>
      <c r="D996" s="74"/>
      <c r="E996" s="79"/>
      <c r="F996" s="74"/>
      <c r="G996" s="74"/>
      <c r="H996" s="74"/>
      <c r="I996" s="76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5.75" customHeight="1">
      <c r="A997" s="74"/>
      <c r="B997" s="74"/>
      <c r="C997" s="74"/>
      <c r="D997" s="74"/>
      <c r="E997" s="79"/>
      <c r="F997" s="74"/>
      <c r="G997" s="74"/>
      <c r="H997" s="74"/>
      <c r="I997" s="76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5.75" customHeight="1">
      <c r="A998" s="74"/>
      <c r="B998" s="74"/>
      <c r="C998" s="74"/>
      <c r="D998" s="74"/>
      <c r="E998" s="79"/>
      <c r="F998" s="74"/>
      <c r="G998" s="74"/>
      <c r="H998" s="74"/>
      <c r="I998" s="76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5.75" customHeight="1">
      <c r="A999" s="74"/>
      <c r="B999" s="74"/>
      <c r="C999" s="74"/>
      <c r="D999" s="74"/>
      <c r="E999" s="79"/>
      <c r="F999" s="74"/>
      <c r="G999" s="74"/>
      <c r="H999" s="74"/>
      <c r="I999" s="76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</sheetData>
  <dataValidations count="1">
    <dataValidation type="list" allowBlank="1" showErrorMessage="1" sqref="B2:B389" xr:uid="{00000000-0002-0000-0600-000000000000}">
      <formula1>"TRUE,FALSE"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407"/>
  <sheetViews>
    <sheetView showGridLines="0" zoomScaleNormal="100" workbookViewId="0"/>
  </sheetViews>
  <sheetFormatPr defaultColWidth="14.42578125" defaultRowHeight="15"/>
  <cols>
    <col min="1" max="1" width="43.85546875" customWidth="1"/>
    <col min="2" max="2" width="80.140625" customWidth="1"/>
    <col min="3" max="3" width="13.42578125" customWidth="1"/>
    <col min="4" max="4" width="17.5703125" customWidth="1"/>
    <col min="5" max="5" width="19.7109375" customWidth="1"/>
    <col min="6" max="16" width="9.140625" customWidth="1"/>
    <col min="17" max="17" width="16.5703125" customWidth="1"/>
    <col min="19" max="24" width="8" customWidth="1"/>
    <col min="25" max="27" width="7.5703125" customWidth="1"/>
    <col min="28" max="30" width="8" customWidth="1"/>
  </cols>
  <sheetData>
    <row r="1" spans="1:56" ht="15" customHeight="1">
      <c r="A1" s="96" t="s">
        <v>2077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</row>
    <row r="2" spans="1:56" ht="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</row>
    <row r="3" spans="1:56" ht="15" customHeight="1">
      <c r="A3" s="117" t="s">
        <v>0</v>
      </c>
      <c r="B3" s="117" t="s">
        <v>1</v>
      </c>
      <c r="C3" s="117" t="s">
        <v>2</v>
      </c>
      <c r="D3" s="117" t="s">
        <v>3</v>
      </c>
      <c r="E3" s="118" t="s">
        <v>7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9" t="s">
        <v>8</v>
      </c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8" t="s">
        <v>2078</v>
      </c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9" t="s">
        <v>2079</v>
      </c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</row>
    <row r="4" spans="1:56" ht="31.5" customHeight="1">
      <c r="A4" s="117"/>
      <c r="B4" s="117"/>
      <c r="C4" s="117"/>
      <c r="D4" s="117"/>
      <c r="E4" s="81">
        <v>1</v>
      </c>
      <c r="F4" s="81">
        <v>2</v>
      </c>
      <c r="G4" s="81">
        <v>3</v>
      </c>
      <c r="H4" s="81">
        <v>4</v>
      </c>
      <c r="I4" s="81">
        <v>5</v>
      </c>
      <c r="J4" s="81">
        <v>6</v>
      </c>
      <c r="K4" s="81">
        <v>7</v>
      </c>
      <c r="L4" s="81">
        <v>8</v>
      </c>
      <c r="M4" s="81">
        <v>9</v>
      </c>
      <c r="N4" s="81">
        <v>10</v>
      </c>
      <c r="O4" s="81">
        <v>11</v>
      </c>
      <c r="P4" s="81">
        <v>12</v>
      </c>
      <c r="Q4" s="81">
        <v>13</v>
      </c>
      <c r="R4" s="82">
        <v>1</v>
      </c>
      <c r="S4" s="82">
        <v>2</v>
      </c>
      <c r="T4" s="82">
        <v>3</v>
      </c>
      <c r="U4" s="82">
        <v>4</v>
      </c>
      <c r="V4" s="82">
        <v>5</v>
      </c>
      <c r="W4" s="82">
        <v>6</v>
      </c>
      <c r="X4" s="82">
        <v>7</v>
      </c>
      <c r="Y4" s="82">
        <v>8</v>
      </c>
      <c r="Z4" s="82">
        <v>9</v>
      </c>
      <c r="AA4" s="82">
        <v>10</v>
      </c>
      <c r="AB4" s="82">
        <v>11</v>
      </c>
      <c r="AC4" s="82">
        <v>12</v>
      </c>
      <c r="AD4" s="82">
        <v>13</v>
      </c>
      <c r="AE4" s="81">
        <v>1</v>
      </c>
      <c r="AF4" s="81">
        <v>2</v>
      </c>
      <c r="AG4" s="81">
        <v>3</v>
      </c>
      <c r="AH4" s="81">
        <v>4</v>
      </c>
      <c r="AI4" s="81">
        <v>5</v>
      </c>
      <c r="AJ4" s="81">
        <v>6</v>
      </c>
      <c r="AK4" s="81">
        <v>7</v>
      </c>
      <c r="AL4" s="81">
        <v>8</v>
      </c>
      <c r="AM4" s="81">
        <v>9</v>
      </c>
      <c r="AN4" s="81">
        <v>10</v>
      </c>
      <c r="AO4" s="81">
        <v>11</v>
      </c>
      <c r="AP4" s="81">
        <v>12</v>
      </c>
      <c r="AQ4" s="81">
        <v>13</v>
      </c>
      <c r="AR4" s="82">
        <v>1</v>
      </c>
      <c r="AS4" s="82">
        <v>2</v>
      </c>
      <c r="AT4" s="82">
        <v>3</v>
      </c>
      <c r="AU4" s="82">
        <v>4</v>
      </c>
      <c r="AV4" s="82">
        <v>5</v>
      </c>
      <c r="AW4" s="82">
        <v>6</v>
      </c>
      <c r="AX4" s="82">
        <v>7</v>
      </c>
      <c r="AY4" s="82">
        <v>8</v>
      </c>
      <c r="AZ4" s="82">
        <v>9</v>
      </c>
      <c r="BA4" s="82">
        <v>10</v>
      </c>
      <c r="BB4" s="82">
        <v>11</v>
      </c>
      <c r="BC4" s="82">
        <v>12</v>
      </c>
      <c r="BD4" s="82">
        <v>13</v>
      </c>
    </row>
    <row r="5" spans="1:56" ht="15.75" customHeight="1">
      <c r="A5" s="77" t="s">
        <v>13</v>
      </c>
      <c r="B5" s="77" t="s">
        <v>14</v>
      </c>
      <c r="C5" s="77">
        <v>2661902</v>
      </c>
      <c r="D5" s="77" t="s">
        <v>15</v>
      </c>
      <c r="E5" s="83">
        <v>1513.01</v>
      </c>
      <c r="F5" s="83">
        <v>1530.02</v>
      </c>
      <c r="G5" s="83">
        <v>1532.98</v>
      </c>
      <c r="H5" s="83">
        <v>1796.89</v>
      </c>
      <c r="I5" s="83">
        <v>1454.73</v>
      </c>
      <c r="J5" s="83">
        <v>1540.35</v>
      </c>
      <c r="K5" s="83">
        <v>1323.63</v>
      </c>
      <c r="L5" s="83">
        <v>1063.82</v>
      </c>
      <c r="M5" s="83">
        <v>1181.19</v>
      </c>
      <c r="N5" s="83">
        <v>1242.1099999999999</v>
      </c>
      <c r="O5" s="83">
        <v>1751.84</v>
      </c>
      <c r="P5" s="83">
        <v>1868.33</v>
      </c>
      <c r="Q5" s="83">
        <v>1881.94</v>
      </c>
      <c r="R5" s="84">
        <v>14074.2</v>
      </c>
      <c r="S5" s="84">
        <v>14307.3</v>
      </c>
      <c r="T5" s="84">
        <v>14414.4</v>
      </c>
      <c r="U5" s="84">
        <v>17488.8</v>
      </c>
      <c r="V5" s="84">
        <v>15334.2</v>
      </c>
      <c r="W5" s="84">
        <v>13343.4</v>
      </c>
      <c r="X5" s="84">
        <v>12833.1</v>
      </c>
      <c r="Y5" s="84">
        <v>9147.6</v>
      </c>
      <c r="Z5" s="84">
        <v>9771.2999999999993</v>
      </c>
      <c r="AA5" s="84">
        <v>11655</v>
      </c>
      <c r="AB5" s="84">
        <v>15794.1</v>
      </c>
      <c r="AC5" s="84">
        <v>16543.8</v>
      </c>
      <c r="AD5" s="84">
        <v>18263.7</v>
      </c>
      <c r="AE5" s="85">
        <f t="shared" ref="AE5:AQ6" si="0">E5*(0.58796+2.60673)</f>
        <v>4833.5979169000011</v>
      </c>
      <c r="AF5" s="85">
        <f t="shared" si="0"/>
        <v>4887.9395938000007</v>
      </c>
      <c r="AG5" s="85">
        <f t="shared" si="0"/>
        <v>4897.3958762000011</v>
      </c>
      <c r="AH5" s="85">
        <f t="shared" si="0"/>
        <v>5740.5065141000014</v>
      </c>
      <c r="AI5" s="85">
        <f t="shared" si="0"/>
        <v>4647.4113837000004</v>
      </c>
      <c r="AJ5" s="85">
        <f t="shared" si="0"/>
        <v>4920.9407415000005</v>
      </c>
      <c r="AK5" s="85">
        <f t="shared" si="0"/>
        <v>4228.5875247000013</v>
      </c>
      <c r="AL5" s="85">
        <f t="shared" si="0"/>
        <v>3398.5751158000003</v>
      </c>
      <c r="AM5" s="85">
        <f t="shared" si="0"/>
        <v>3773.5358811000006</v>
      </c>
      <c r="AN5" s="85">
        <f t="shared" si="0"/>
        <v>3968.1563959000005</v>
      </c>
      <c r="AO5" s="85">
        <f t="shared" si="0"/>
        <v>5596.5857296000004</v>
      </c>
      <c r="AP5" s="85">
        <f t="shared" si="0"/>
        <v>5968.7351677000006</v>
      </c>
      <c r="AQ5" s="85">
        <f t="shared" si="0"/>
        <v>6012.2148986000011</v>
      </c>
      <c r="AR5" s="86">
        <f t="shared" ref="AR5:AR35" si="1">R5*(0.37426+0.20376)</f>
        <v>8135.1690840000001</v>
      </c>
      <c r="AS5" s="86">
        <f t="shared" ref="AS5:AS35" si="2">S5*(0.37426+0.20376)</f>
        <v>8269.905546</v>
      </c>
      <c r="AT5" s="86">
        <f t="shared" ref="AT5:AT35" si="3">T5*(0.37426+0.20376)</f>
        <v>8331.8114879999994</v>
      </c>
      <c r="AU5" s="86">
        <f t="shared" ref="AU5:AU35" si="4">U5*(0.37426+0.20376)</f>
        <v>10108.876176</v>
      </c>
      <c r="AV5" s="86">
        <f t="shared" ref="AV5:AV35" si="5">V5*(0.37426+0.20376)</f>
        <v>8863.4742839999999</v>
      </c>
      <c r="AW5" s="86">
        <f t="shared" ref="AW5:AW35" si="6">W5*(0.37426+0.20376)</f>
        <v>7712.7520679999998</v>
      </c>
      <c r="AX5" s="86">
        <f t="shared" ref="AX5:AX35" si="7">X5*(0.37426+0.20376)</f>
        <v>7417.7884619999995</v>
      </c>
      <c r="AY5" s="86">
        <f t="shared" ref="AY5:AY35" si="8">Y5*(0.37426+0.20376)</f>
        <v>5287.4957519999998</v>
      </c>
      <c r="AZ5" s="86">
        <f t="shared" ref="AZ5:AZ35" si="9">Z5*(0.37426+0.20376)</f>
        <v>5648.0068259999998</v>
      </c>
      <c r="BA5" s="86">
        <f t="shared" ref="BA5:BA35" si="10">AA5*(0.37426+0.20376)</f>
        <v>6736.8230999999996</v>
      </c>
      <c r="BB5" s="86">
        <f t="shared" ref="BB5:BB35" si="11">AB5*(0.37426+0.20376)</f>
        <v>9129.3056820000002</v>
      </c>
      <c r="BC5" s="86">
        <f t="shared" ref="BC5:BC35" si="12">AC5*(0.37426+0.20376)</f>
        <v>9562.6472759999997</v>
      </c>
      <c r="BD5" s="86">
        <f t="shared" ref="BD5:BD35" si="13">AD5*(0.37426+0.20376)</f>
        <v>10556.783874000001</v>
      </c>
    </row>
    <row r="6" spans="1:56" ht="30" customHeight="1">
      <c r="A6" s="77" t="s">
        <v>17</v>
      </c>
      <c r="B6" s="77" t="s">
        <v>18</v>
      </c>
      <c r="C6" s="77">
        <v>26202</v>
      </c>
      <c r="D6" s="77" t="s">
        <v>15</v>
      </c>
      <c r="E6" s="83">
        <v>23224</v>
      </c>
      <c r="F6" s="83">
        <v>24052</v>
      </c>
      <c r="G6" s="83">
        <v>26064</v>
      </c>
      <c r="H6" s="83">
        <v>24556</v>
      </c>
      <c r="I6" s="83">
        <v>20740</v>
      </c>
      <c r="J6" s="83">
        <v>24076</v>
      </c>
      <c r="K6" s="83">
        <v>21994</v>
      </c>
      <c r="L6" s="83">
        <v>20010</v>
      </c>
      <c r="M6" s="83">
        <v>21434</v>
      </c>
      <c r="N6" s="83">
        <v>17839</v>
      </c>
      <c r="O6" s="83">
        <v>23043</v>
      </c>
      <c r="P6" s="83">
        <v>24701</v>
      </c>
      <c r="Q6" s="83">
        <v>25448</v>
      </c>
      <c r="R6" s="84">
        <v>261177</v>
      </c>
      <c r="S6" s="84">
        <v>238455</v>
      </c>
      <c r="T6" s="84">
        <v>253827</v>
      </c>
      <c r="U6" s="84">
        <v>253995</v>
      </c>
      <c r="V6" s="84">
        <v>224343</v>
      </c>
      <c r="W6" s="84">
        <v>222831</v>
      </c>
      <c r="X6" s="84">
        <v>213213</v>
      </c>
      <c r="Y6" s="84">
        <v>190386</v>
      </c>
      <c r="Z6" s="84">
        <v>196980</v>
      </c>
      <c r="AA6" s="84">
        <v>190113</v>
      </c>
      <c r="AB6" s="84">
        <v>238329</v>
      </c>
      <c r="AC6" s="84">
        <v>238539</v>
      </c>
      <c r="AD6" s="84">
        <v>263865</v>
      </c>
      <c r="AE6" s="85">
        <f t="shared" si="0"/>
        <v>74193.480560000011</v>
      </c>
      <c r="AF6" s="85">
        <f t="shared" si="0"/>
        <v>76838.683880000011</v>
      </c>
      <c r="AG6" s="85">
        <f t="shared" si="0"/>
        <v>83266.400160000019</v>
      </c>
      <c r="AH6" s="85">
        <f t="shared" si="0"/>
        <v>78448.807640000014</v>
      </c>
      <c r="AI6" s="85">
        <f t="shared" si="0"/>
        <v>66257.870600000009</v>
      </c>
      <c r="AJ6" s="85">
        <f t="shared" si="0"/>
        <v>76915.356440000018</v>
      </c>
      <c r="AK6" s="85">
        <f t="shared" si="0"/>
        <v>70264.011860000013</v>
      </c>
      <c r="AL6" s="85">
        <f t="shared" si="0"/>
        <v>63925.746900000013</v>
      </c>
      <c r="AM6" s="85">
        <f t="shared" si="0"/>
        <v>68474.985460000011</v>
      </c>
      <c r="AN6" s="85">
        <f t="shared" si="0"/>
        <v>56990.07491000001</v>
      </c>
      <c r="AO6" s="85">
        <f t="shared" si="0"/>
        <v>73615.241670000018</v>
      </c>
      <c r="AP6" s="85">
        <f t="shared" si="0"/>
        <v>78912.037690000012</v>
      </c>
      <c r="AQ6" s="85">
        <f t="shared" si="0"/>
        <v>81298.471120000017</v>
      </c>
      <c r="AR6" s="86">
        <f t="shared" si="1"/>
        <v>150965.52953999999</v>
      </c>
      <c r="AS6" s="86">
        <f t="shared" si="2"/>
        <v>137831.7591</v>
      </c>
      <c r="AT6" s="86">
        <f t="shared" si="3"/>
        <v>146717.08254</v>
      </c>
      <c r="AU6" s="86">
        <f t="shared" si="4"/>
        <v>146814.1899</v>
      </c>
      <c r="AV6" s="86">
        <f t="shared" si="5"/>
        <v>129674.74085999999</v>
      </c>
      <c r="AW6" s="86">
        <f t="shared" si="6"/>
        <v>128800.77462</v>
      </c>
      <c r="AX6" s="86">
        <f t="shared" si="7"/>
        <v>123241.37826</v>
      </c>
      <c r="AY6" s="86">
        <f t="shared" si="8"/>
        <v>110046.91571999999</v>
      </c>
      <c r="AZ6" s="86">
        <f t="shared" si="9"/>
        <v>113858.3796</v>
      </c>
      <c r="BA6" s="86">
        <f t="shared" si="10"/>
        <v>109889.11626</v>
      </c>
      <c r="BB6" s="86">
        <f t="shared" si="11"/>
        <v>137758.92858000001</v>
      </c>
      <c r="BC6" s="86">
        <f t="shared" si="12"/>
        <v>137880.31278000001</v>
      </c>
      <c r="BD6" s="86">
        <f t="shared" si="13"/>
        <v>152519.24729999999</v>
      </c>
    </row>
    <row r="7" spans="1:56">
      <c r="A7" s="77" t="s">
        <v>17</v>
      </c>
      <c r="B7" s="77" t="s">
        <v>19</v>
      </c>
      <c r="C7" s="77">
        <v>3850</v>
      </c>
      <c r="D7" s="77" t="s">
        <v>2080</v>
      </c>
      <c r="E7" s="83">
        <v>17479.560000000001</v>
      </c>
      <c r="F7" s="83">
        <v>18203.43</v>
      </c>
      <c r="G7" s="83">
        <v>19392.87</v>
      </c>
      <c r="H7" s="83">
        <v>17568.810000000001</v>
      </c>
      <c r="I7" s="83">
        <v>15260.91</v>
      </c>
      <c r="J7" s="83">
        <v>17226.09</v>
      </c>
      <c r="K7" s="83">
        <v>15440.88</v>
      </c>
      <c r="L7" s="83">
        <v>14131.74</v>
      </c>
      <c r="M7" s="83">
        <v>15322.23</v>
      </c>
      <c r="N7" s="83">
        <v>14759.43</v>
      </c>
      <c r="O7" s="83">
        <v>17830.47</v>
      </c>
      <c r="P7" s="83">
        <v>18836.580000000002</v>
      </c>
      <c r="Q7" s="83">
        <v>19126.59</v>
      </c>
      <c r="R7" s="84">
        <v>201306</v>
      </c>
      <c r="S7" s="84">
        <v>189588</v>
      </c>
      <c r="T7" s="84">
        <v>198387</v>
      </c>
      <c r="U7" s="84">
        <v>192339</v>
      </c>
      <c r="V7" s="84">
        <v>176547</v>
      </c>
      <c r="W7" s="84">
        <v>168840</v>
      </c>
      <c r="X7" s="84">
        <v>163569</v>
      </c>
      <c r="Y7" s="84">
        <v>142653</v>
      </c>
      <c r="Z7" s="84">
        <v>147945</v>
      </c>
      <c r="AA7" s="84">
        <v>157563</v>
      </c>
      <c r="AB7" s="84">
        <v>186627</v>
      </c>
      <c r="AC7" s="84">
        <v>185724</v>
      </c>
      <c r="AD7" s="84">
        <v>204855</v>
      </c>
      <c r="AE7" s="85">
        <f t="shared" ref="AE7:AQ7" si="14">E7*(0.58799+0.20376)</f>
        <v>13839.441629999999</v>
      </c>
      <c r="AF7" s="85">
        <f t="shared" si="14"/>
        <v>14412.5657025</v>
      </c>
      <c r="AG7" s="85">
        <f t="shared" si="14"/>
        <v>15354.304822499998</v>
      </c>
      <c r="AH7" s="85">
        <f t="shared" si="14"/>
        <v>13910.1053175</v>
      </c>
      <c r="AI7" s="85">
        <f t="shared" si="14"/>
        <v>12082.825492499998</v>
      </c>
      <c r="AJ7" s="85">
        <f t="shared" si="14"/>
        <v>13638.756757499999</v>
      </c>
      <c r="AK7" s="85">
        <f t="shared" si="14"/>
        <v>12225.316739999998</v>
      </c>
      <c r="AL7" s="85">
        <f t="shared" si="14"/>
        <v>11188.805144999998</v>
      </c>
      <c r="AM7" s="85">
        <f t="shared" si="14"/>
        <v>12131.375602499998</v>
      </c>
      <c r="AN7" s="85">
        <f t="shared" si="14"/>
        <v>11685.7787025</v>
      </c>
      <c r="AO7" s="85">
        <f t="shared" si="14"/>
        <v>14117.274622500001</v>
      </c>
      <c r="AP7" s="85">
        <f t="shared" si="14"/>
        <v>14913.862215000001</v>
      </c>
      <c r="AQ7" s="85">
        <f t="shared" si="14"/>
        <v>15143.477632499998</v>
      </c>
      <c r="AR7" s="86">
        <f t="shared" si="1"/>
        <v>116358.89412</v>
      </c>
      <c r="AS7" s="86">
        <f t="shared" si="2"/>
        <v>109585.65575999999</v>
      </c>
      <c r="AT7" s="86">
        <f t="shared" si="3"/>
        <v>114671.65373999999</v>
      </c>
      <c r="AU7" s="86">
        <f t="shared" si="4"/>
        <v>111175.78878</v>
      </c>
      <c r="AV7" s="86">
        <f t="shared" si="5"/>
        <v>102047.69693999999</v>
      </c>
      <c r="AW7" s="86">
        <f t="shared" si="6"/>
        <v>97592.896800000002</v>
      </c>
      <c r="AX7" s="86">
        <f t="shared" si="7"/>
        <v>94546.153380000003</v>
      </c>
      <c r="AY7" s="86">
        <f t="shared" si="8"/>
        <v>82456.287060000002</v>
      </c>
      <c r="AZ7" s="86">
        <f t="shared" si="9"/>
        <v>85515.16889999999</v>
      </c>
      <c r="BA7" s="86">
        <f t="shared" si="10"/>
        <v>91074.565260000003</v>
      </c>
      <c r="BB7" s="86">
        <f t="shared" si="11"/>
        <v>107874.13854</v>
      </c>
      <c r="BC7" s="86">
        <f t="shared" si="12"/>
        <v>107352.18647999999</v>
      </c>
      <c r="BD7" s="86">
        <f t="shared" si="13"/>
        <v>118410.2871</v>
      </c>
    </row>
    <row r="8" spans="1:56">
      <c r="A8" s="77" t="s">
        <v>17</v>
      </c>
      <c r="B8" s="77" t="s">
        <v>20</v>
      </c>
      <c r="C8" s="77">
        <v>3851</v>
      </c>
      <c r="D8" s="77" t="s">
        <v>15</v>
      </c>
      <c r="E8" s="83">
        <v>5078.6400000000003</v>
      </c>
      <c r="F8" s="83">
        <v>5662.44</v>
      </c>
      <c r="G8" s="83">
        <v>5670.84</v>
      </c>
      <c r="H8" s="83">
        <v>5170.2</v>
      </c>
      <c r="I8" s="83">
        <v>4143.72</v>
      </c>
      <c r="J8" s="83">
        <v>4569.6000000000004</v>
      </c>
      <c r="K8" s="83">
        <v>4174.8</v>
      </c>
      <c r="L8" s="83">
        <v>3599.4</v>
      </c>
      <c r="M8" s="83">
        <v>3811.92</v>
      </c>
      <c r="N8" s="83">
        <v>3603.6</v>
      </c>
      <c r="O8" s="83">
        <v>4535.16</v>
      </c>
      <c r="P8" s="83">
        <v>5102.16</v>
      </c>
      <c r="Q8" s="83">
        <v>4919.04</v>
      </c>
      <c r="R8" s="84">
        <v>57204</v>
      </c>
      <c r="S8" s="84">
        <v>59472</v>
      </c>
      <c r="T8" s="84">
        <v>57288</v>
      </c>
      <c r="U8" s="84">
        <v>54600</v>
      </c>
      <c r="V8" s="84">
        <v>45864</v>
      </c>
      <c r="W8" s="84">
        <v>42924</v>
      </c>
      <c r="X8" s="84">
        <v>42672</v>
      </c>
      <c r="Y8" s="84">
        <v>35196</v>
      </c>
      <c r="Z8" s="84">
        <v>34776</v>
      </c>
      <c r="AA8" s="84">
        <v>37884</v>
      </c>
      <c r="AB8" s="84">
        <v>47292</v>
      </c>
      <c r="AC8" s="84">
        <v>49728</v>
      </c>
      <c r="AD8" s="84">
        <v>52836</v>
      </c>
      <c r="AE8" s="85">
        <f t="shared" ref="AE8:AE27" si="15">E8*(0.58796+2.60673)</f>
        <v>16224.680421600004</v>
      </c>
      <c r="AF8" s="85">
        <f t="shared" ref="AF8:AF27" si="16">F8*(0.58796+2.60673)</f>
        <v>18089.7404436</v>
      </c>
      <c r="AG8" s="85">
        <f t="shared" ref="AG8:AG27" si="17">G8*(0.58796+2.60673)</f>
        <v>18116.575839600002</v>
      </c>
      <c r="AH8" s="85">
        <f t="shared" ref="AH8:AH27" si="18">H8*(0.58796+2.60673)</f>
        <v>16517.186238000002</v>
      </c>
      <c r="AI8" s="85">
        <f t="shared" ref="AI8:AI27" si="19">I8*(0.58796+2.60673)</f>
        <v>13237.900846800003</v>
      </c>
      <c r="AJ8" s="85">
        <f t="shared" ref="AJ8:AJ27" si="20">J8*(0.58796+2.60673)</f>
        <v>14598.455424000003</v>
      </c>
      <c r="AK8" s="85">
        <f t="shared" ref="AK8:AK27" si="21">K8*(0.58796+2.60673)</f>
        <v>13337.191812000003</v>
      </c>
      <c r="AL8" s="85">
        <f t="shared" ref="AL8:AL27" si="22">L8*(0.58796+2.60673)</f>
        <v>11498.967186000002</v>
      </c>
      <c r="AM8" s="85">
        <f t="shared" ref="AM8:AM27" si="23">M8*(0.58796+2.60673)</f>
        <v>12177.902704800003</v>
      </c>
      <c r="AN8" s="85">
        <f t="shared" ref="AN8:AN27" si="24">N8*(0.58796+2.60673)</f>
        <v>11512.384884000001</v>
      </c>
      <c r="AO8" s="85">
        <f t="shared" ref="AO8:AO27" si="25">O8*(0.58796+2.60673)</f>
        <v>14488.430300400001</v>
      </c>
      <c r="AP8" s="85">
        <f t="shared" ref="AP8:AP27" si="26">P8*(0.58796+2.60673)</f>
        <v>16299.819530400002</v>
      </c>
      <c r="AQ8" s="85">
        <f t="shared" ref="AQ8:AQ27" si="27">Q8*(0.58796+2.60673)</f>
        <v>15714.807897600002</v>
      </c>
      <c r="AR8" s="86">
        <f t="shared" si="1"/>
        <v>33065.056080000002</v>
      </c>
      <c r="AS8" s="86">
        <f t="shared" si="2"/>
        <v>34376.005440000001</v>
      </c>
      <c r="AT8" s="86">
        <f t="shared" si="3"/>
        <v>33113.609759999999</v>
      </c>
      <c r="AU8" s="86">
        <f t="shared" si="4"/>
        <v>31559.892</v>
      </c>
      <c r="AV8" s="86">
        <f t="shared" si="5"/>
        <v>26510.309279999998</v>
      </c>
      <c r="AW8" s="86">
        <f t="shared" si="6"/>
        <v>24810.930479999999</v>
      </c>
      <c r="AX8" s="86">
        <f t="shared" si="7"/>
        <v>24665.26944</v>
      </c>
      <c r="AY8" s="86">
        <f t="shared" si="8"/>
        <v>20343.99192</v>
      </c>
      <c r="AZ8" s="86">
        <f t="shared" si="9"/>
        <v>20101.22352</v>
      </c>
      <c r="BA8" s="86">
        <f t="shared" si="10"/>
        <v>21897.70968</v>
      </c>
      <c r="BB8" s="86">
        <f t="shared" si="11"/>
        <v>27335.721839999998</v>
      </c>
      <c r="BC8" s="86">
        <f t="shared" si="12"/>
        <v>28743.778559999999</v>
      </c>
      <c r="BD8" s="86">
        <f t="shared" si="13"/>
        <v>30540.264719999999</v>
      </c>
    </row>
    <row r="9" spans="1:56">
      <c r="A9" s="77" t="s">
        <v>17</v>
      </c>
      <c r="B9" s="77" t="s">
        <v>21</v>
      </c>
      <c r="C9" s="77">
        <v>2876469</v>
      </c>
      <c r="D9" s="77" t="s">
        <v>15</v>
      </c>
      <c r="E9" s="83">
        <v>207.48</v>
      </c>
      <c r="F9" s="83">
        <v>224.28</v>
      </c>
      <c r="G9" s="83">
        <v>239.82</v>
      </c>
      <c r="H9" s="83">
        <v>233.1</v>
      </c>
      <c r="I9" s="83">
        <v>199.92</v>
      </c>
      <c r="J9" s="83">
        <v>243.18</v>
      </c>
      <c r="K9" s="83">
        <v>197.4</v>
      </c>
      <c r="L9" s="83">
        <v>158.76</v>
      </c>
      <c r="M9" s="83">
        <v>176.4</v>
      </c>
      <c r="N9" s="83">
        <v>148.68</v>
      </c>
      <c r="O9" s="83">
        <v>170.52</v>
      </c>
      <c r="P9" s="83">
        <v>181.86</v>
      </c>
      <c r="Q9" s="83">
        <v>213.36</v>
      </c>
      <c r="R9" s="84">
        <v>2142</v>
      </c>
      <c r="S9" s="84">
        <v>2016</v>
      </c>
      <c r="T9" s="84">
        <v>2142</v>
      </c>
      <c r="U9" s="84">
        <v>2142</v>
      </c>
      <c r="V9" s="84">
        <v>2016</v>
      </c>
      <c r="W9" s="84">
        <v>1932</v>
      </c>
      <c r="X9" s="84">
        <v>1848</v>
      </c>
      <c r="Y9" s="84">
        <v>1554</v>
      </c>
      <c r="Z9" s="84">
        <v>1638</v>
      </c>
      <c r="AA9" s="84">
        <v>1680</v>
      </c>
      <c r="AB9" s="84">
        <v>1848</v>
      </c>
      <c r="AC9" s="84">
        <v>1764</v>
      </c>
      <c r="AD9" s="84">
        <v>2100</v>
      </c>
      <c r="AE9" s="85">
        <f t="shared" si="15"/>
        <v>662.83428120000008</v>
      </c>
      <c r="AF9" s="85">
        <f t="shared" si="16"/>
        <v>716.50507320000008</v>
      </c>
      <c r="AG9" s="85">
        <f t="shared" si="17"/>
        <v>766.15055580000012</v>
      </c>
      <c r="AH9" s="85">
        <f t="shared" si="18"/>
        <v>744.6822390000001</v>
      </c>
      <c r="AI9" s="85">
        <f t="shared" si="19"/>
        <v>638.68242480000004</v>
      </c>
      <c r="AJ9" s="85">
        <f t="shared" si="20"/>
        <v>776.88471420000019</v>
      </c>
      <c r="AK9" s="85">
        <f t="shared" si="21"/>
        <v>630.6318060000001</v>
      </c>
      <c r="AL9" s="85">
        <f t="shared" si="22"/>
        <v>507.18898440000004</v>
      </c>
      <c r="AM9" s="85">
        <f t="shared" si="23"/>
        <v>563.54331600000012</v>
      </c>
      <c r="AN9" s="85">
        <f t="shared" si="24"/>
        <v>474.98650920000011</v>
      </c>
      <c r="AO9" s="85">
        <f t="shared" si="25"/>
        <v>544.75853880000011</v>
      </c>
      <c r="AP9" s="85">
        <f t="shared" si="26"/>
        <v>580.98632340000017</v>
      </c>
      <c r="AQ9" s="85">
        <f t="shared" si="27"/>
        <v>681.6190584000002</v>
      </c>
      <c r="AR9" s="86">
        <f t="shared" si="1"/>
        <v>1238.1188399999999</v>
      </c>
      <c r="AS9" s="86">
        <f t="shared" si="2"/>
        <v>1165.2883199999999</v>
      </c>
      <c r="AT9" s="86">
        <f t="shared" si="3"/>
        <v>1238.1188399999999</v>
      </c>
      <c r="AU9" s="86">
        <f t="shared" si="4"/>
        <v>1238.1188399999999</v>
      </c>
      <c r="AV9" s="86">
        <f t="shared" si="5"/>
        <v>1165.2883199999999</v>
      </c>
      <c r="AW9" s="86">
        <f t="shared" si="6"/>
        <v>1116.7346399999999</v>
      </c>
      <c r="AX9" s="86">
        <f t="shared" si="7"/>
        <v>1068.1809599999999</v>
      </c>
      <c r="AY9" s="86">
        <f t="shared" si="8"/>
        <v>898.24307999999996</v>
      </c>
      <c r="AZ9" s="86">
        <f t="shared" si="9"/>
        <v>946.79675999999995</v>
      </c>
      <c r="BA9" s="86">
        <f t="shared" si="10"/>
        <v>971.07359999999994</v>
      </c>
      <c r="BB9" s="86">
        <f t="shared" si="11"/>
        <v>1068.1809599999999</v>
      </c>
      <c r="BC9" s="86">
        <f t="shared" si="12"/>
        <v>1019.6272799999999</v>
      </c>
      <c r="BD9" s="86">
        <f t="shared" si="13"/>
        <v>1213.8419999999999</v>
      </c>
    </row>
    <row r="10" spans="1:56">
      <c r="A10" s="77" t="s">
        <v>17</v>
      </c>
      <c r="B10" s="77" t="s">
        <v>22</v>
      </c>
      <c r="C10" s="77">
        <v>8354881</v>
      </c>
      <c r="D10" s="77" t="s">
        <v>15</v>
      </c>
      <c r="E10" s="83">
        <v>133.13999999999999</v>
      </c>
      <c r="F10" s="83">
        <v>141.33000000000001</v>
      </c>
      <c r="G10" s="83">
        <v>155.19</v>
      </c>
      <c r="H10" s="83">
        <v>145.53</v>
      </c>
      <c r="I10" s="83">
        <v>128.1</v>
      </c>
      <c r="J10" s="83">
        <v>167.16</v>
      </c>
      <c r="K10" s="83">
        <v>161.28</v>
      </c>
      <c r="L10" s="83">
        <v>134.61000000000001</v>
      </c>
      <c r="M10" s="83">
        <v>141.33000000000001</v>
      </c>
      <c r="N10" s="83">
        <v>146.37</v>
      </c>
      <c r="O10" s="83">
        <v>295.47000000000003</v>
      </c>
      <c r="P10" s="83">
        <v>464.73</v>
      </c>
      <c r="Q10" s="83">
        <v>443.73</v>
      </c>
      <c r="R10" s="84">
        <v>2142</v>
      </c>
      <c r="S10" s="84">
        <v>2184</v>
      </c>
      <c r="T10" s="84">
        <v>2289</v>
      </c>
      <c r="U10" s="84">
        <v>2268</v>
      </c>
      <c r="V10" s="84">
        <v>1995</v>
      </c>
      <c r="W10" s="84">
        <v>2016</v>
      </c>
      <c r="X10" s="84">
        <v>1995</v>
      </c>
      <c r="Y10" s="84">
        <v>1617</v>
      </c>
      <c r="Z10" s="84">
        <v>1554</v>
      </c>
      <c r="AA10" s="84">
        <v>1785</v>
      </c>
      <c r="AB10" s="84">
        <v>3549</v>
      </c>
      <c r="AC10" s="84">
        <v>4809</v>
      </c>
      <c r="AD10" s="84">
        <v>5313</v>
      </c>
      <c r="AE10" s="85">
        <f t="shared" si="15"/>
        <v>425.34102660000002</v>
      </c>
      <c r="AF10" s="85">
        <f t="shared" si="16"/>
        <v>451.5055377000001</v>
      </c>
      <c r="AG10" s="85">
        <f t="shared" si="17"/>
        <v>495.78394110000005</v>
      </c>
      <c r="AH10" s="85">
        <f t="shared" si="18"/>
        <v>464.92323570000008</v>
      </c>
      <c r="AI10" s="85">
        <f t="shared" si="19"/>
        <v>409.23978900000003</v>
      </c>
      <c r="AJ10" s="85">
        <f t="shared" si="20"/>
        <v>534.02438040000004</v>
      </c>
      <c r="AK10" s="85">
        <f t="shared" si="21"/>
        <v>515.23960320000003</v>
      </c>
      <c r="AL10" s="85">
        <f t="shared" si="22"/>
        <v>430.03722090000008</v>
      </c>
      <c r="AM10" s="85">
        <f t="shared" si="23"/>
        <v>451.5055377000001</v>
      </c>
      <c r="AN10" s="85">
        <f t="shared" si="24"/>
        <v>467.60677530000009</v>
      </c>
      <c r="AO10" s="85">
        <f t="shared" si="25"/>
        <v>943.93505430000027</v>
      </c>
      <c r="AP10" s="85">
        <f t="shared" si="26"/>
        <v>1484.6682837000003</v>
      </c>
      <c r="AQ10" s="85">
        <f t="shared" si="27"/>
        <v>1417.5797937000002</v>
      </c>
      <c r="AR10" s="86">
        <f t="shared" si="1"/>
        <v>1238.1188399999999</v>
      </c>
      <c r="AS10" s="86">
        <f t="shared" si="2"/>
        <v>1262.3956799999999</v>
      </c>
      <c r="AT10" s="86">
        <f t="shared" si="3"/>
        <v>1323.0877799999998</v>
      </c>
      <c r="AU10" s="86">
        <f t="shared" si="4"/>
        <v>1310.9493599999998</v>
      </c>
      <c r="AV10" s="86">
        <f t="shared" si="5"/>
        <v>1153.1498999999999</v>
      </c>
      <c r="AW10" s="86">
        <f t="shared" si="6"/>
        <v>1165.2883199999999</v>
      </c>
      <c r="AX10" s="86">
        <f t="shared" si="7"/>
        <v>1153.1498999999999</v>
      </c>
      <c r="AY10" s="86">
        <f t="shared" si="8"/>
        <v>934.65833999999995</v>
      </c>
      <c r="AZ10" s="86">
        <f t="shared" si="9"/>
        <v>898.24307999999996</v>
      </c>
      <c r="BA10" s="86">
        <f t="shared" si="10"/>
        <v>1031.7656999999999</v>
      </c>
      <c r="BB10" s="86">
        <f t="shared" si="11"/>
        <v>2051.3929800000001</v>
      </c>
      <c r="BC10" s="86">
        <f t="shared" si="12"/>
        <v>2779.6981799999999</v>
      </c>
      <c r="BD10" s="86">
        <f t="shared" si="13"/>
        <v>3071.0202599999998</v>
      </c>
    </row>
    <row r="11" spans="1:56">
      <c r="A11" s="77" t="s">
        <v>17</v>
      </c>
      <c r="B11" s="77" t="s">
        <v>28</v>
      </c>
      <c r="C11" s="77">
        <v>26421</v>
      </c>
      <c r="D11" s="77" t="s">
        <v>15</v>
      </c>
      <c r="E11" s="83">
        <v>23.02</v>
      </c>
      <c r="F11" s="83">
        <v>23.14</v>
      </c>
      <c r="G11" s="83">
        <v>25.45</v>
      </c>
      <c r="H11" s="83">
        <v>24.44</v>
      </c>
      <c r="I11" s="83">
        <v>21.88</v>
      </c>
      <c r="J11" s="83">
        <v>27.09</v>
      </c>
      <c r="K11" s="83">
        <v>24.78</v>
      </c>
      <c r="L11" s="83">
        <v>25.79</v>
      </c>
      <c r="M11" s="83">
        <v>27.85</v>
      </c>
      <c r="N11" s="83">
        <v>23.9</v>
      </c>
      <c r="O11" s="83">
        <v>26.08</v>
      </c>
      <c r="P11" s="83">
        <v>25.96</v>
      </c>
      <c r="Q11" s="83">
        <v>24.4</v>
      </c>
      <c r="R11" s="84">
        <v>268.8</v>
      </c>
      <c r="S11" s="84">
        <v>235.2</v>
      </c>
      <c r="T11" s="84">
        <v>268.8</v>
      </c>
      <c r="U11" s="84">
        <v>260.39999999999998</v>
      </c>
      <c r="V11" s="84">
        <v>256.2</v>
      </c>
      <c r="W11" s="84">
        <v>264.60000000000002</v>
      </c>
      <c r="X11" s="84">
        <v>260.39999999999998</v>
      </c>
      <c r="Y11" s="84">
        <v>264.60000000000002</v>
      </c>
      <c r="Z11" s="84">
        <v>264.60000000000002</v>
      </c>
      <c r="AA11" s="84">
        <v>260.39999999999998</v>
      </c>
      <c r="AB11" s="84">
        <v>264.60000000000002</v>
      </c>
      <c r="AC11" s="84">
        <v>252</v>
      </c>
      <c r="AD11" s="84">
        <v>264.60000000000002</v>
      </c>
      <c r="AE11" s="85">
        <f t="shared" si="15"/>
        <v>73.541763800000012</v>
      </c>
      <c r="AF11" s="85">
        <f t="shared" si="16"/>
        <v>73.925126600000013</v>
      </c>
      <c r="AG11" s="85">
        <f t="shared" si="17"/>
        <v>81.304860500000004</v>
      </c>
      <c r="AH11" s="85">
        <f t="shared" si="18"/>
        <v>78.078223600000015</v>
      </c>
      <c r="AI11" s="85">
        <f t="shared" si="19"/>
        <v>69.899817200000001</v>
      </c>
      <c r="AJ11" s="85">
        <f t="shared" si="20"/>
        <v>86.544152100000019</v>
      </c>
      <c r="AK11" s="85">
        <f t="shared" si="21"/>
        <v>79.164418200000014</v>
      </c>
      <c r="AL11" s="85">
        <f t="shared" si="22"/>
        <v>82.391055100000003</v>
      </c>
      <c r="AM11" s="85">
        <f t="shared" si="23"/>
        <v>88.972116500000013</v>
      </c>
      <c r="AN11" s="85">
        <f t="shared" si="24"/>
        <v>76.353091000000006</v>
      </c>
      <c r="AO11" s="85">
        <f t="shared" si="25"/>
        <v>83.317515200000003</v>
      </c>
      <c r="AP11" s="85">
        <f t="shared" si="26"/>
        <v>82.934152400000016</v>
      </c>
      <c r="AQ11" s="85">
        <f t="shared" si="27"/>
        <v>77.95043600000001</v>
      </c>
      <c r="AR11" s="86">
        <f t="shared" si="1"/>
        <v>155.37177600000001</v>
      </c>
      <c r="AS11" s="86">
        <f t="shared" si="2"/>
        <v>135.95030399999999</v>
      </c>
      <c r="AT11" s="86">
        <f t="shared" si="3"/>
        <v>155.37177600000001</v>
      </c>
      <c r="AU11" s="86">
        <f t="shared" si="4"/>
        <v>150.51640799999998</v>
      </c>
      <c r="AV11" s="86">
        <f t="shared" si="5"/>
        <v>148.08872399999998</v>
      </c>
      <c r="AW11" s="86">
        <f t="shared" si="6"/>
        <v>152.94409200000001</v>
      </c>
      <c r="AX11" s="86">
        <f t="shared" si="7"/>
        <v>150.51640799999998</v>
      </c>
      <c r="AY11" s="86">
        <f t="shared" si="8"/>
        <v>152.94409200000001</v>
      </c>
      <c r="AZ11" s="86">
        <f t="shared" si="9"/>
        <v>152.94409200000001</v>
      </c>
      <c r="BA11" s="86">
        <f t="shared" si="10"/>
        <v>150.51640799999998</v>
      </c>
      <c r="BB11" s="86">
        <f t="shared" si="11"/>
        <v>152.94409200000001</v>
      </c>
      <c r="BC11" s="86">
        <f t="shared" si="12"/>
        <v>145.66103999999999</v>
      </c>
      <c r="BD11" s="86">
        <f t="shared" si="13"/>
        <v>152.94409200000001</v>
      </c>
    </row>
    <row r="12" spans="1:56" ht="30" customHeight="1">
      <c r="A12" s="77" t="s">
        <v>17</v>
      </c>
      <c r="B12" s="77" t="s">
        <v>29</v>
      </c>
      <c r="C12" s="77">
        <v>3858181</v>
      </c>
      <c r="D12" s="77" t="s">
        <v>15</v>
      </c>
      <c r="E12" s="83">
        <v>546.21</v>
      </c>
      <c r="F12" s="83">
        <v>220.71</v>
      </c>
      <c r="G12" s="83">
        <v>290.01</v>
      </c>
      <c r="H12" s="83">
        <v>223.44</v>
      </c>
      <c r="I12" s="83">
        <v>185.85</v>
      </c>
      <c r="J12" s="83">
        <v>203.49</v>
      </c>
      <c r="K12" s="83">
        <v>322.35000000000002</v>
      </c>
      <c r="L12" s="83">
        <v>474.18</v>
      </c>
      <c r="M12" s="83">
        <v>267.54000000000002</v>
      </c>
      <c r="N12" s="83">
        <v>345.03</v>
      </c>
      <c r="O12" s="83">
        <v>243.6</v>
      </c>
      <c r="P12" s="83">
        <v>194.25</v>
      </c>
      <c r="Q12" s="83">
        <v>299.88</v>
      </c>
      <c r="R12" s="84">
        <v>3717</v>
      </c>
      <c r="S12" s="84">
        <v>1344</v>
      </c>
      <c r="T12" s="84">
        <v>2415</v>
      </c>
      <c r="U12" s="84">
        <v>3192</v>
      </c>
      <c r="V12" s="84">
        <v>2331</v>
      </c>
      <c r="W12" s="84">
        <v>2121</v>
      </c>
      <c r="X12" s="84">
        <v>3570</v>
      </c>
      <c r="Y12" s="84">
        <v>5019</v>
      </c>
      <c r="Z12" s="84">
        <v>2562</v>
      </c>
      <c r="AA12" s="84">
        <v>3528</v>
      </c>
      <c r="AB12" s="84">
        <v>1617</v>
      </c>
      <c r="AC12" s="84">
        <v>2520</v>
      </c>
      <c r="AD12" s="84">
        <v>5250</v>
      </c>
      <c r="AE12" s="85">
        <f t="shared" si="15"/>
        <v>1744.9716249000003</v>
      </c>
      <c r="AF12" s="85">
        <f t="shared" si="16"/>
        <v>705.1000299000001</v>
      </c>
      <c r="AG12" s="85">
        <f t="shared" si="17"/>
        <v>926.4920469000001</v>
      </c>
      <c r="AH12" s="85">
        <f t="shared" si="18"/>
        <v>713.82153360000007</v>
      </c>
      <c r="AI12" s="85">
        <f t="shared" si="19"/>
        <v>593.73313650000011</v>
      </c>
      <c r="AJ12" s="85">
        <f t="shared" si="20"/>
        <v>650.08746810000014</v>
      </c>
      <c r="AK12" s="85">
        <f t="shared" si="21"/>
        <v>1029.8083215000001</v>
      </c>
      <c r="AL12" s="85">
        <f t="shared" si="22"/>
        <v>1514.8581042000003</v>
      </c>
      <c r="AM12" s="85">
        <f t="shared" si="23"/>
        <v>854.70736260000024</v>
      </c>
      <c r="AN12" s="85">
        <f t="shared" si="24"/>
        <v>1102.2638907</v>
      </c>
      <c r="AO12" s="85">
        <f t="shared" si="25"/>
        <v>778.22648400000014</v>
      </c>
      <c r="AP12" s="85">
        <f t="shared" si="26"/>
        <v>620.56853250000006</v>
      </c>
      <c r="AQ12" s="85">
        <f t="shared" si="27"/>
        <v>958.02363720000017</v>
      </c>
      <c r="AR12" s="86">
        <f t="shared" si="1"/>
        <v>2148.5003400000001</v>
      </c>
      <c r="AS12" s="86">
        <f t="shared" si="2"/>
        <v>776.85888</v>
      </c>
      <c r="AT12" s="86">
        <f t="shared" si="3"/>
        <v>1395.9183</v>
      </c>
      <c r="AU12" s="86">
        <f t="shared" si="4"/>
        <v>1845.0398399999999</v>
      </c>
      <c r="AV12" s="86">
        <f t="shared" si="5"/>
        <v>1347.3646200000001</v>
      </c>
      <c r="AW12" s="86">
        <f t="shared" si="6"/>
        <v>1225.9804199999999</v>
      </c>
      <c r="AX12" s="86">
        <f t="shared" si="7"/>
        <v>2063.5313999999998</v>
      </c>
      <c r="AY12" s="86">
        <f t="shared" si="8"/>
        <v>2901.0823799999998</v>
      </c>
      <c r="AZ12" s="86">
        <f t="shared" si="9"/>
        <v>1480.88724</v>
      </c>
      <c r="BA12" s="86">
        <f t="shared" si="10"/>
        <v>2039.2545599999999</v>
      </c>
      <c r="BB12" s="86">
        <f t="shared" si="11"/>
        <v>934.65833999999995</v>
      </c>
      <c r="BC12" s="86">
        <f t="shared" si="12"/>
        <v>1456.6104</v>
      </c>
      <c r="BD12" s="86">
        <f t="shared" si="13"/>
        <v>3034.605</v>
      </c>
    </row>
    <row r="13" spans="1:56" ht="30" customHeight="1">
      <c r="A13" s="77" t="s">
        <v>17</v>
      </c>
      <c r="B13" s="77" t="s">
        <v>2081</v>
      </c>
      <c r="C13" s="77">
        <v>3836171</v>
      </c>
      <c r="D13" s="77" t="s">
        <v>15</v>
      </c>
      <c r="E13" s="83">
        <v>328.23</v>
      </c>
      <c r="F13" s="83">
        <v>139.44</v>
      </c>
      <c r="G13" s="83">
        <v>373.8</v>
      </c>
      <c r="H13" s="83">
        <v>92.82</v>
      </c>
      <c r="I13" s="83">
        <v>438.69</v>
      </c>
      <c r="J13" s="83">
        <v>154.35</v>
      </c>
      <c r="K13" s="83"/>
      <c r="L13" s="83">
        <v>439.95</v>
      </c>
      <c r="M13" s="83">
        <v>841.68</v>
      </c>
      <c r="N13" s="83">
        <v>1109.43</v>
      </c>
      <c r="O13" s="83">
        <v>1120.56</v>
      </c>
      <c r="P13" s="83">
        <v>458.22</v>
      </c>
      <c r="Q13" s="83">
        <v>331.8</v>
      </c>
      <c r="R13" s="84">
        <v>2520</v>
      </c>
      <c r="S13" s="84">
        <v>1386</v>
      </c>
      <c r="T13" s="84">
        <v>3024</v>
      </c>
      <c r="U13" s="84">
        <v>1344</v>
      </c>
      <c r="V13" s="84">
        <v>4473</v>
      </c>
      <c r="W13" s="84">
        <v>3108</v>
      </c>
      <c r="X13" s="84"/>
      <c r="Y13" s="84">
        <v>4767</v>
      </c>
      <c r="Z13" s="84">
        <v>8820</v>
      </c>
      <c r="AA13" s="84">
        <v>12054</v>
      </c>
      <c r="AB13" s="84">
        <v>11235</v>
      </c>
      <c r="AC13" s="84">
        <v>4242</v>
      </c>
      <c r="AD13" s="84">
        <v>6762</v>
      </c>
      <c r="AE13" s="85">
        <f t="shared" si="15"/>
        <v>1048.5930987000002</v>
      </c>
      <c r="AF13" s="85">
        <f t="shared" si="16"/>
        <v>445.46757360000004</v>
      </c>
      <c r="AG13" s="85">
        <f t="shared" si="17"/>
        <v>1194.1751220000001</v>
      </c>
      <c r="AH13" s="85">
        <f t="shared" si="18"/>
        <v>296.53112580000004</v>
      </c>
      <c r="AI13" s="85">
        <f t="shared" si="19"/>
        <v>1401.4785561000001</v>
      </c>
      <c r="AJ13" s="85">
        <f t="shared" si="20"/>
        <v>493.10040150000003</v>
      </c>
      <c r="AK13" s="85">
        <f t="shared" si="21"/>
        <v>0</v>
      </c>
      <c r="AL13" s="85">
        <f t="shared" si="22"/>
        <v>1405.5038655000001</v>
      </c>
      <c r="AM13" s="85">
        <f t="shared" si="23"/>
        <v>2688.9066792000003</v>
      </c>
      <c r="AN13" s="85">
        <f t="shared" si="24"/>
        <v>3544.2849267000006</v>
      </c>
      <c r="AO13" s="85">
        <f t="shared" si="25"/>
        <v>3579.8418264000002</v>
      </c>
      <c r="AP13" s="85">
        <f t="shared" si="26"/>
        <v>1463.8708518000003</v>
      </c>
      <c r="AQ13" s="85">
        <f t="shared" si="27"/>
        <v>1059.9981420000001</v>
      </c>
      <c r="AR13" s="86">
        <f t="shared" si="1"/>
        <v>1456.6104</v>
      </c>
      <c r="AS13" s="86">
        <f t="shared" si="2"/>
        <v>801.13571999999999</v>
      </c>
      <c r="AT13" s="86">
        <f t="shared" si="3"/>
        <v>1747.9324799999999</v>
      </c>
      <c r="AU13" s="86">
        <f t="shared" si="4"/>
        <v>776.85888</v>
      </c>
      <c r="AV13" s="86">
        <f t="shared" si="5"/>
        <v>2585.4834599999999</v>
      </c>
      <c r="AW13" s="86">
        <f t="shared" si="6"/>
        <v>1796.4861599999999</v>
      </c>
      <c r="AX13" s="86">
        <f t="shared" si="7"/>
        <v>0</v>
      </c>
      <c r="AY13" s="86">
        <f t="shared" si="8"/>
        <v>2755.4213399999999</v>
      </c>
      <c r="AZ13" s="86">
        <f t="shared" si="9"/>
        <v>5098.1363999999994</v>
      </c>
      <c r="BA13" s="86">
        <f t="shared" si="10"/>
        <v>6967.4530799999993</v>
      </c>
      <c r="BB13" s="86">
        <f t="shared" si="11"/>
        <v>6494.0546999999997</v>
      </c>
      <c r="BC13" s="86">
        <f t="shared" si="12"/>
        <v>2451.9608399999997</v>
      </c>
      <c r="BD13" s="86">
        <f t="shared" si="13"/>
        <v>3908.5712399999998</v>
      </c>
    </row>
    <row r="14" spans="1:56">
      <c r="A14" s="77" t="s">
        <v>17</v>
      </c>
      <c r="B14" s="77" t="s">
        <v>31</v>
      </c>
      <c r="C14" s="77">
        <v>5916883</v>
      </c>
      <c r="D14" s="77" t="s">
        <v>15</v>
      </c>
      <c r="E14" s="83">
        <v>1150.3</v>
      </c>
      <c r="F14" s="83">
        <v>1296.71</v>
      </c>
      <c r="G14" s="83">
        <v>1224.3</v>
      </c>
      <c r="H14" s="83">
        <v>1116.8599999999999</v>
      </c>
      <c r="I14" s="83">
        <v>926.44</v>
      </c>
      <c r="J14" s="83">
        <v>1000.78</v>
      </c>
      <c r="K14" s="83">
        <v>952.31</v>
      </c>
      <c r="L14" s="83">
        <v>788.42</v>
      </c>
      <c r="M14" s="83">
        <v>911.65</v>
      </c>
      <c r="N14" s="83">
        <v>842.86</v>
      </c>
      <c r="O14" s="83">
        <v>1101.58</v>
      </c>
      <c r="P14" s="83">
        <v>1153.74</v>
      </c>
      <c r="Q14" s="83">
        <v>1098.3</v>
      </c>
      <c r="R14" s="84">
        <v>13692</v>
      </c>
      <c r="S14" s="84">
        <v>14481.6</v>
      </c>
      <c r="T14" s="84">
        <v>13532.4</v>
      </c>
      <c r="U14" s="84">
        <v>12843.6</v>
      </c>
      <c r="V14" s="84">
        <v>10894.8</v>
      </c>
      <c r="W14" s="84">
        <v>10441.200000000001</v>
      </c>
      <c r="X14" s="84">
        <v>10374</v>
      </c>
      <c r="Y14" s="84">
        <v>7719.6</v>
      </c>
      <c r="Z14" s="84">
        <v>8904</v>
      </c>
      <c r="AA14" s="84">
        <v>9366</v>
      </c>
      <c r="AB14" s="84">
        <v>12188.4</v>
      </c>
      <c r="AC14" s="84">
        <v>12507.6</v>
      </c>
      <c r="AD14" s="84">
        <v>13347.6</v>
      </c>
      <c r="AE14" s="85">
        <f t="shared" si="15"/>
        <v>3674.8519070000002</v>
      </c>
      <c r="AF14" s="85">
        <f t="shared" si="16"/>
        <v>4142.5864699000003</v>
      </c>
      <c r="AG14" s="85">
        <f t="shared" si="17"/>
        <v>3911.2589670000002</v>
      </c>
      <c r="AH14" s="85">
        <f t="shared" si="18"/>
        <v>3568.0214734000001</v>
      </c>
      <c r="AI14" s="85">
        <f t="shared" si="19"/>
        <v>2959.6886036000005</v>
      </c>
      <c r="AJ14" s="85">
        <f t="shared" si="20"/>
        <v>3197.1818582000005</v>
      </c>
      <c r="AK14" s="85">
        <f t="shared" si="21"/>
        <v>3042.3352339000003</v>
      </c>
      <c r="AL14" s="85">
        <f t="shared" si="22"/>
        <v>2518.7574898000003</v>
      </c>
      <c r="AM14" s="85">
        <f t="shared" si="23"/>
        <v>2912.4391385000004</v>
      </c>
      <c r="AN14" s="85">
        <f t="shared" si="24"/>
        <v>2692.6764134000005</v>
      </c>
      <c r="AO14" s="85">
        <f t="shared" si="25"/>
        <v>3519.2066102000003</v>
      </c>
      <c r="AP14" s="85">
        <f t="shared" si="26"/>
        <v>3685.8416406000006</v>
      </c>
      <c r="AQ14" s="85">
        <f t="shared" si="27"/>
        <v>3508.7280270000006</v>
      </c>
      <c r="AR14" s="86">
        <f t="shared" si="1"/>
        <v>7914.2498399999995</v>
      </c>
      <c r="AS14" s="86">
        <f t="shared" si="2"/>
        <v>8370.6544319999994</v>
      </c>
      <c r="AT14" s="86">
        <f t="shared" si="3"/>
        <v>7821.9978479999991</v>
      </c>
      <c r="AU14" s="86">
        <f t="shared" si="4"/>
        <v>7423.8576720000001</v>
      </c>
      <c r="AV14" s="86">
        <f t="shared" si="5"/>
        <v>6297.4122959999995</v>
      </c>
      <c r="AW14" s="86">
        <f t="shared" si="6"/>
        <v>6035.2224240000005</v>
      </c>
      <c r="AX14" s="86">
        <f t="shared" si="7"/>
        <v>5996.3794799999996</v>
      </c>
      <c r="AY14" s="86">
        <f t="shared" si="8"/>
        <v>4462.0831920000001</v>
      </c>
      <c r="AZ14" s="86">
        <f t="shared" si="9"/>
        <v>5146.6900799999994</v>
      </c>
      <c r="BA14" s="86">
        <f t="shared" si="10"/>
        <v>5413.7353199999998</v>
      </c>
      <c r="BB14" s="86">
        <f t="shared" si="11"/>
        <v>7045.1389679999993</v>
      </c>
      <c r="BC14" s="86">
        <f t="shared" si="12"/>
        <v>7229.6429520000002</v>
      </c>
      <c r="BD14" s="86">
        <f t="shared" si="13"/>
        <v>7715.179752</v>
      </c>
    </row>
    <row r="15" spans="1:56">
      <c r="A15" s="77" t="s">
        <v>17</v>
      </c>
      <c r="B15" s="77" t="s">
        <v>33</v>
      </c>
      <c r="C15" s="77">
        <v>6023283</v>
      </c>
      <c r="D15" s="77" t="s">
        <v>15</v>
      </c>
      <c r="E15" s="83">
        <v>486.19</v>
      </c>
      <c r="F15" s="83">
        <v>580.19000000000005</v>
      </c>
      <c r="G15" s="83">
        <v>632.17999999999995</v>
      </c>
      <c r="H15" s="83">
        <v>581.11</v>
      </c>
      <c r="I15" s="83">
        <v>449.65</v>
      </c>
      <c r="J15" s="83">
        <v>503.33</v>
      </c>
      <c r="K15" s="83">
        <v>399.59</v>
      </c>
      <c r="L15" s="83">
        <v>365.15</v>
      </c>
      <c r="M15" s="83">
        <v>365.32</v>
      </c>
      <c r="N15" s="83">
        <v>348.18</v>
      </c>
      <c r="O15" s="83">
        <v>454.19</v>
      </c>
      <c r="P15" s="83">
        <v>560.36</v>
      </c>
      <c r="Q15" s="83">
        <v>666.46</v>
      </c>
      <c r="R15" s="84">
        <v>4057.2</v>
      </c>
      <c r="S15" s="84">
        <v>4536</v>
      </c>
      <c r="T15" s="84">
        <v>4771.2</v>
      </c>
      <c r="U15" s="84">
        <v>4544.3999999999996</v>
      </c>
      <c r="V15" s="84">
        <v>3931.2</v>
      </c>
      <c r="W15" s="84">
        <v>3494.4</v>
      </c>
      <c r="X15" s="84">
        <v>3208.8</v>
      </c>
      <c r="Y15" s="84">
        <v>2704.8</v>
      </c>
      <c r="Z15" s="84">
        <v>2797.2</v>
      </c>
      <c r="AA15" s="84">
        <v>3108</v>
      </c>
      <c r="AB15" s="84">
        <v>4233.6000000000004</v>
      </c>
      <c r="AC15" s="84">
        <v>4393.2</v>
      </c>
      <c r="AD15" s="84">
        <v>5695.2</v>
      </c>
      <c r="AE15" s="85">
        <f t="shared" si="15"/>
        <v>1553.2263311000002</v>
      </c>
      <c r="AF15" s="85">
        <f t="shared" si="16"/>
        <v>1853.5271911000004</v>
      </c>
      <c r="AG15" s="85">
        <f t="shared" si="17"/>
        <v>2019.6191242000002</v>
      </c>
      <c r="AH15" s="85">
        <f t="shared" si="18"/>
        <v>1856.4663059000004</v>
      </c>
      <c r="AI15" s="85">
        <f t="shared" si="19"/>
        <v>1436.4923585000001</v>
      </c>
      <c r="AJ15" s="85">
        <f t="shared" si="20"/>
        <v>1607.9833177000003</v>
      </c>
      <c r="AK15" s="85">
        <f t="shared" si="21"/>
        <v>1276.5661771</v>
      </c>
      <c r="AL15" s="85">
        <f t="shared" si="22"/>
        <v>1166.5410535000001</v>
      </c>
      <c r="AM15" s="85">
        <f t="shared" si="23"/>
        <v>1167.0841508000001</v>
      </c>
      <c r="AN15" s="85">
        <f t="shared" si="24"/>
        <v>1112.3271642000002</v>
      </c>
      <c r="AO15" s="85">
        <f t="shared" si="25"/>
        <v>1450.9962511000001</v>
      </c>
      <c r="AP15" s="85">
        <f t="shared" si="26"/>
        <v>1790.1764884000004</v>
      </c>
      <c r="AQ15" s="85">
        <f t="shared" si="27"/>
        <v>2129.1330974000002</v>
      </c>
      <c r="AR15" s="86">
        <f t="shared" si="1"/>
        <v>2345.1427439999998</v>
      </c>
      <c r="AS15" s="86">
        <f t="shared" si="2"/>
        <v>2621.8987199999997</v>
      </c>
      <c r="AT15" s="86">
        <f t="shared" si="3"/>
        <v>2757.8490239999996</v>
      </c>
      <c r="AU15" s="86">
        <f t="shared" si="4"/>
        <v>2626.7540879999997</v>
      </c>
      <c r="AV15" s="86">
        <f t="shared" si="5"/>
        <v>2272.3122239999998</v>
      </c>
      <c r="AW15" s="86">
        <f t="shared" si="6"/>
        <v>2019.8330880000001</v>
      </c>
      <c r="AX15" s="86">
        <f t="shared" si="7"/>
        <v>1854.7505760000001</v>
      </c>
      <c r="AY15" s="86">
        <f t="shared" si="8"/>
        <v>1563.428496</v>
      </c>
      <c r="AZ15" s="86">
        <f t="shared" si="9"/>
        <v>1616.8375439999998</v>
      </c>
      <c r="BA15" s="86">
        <f t="shared" si="10"/>
        <v>1796.4861599999999</v>
      </c>
      <c r="BB15" s="86">
        <f t="shared" si="11"/>
        <v>2447.1054720000002</v>
      </c>
      <c r="BC15" s="86">
        <f t="shared" si="12"/>
        <v>2539.3574639999997</v>
      </c>
      <c r="BD15" s="86">
        <f t="shared" si="13"/>
        <v>3291.9395039999999</v>
      </c>
    </row>
    <row r="16" spans="1:56">
      <c r="A16" s="77" t="s">
        <v>17</v>
      </c>
      <c r="B16" s="77" t="s">
        <v>35</v>
      </c>
      <c r="C16" s="77">
        <v>4544756</v>
      </c>
      <c r="D16" s="77" t="s">
        <v>15</v>
      </c>
      <c r="E16" s="83">
        <v>354.65</v>
      </c>
      <c r="F16" s="83">
        <v>400.6</v>
      </c>
      <c r="G16" s="83">
        <v>192.19</v>
      </c>
      <c r="H16" s="83">
        <v>1367.02</v>
      </c>
      <c r="I16" s="83">
        <v>327.26</v>
      </c>
      <c r="J16" s="83">
        <v>714.34</v>
      </c>
      <c r="K16" s="83">
        <v>803.71</v>
      </c>
      <c r="L16" s="83">
        <v>645.71</v>
      </c>
      <c r="M16" s="83">
        <v>1511.83</v>
      </c>
      <c r="N16" s="83">
        <v>2036.5</v>
      </c>
      <c r="O16" s="83">
        <v>1010.69</v>
      </c>
      <c r="P16" s="83">
        <v>2584.34</v>
      </c>
      <c r="Q16" s="83">
        <v>2817.53</v>
      </c>
      <c r="R16" s="84">
        <v>9483.6</v>
      </c>
      <c r="S16" s="84">
        <v>11256</v>
      </c>
      <c r="T16" s="84">
        <v>4166.3999999999996</v>
      </c>
      <c r="U16" s="84">
        <v>12633.6</v>
      </c>
      <c r="V16" s="84">
        <v>10626</v>
      </c>
      <c r="W16" s="84">
        <v>12079</v>
      </c>
      <c r="X16" s="84">
        <v>12885.6</v>
      </c>
      <c r="Y16" s="84">
        <v>9097.2000000000007</v>
      </c>
      <c r="Z16" s="84">
        <v>9584.4</v>
      </c>
      <c r="AA16" s="84">
        <v>9996</v>
      </c>
      <c r="AB16" s="84">
        <v>13818</v>
      </c>
      <c r="AC16" s="84">
        <v>15590.4</v>
      </c>
      <c r="AD16" s="84">
        <v>13078.8</v>
      </c>
      <c r="AE16" s="85">
        <f t="shared" si="15"/>
        <v>1132.9968085</v>
      </c>
      <c r="AF16" s="85">
        <f t="shared" si="16"/>
        <v>1279.7928140000004</v>
      </c>
      <c r="AG16" s="85">
        <f t="shared" si="17"/>
        <v>613.98747110000011</v>
      </c>
      <c r="AH16" s="85">
        <f t="shared" si="18"/>
        <v>4367.2051238000004</v>
      </c>
      <c r="AI16" s="85">
        <f t="shared" si="19"/>
        <v>1045.4942494000002</v>
      </c>
      <c r="AJ16" s="85">
        <f t="shared" si="20"/>
        <v>2282.0948546000004</v>
      </c>
      <c r="AK16" s="85">
        <f t="shared" si="21"/>
        <v>2567.6042999000006</v>
      </c>
      <c r="AL16" s="85">
        <f t="shared" si="22"/>
        <v>2062.8432799000002</v>
      </c>
      <c r="AM16" s="85">
        <f t="shared" si="23"/>
        <v>4829.8281827000001</v>
      </c>
      <c r="AN16" s="85">
        <f t="shared" si="24"/>
        <v>6505.9861850000007</v>
      </c>
      <c r="AO16" s="85">
        <f t="shared" si="25"/>
        <v>3228.8412361000005</v>
      </c>
      <c r="AP16" s="85">
        <f t="shared" si="26"/>
        <v>8256.1651546000012</v>
      </c>
      <c r="AQ16" s="85">
        <f t="shared" si="27"/>
        <v>9001.1349157000022</v>
      </c>
      <c r="AR16" s="86">
        <f t="shared" si="1"/>
        <v>5481.7104719999998</v>
      </c>
      <c r="AS16" s="86">
        <f t="shared" si="2"/>
        <v>6506.1931199999999</v>
      </c>
      <c r="AT16" s="86">
        <f t="shared" si="3"/>
        <v>2408.2625279999997</v>
      </c>
      <c r="AU16" s="86">
        <f t="shared" si="4"/>
        <v>7302.4734719999997</v>
      </c>
      <c r="AV16" s="86">
        <f t="shared" si="5"/>
        <v>6142.0405199999996</v>
      </c>
      <c r="AW16" s="86">
        <f t="shared" si="6"/>
        <v>6981.9035800000001</v>
      </c>
      <c r="AX16" s="86">
        <f t="shared" si="7"/>
        <v>7448.1345119999996</v>
      </c>
      <c r="AY16" s="86">
        <f t="shared" si="8"/>
        <v>5258.3635439999998</v>
      </c>
      <c r="AZ16" s="86">
        <f t="shared" si="9"/>
        <v>5539.9748879999997</v>
      </c>
      <c r="BA16" s="86">
        <f t="shared" si="10"/>
        <v>5777.8879200000001</v>
      </c>
      <c r="BB16" s="86">
        <f t="shared" si="11"/>
        <v>7987.0803599999999</v>
      </c>
      <c r="BC16" s="86">
        <f t="shared" si="12"/>
        <v>9011.5630079999992</v>
      </c>
      <c r="BD16" s="86">
        <f t="shared" si="13"/>
        <v>7559.8079759999991</v>
      </c>
    </row>
    <row r="17" spans="1:56">
      <c r="A17" s="77" t="s">
        <v>17</v>
      </c>
      <c r="B17" s="77" t="s">
        <v>36</v>
      </c>
      <c r="C17" s="77">
        <v>26742</v>
      </c>
      <c r="D17" s="77" t="s">
        <v>15</v>
      </c>
      <c r="E17" s="83">
        <v>116.05</v>
      </c>
      <c r="F17" s="83">
        <v>110.44</v>
      </c>
      <c r="G17" s="83">
        <v>117.43</v>
      </c>
      <c r="H17" s="83">
        <v>113.59</v>
      </c>
      <c r="I17" s="83">
        <v>102.12</v>
      </c>
      <c r="J17" s="83">
        <v>129.28</v>
      </c>
      <c r="K17" s="83">
        <v>127.2</v>
      </c>
      <c r="L17" s="83">
        <v>122.85</v>
      </c>
      <c r="M17" s="83">
        <v>126.63</v>
      </c>
      <c r="N17" s="83">
        <v>120.71</v>
      </c>
      <c r="O17" s="83">
        <v>135.58000000000001</v>
      </c>
      <c r="P17" s="83">
        <v>146.1</v>
      </c>
      <c r="Q17" s="83">
        <v>153.91</v>
      </c>
      <c r="R17" s="84">
        <v>3074.4</v>
      </c>
      <c r="S17" s="84">
        <v>3320.1</v>
      </c>
      <c r="T17" s="84">
        <v>2961</v>
      </c>
      <c r="U17" s="84">
        <v>3049.2</v>
      </c>
      <c r="V17" s="84">
        <v>2891.7</v>
      </c>
      <c r="W17" s="84">
        <v>3099.6</v>
      </c>
      <c r="X17" s="84">
        <v>2709</v>
      </c>
      <c r="Y17" s="84">
        <v>2110.5</v>
      </c>
      <c r="Z17" s="84">
        <v>2633.4</v>
      </c>
      <c r="AA17" s="84">
        <v>2696.4</v>
      </c>
      <c r="AB17" s="84">
        <v>3364.2</v>
      </c>
      <c r="AC17" s="84">
        <v>3509.1</v>
      </c>
      <c r="AD17" s="84">
        <v>3906</v>
      </c>
      <c r="AE17" s="85">
        <f t="shared" si="15"/>
        <v>370.74377450000003</v>
      </c>
      <c r="AF17" s="85">
        <f t="shared" si="16"/>
        <v>352.82156360000005</v>
      </c>
      <c r="AG17" s="85">
        <f t="shared" si="17"/>
        <v>375.1524467000001</v>
      </c>
      <c r="AH17" s="85">
        <f t="shared" si="18"/>
        <v>362.88483710000008</v>
      </c>
      <c r="AI17" s="85">
        <f t="shared" si="19"/>
        <v>326.24174280000005</v>
      </c>
      <c r="AJ17" s="85">
        <f t="shared" si="20"/>
        <v>413.00952320000005</v>
      </c>
      <c r="AK17" s="85">
        <f t="shared" si="21"/>
        <v>406.36456800000008</v>
      </c>
      <c r="AL17" s="85">
        <f t="shared" si="22"/>
        <v>392.46766650000006</v>
      </c>
      <c r="AM17" s="85">
        <f t="shared" si="23"/>
        <v>404.54359470000003</v>
      </c>
      <c r="AN17" s="85">
        <f t="shared" si="24"/>
        <v>385.63102990000004</v>
      </c>
      <c r="AO17" s="85">
        <f t="shared" si="25"/>
        <v>433.13607020000012</v>
      </c>
      <c r="AP17" s="85">
        <f t="shared" si="26"/>
        <v>466.74420900000007</v>
      </c>
      <c r="AQ17" s="85">
        <f t="shared" si="27"/>
        <v>491.69473790000006</v>
      </c>
      <c r="AR17" s="86">
        <f t="shared" si="1"/>
        <v>1777.0646879999999</v>
      </c>
      <c r="AS17" s="86">
        <f t="shared" si="2"/>
        <v>1919.0842019999998</v>
      </c>
      <c r="AT17" s="86">
        <f t="shared" si="3"/>
        <v>1711.51722</v>
      </c>
      <c r="AU17" s="86">
        <f t="shared" si="4"/>
        <v>1762.4985839999999</v>
      </c>
      <c r="AV17" s="86">
        <f t="shared" si="5"/>
        <v>1671.4604339999999</v>
      </c>
      <c r="AW17" s="86">
        <f t="shared" si="6"/>
        <v>1791.6307919999999</v>
      </c>
      <c r="AX17" s="86">
        <f t="shared" si="7"/>
        <v>1565.85618</v>
      </c>
      <c r="AY17" s="86">
        <f t="shared" si="8"/>
        <v>1219.91121</v>
      </c>
      <c r="AZ17" s="86">
        <f t="shared" si="9"/>
        <v>1522.157868</v>
      </c>
      <c r="BA17" s="86">
        <f t="shared" si="10"/>
        <v>1558.573128</v>
      </c>
      <c r="BB17" s="86">
        <f t="shared" si="11"/>
        <v>1944.5748839999999</v>
      </c>
      <c r="BC17" s="86">
        <f t="shared" si="12"/>
        <v>2028.329982</v>
      </c>
      <c r="BD17" s="86">
        <f t="shared" si="13"/>
        <v>2257.7461199999998</v>
      </c>
    </row>
    <row r="18" spans="1:56">
      <c r="A18" s="77" t="s">
        <v>17</v>
      </c>
      <c r="B18" s="77" t="s">
        <v>38</v>
      </c>
      <c r="C18" s="77">
        <v>3081429</v>
      </c>
      <c r="D18" s="77" t="s">
        <v>15</v>
      </c>
      <c r="E18" s="83">
        <v>2459.1</v>
      </c>
      <c r="F18" s="83">
        <v>2420.88</v>
      </c>
      <c r="G18" s="83">
        <v>3028.2</v>
      </c>
      <c r="H18" s="83">
        <v>2521.6799999999998</v>
      </c>
      <c r="I18" s="83">
        <v>1357.02</v>
      </c>
      <c r="J18" s="83">
        <v>1569.54</v>
      </c>
      <c r="K18" s="83">
        <v>807.66</v>
      </c>
      <c r="L18" s="83">
        <v>809.76</v>
      </c>
      <c r="M18" s="83">
        <v>824.04</v>
      </c>
      <c r="N18" s="83">
        <v>844.62</v>
      </c>
      <c r="O18" s="83">
        <v>875.7</v>
      </c>
      <c r="P18" s="83">
        <v>918.12</v>
      </c>
      <c r="Q18" s="83">
        <v>861.42</v>
      </c>
      <c r="R18" s="84">
        <v>23142</v>
      </c>
      <c r="S18" s="84">
        <v>23058</v>
      </c>
      <c r="T18" s="84">
        <v>27468</v>
      </c>
      <c r="U18" s="84">
        <v>22260</v>
      </c>
      <c r="V18" s="84">
        <v>24024</v>
      </c>
      <c r="W18" s="84">
        <v>24948</v>
      </c>
      <c r="X18" s="84">
        <v>21168</v>
      </c>
      <c r="Y18" s="84">
        <v>18732</v>
      </c>
      <c r="Z18" s="84">
        <v>17388</v>
      </c>
      <c r="AA18" s="84">
        <v>21168</v>
      </c>
      <c r="AB18" s="84">
        <v>23058</v>
      </c>
      <c r="AC18" s="84">
        <v>25536</v>
      </c>
      <c r="AD18" s="84">
        <v>22176</v>
      </c>
      <c r="AE18" s="85">
        <f t="shared" si="15"/>
        <v>7856.0621790000005</v>
      </c>
      <c r="AF18" s="85">
        <f t="shared" si="16"/>
        <v>7733.9611272000011</v>
      </c>
      <c r="AG18" s="85">
        <f t="shared" si="17"/>
        <v>9674.1602580000017</v>
      </c>
      <c r="AH18" s="85">
        <f t="shared" si="18"/>
        <v>8055.9858792000005</v>
      </c>
      <c r="AI18" s="85">
        <f t="shared" si="19"/>
        <v>4335.2582238000005</v>
      </c>
      <c r="AJ18" s="85">
        <f t="shared" si="20"/>
        <v>5014.1937426000004</v>
      </c>
      <c r="AK18" s="85">
        <f t="shared" si="21"/>
        <v>2580.2233254000002</v>
      </c>
      <c r="AL18" s="85">
        <f t="shared" si="22"/>
        <v>2586.9321744000003</v>
      </c>
      <c r="AM18" s="85">
        <f t="shared" si="23"/>
        <v>2632.5523476000003</v>
      </c>
      <c r="AN18" s="85">
        <f t="shared" si="24"/>
        <v>2698.2990678000006</v>
      </c>
      <c r="AO18" s="85">
        <f t="shared" si="25"/>
        <v>2797.5900330000004</v>
      </c>
      <c r="AP18" s="85">
        <f t="shared" si="26"/>
        <v>2933.1087828000004</v>
      </c>
      <c r="AQ18" s="85">
        <f t="shared" si="27"/>
        <v>2751.9698598000004</v>
      </c>
      <c r="AR18" s="86">
        <f t="shared" si="1"/>
        <v>13376.538839999999</v>
      </c>
      <c r="AS18" s="86">
        <f t="shared" si="2"/>
        <v>13327.98516</v>
      </c>
      <c r="AT18" s="86">
        <f t="shared" si="3"/>
        <v>15877.05336</v>
      </c>
      <c r="AU18" s="86">
        <f t="shared" si="4"/>
        <v>12866.725199999999</v>
      </c>
      <c r="AV18" s="86">
        <f t="shared" si="5"/>
        <v>13886.35248</v>
      </c>
      <c r="AW18" s="86">
        <f t="shared" si="6"/>
        <v>14420.44296</v>
      </c>
      <c r="AX18" s="86">
        <f t="shared" si="7"/>
        <v>12235.52736</v>
      </c>
      <c r="AY18" s="86">
        <f t="shared" si="8"/>
        <v>10827.47064</v>
      </c>
      <c r="AZ18" s="86">
        <f t="shared" si="9"/>
        <v>10050.61176</v>
      </c>
      <c r="BA18" s="86">
        <f t="shared" si="10"/>
        <v>12235.52736</v>
      </c>
      <c r="BB18" s="86">
        <f t="shared" si="11"/>
        <v>13327.98516</v>
      </c>
      <c r="BC18" s="86">
        <f t="shared" si="12"/>
        <v>14760.318719999999</v>
      </c>
      <c r="BD18" s="86">
        <f t="shared" si="13"/>
        <v>12818.17152</v>
      </c>
    </row>
    <row r="19" spans="1:56">
      <c r="A19" s="77" t="s">
        <v>17</v>
      </c>
      <c r="B19" s="77" t="s">
        <v>42</v>
      </c>
      <c r="C19" s="77">
        <v>21035</v>
      </c>
      <c r="D19" s="77" t="s">
        <v>15</v>
      </c>
      <c r="E19" s="83">
        <v>2653.14</v>
      </c>
      <c r="F19" s="83">
        <v>871.92</v>
      </c>
      <c r="G19" s="83">
        <v>970.62</v>
      </c>
      <c r="H19" s="83">
        <v>8227.3799999999992</v>
      </c>
      <c r="I19" s="83">
        <v>5989.62</v>
      </c>
      <c r="J19" s="83">
        <v>2467.92</v>
      </c>
      <c r="K19" s="83">
        <v>2334.36</v>
      </c>
      <c r="L19" s="83">
        <v>4844.7</v>
      </c>
      <c r="M19" s="83">
        <v>3367.98</v>
      </c>
      <c r="N19" s="83">
        <v>2355.9899999999998</v>
      </c>
      <c r="O19" s="83">
        <v>5668.95</v>
      </c>
      <c r="P19" s="83">
        <v>1069.1099999999999</v>
      </c>
      <c r="Q19" s="83">
        <v>809.55</v>
      </c>
      <c r="R19" s="84">
        <v>19803</v>
      </c>
      <c r="S19" s="84">
        <v>10248</v>
      </c>
      <c r="T19" s="84">
        <v>10395</v>
      </c>
      <c r="U19" s="84">
        <v>30618</v>
      </c>
      <c r="V19" s="84">
        <v>23016</v>
      </c>
      <c r="W19" s="84">
        <v>21000</v>
      </c>
      <c r="X19" s="84">
        <v>22407</v>
      </c>
      <c r="Y19" s="84">
        <v>17808</v>
      </c>
      <c r="Z19" s="84">
        <v>20622</v>
      </c>
      <c r="AA19" s="84">
        <v>16086</v>
      </c>
      <c r="AB19" s="84">
        <v>23394</v>
      </c>
      <c r="AC19" s="84">
        <v>10437</v>
      </c>
      <c r="AD19" s="84">
        <v>10227</v>
      </c>
      <c r="AE19" s="85">
        <f t="shared" si="15"/>
        <v>8475.9598266000012</v>
      </c>
      <c r="AF19" s="85">
        <f t="shared" si="16"/>
        <v>2785.5141048000005</v>
      </c>
      <c r="AG19" s="85">
        <f t="shared" si="17"/>
        <v>3100.8300078000007</v>
      </c>
      <c r="AH19" s="85">
        <f t="shared" si="18"/>
        <v>26283.928612200001</v>
      </c>
      <c r="AI19" s="85">
        <f t="shared" si="19"/>
        <v>19134.979117800001</v>
      </c>
      <c r="AJ19" s="85">
        <f t="shared" si="20"/>
        <v>7884.2393448000012</v>
      </c>
      <c r="AK19" s="85">
        <f t="shared" si="21"/>
        <v>7457.5565484000017</v>
      </c>
      <c r="AL19" s="85">
        <f t="shared" si="22"/>
        <v>15477.314643000002</v>
      </c>
      <c r="AM19" s="85">
        <f t="shared" si="23"/>
        <v>10759.652026200001</v>
      </c>
      <c r="AN19" s="85">
        <f t="shared" si="24"/>
        <v>7526.6576931000009</v>
      </c>
      <c r="AO19" s="85">
        <f t="shared" si="25"/>
        <v>18110.537875500002</v>
      </c>
      <c r="AP19" s="85">
        <f t="shared" si="26"/>
        <v>3415.4750259000002</v>
      </c>
      <c r="AQ19" s="85">
        <f t="shared" si="27"/>
        <v>2586.2612895000002</v>
      </c>
      <c r="AR19" s="86">
        <f t="shared" si="1"/>
        <v>11446.530059999999</v>
      </c>
      <c r="AS19" s="86">
        <f t="shared" si="2"/>
        <v>5923.5489600000001</v>
      </c>
      <c r="AT19" s="86">
        <f t="shared" si="3"/>
        <v>6008.5178999999998</v>
      </c>
      <c r="AU19" s="86">
        <f t="shared" si="4"/>
        <v>17697.816360000001</v>
      </c>
      <c r="AV19" s="86">
        <f t="shared" si="5"/>
        <v>13303.70832</v>
      </c>
      <c r="AW19" s="86">
        <f t="shared" si="6"/>
        <v>12138.42</v>
      </c>
      <c r="AX19" s="86">
        <f t="shared" si="7"/>
        <v>12951.69414</v>
      </c>
      <c r="AY19" s="86">
        <f t="shared" si="8"/>
        <v>10293.380159999999</v>
      </c>
      <c r="AZ19" s="86">
        <f t="shared" si="9"/>
        <v>11919.92844</v>
      </c>
      <c r="BA19" s="86">
        <f t="shared" si="10"/>
        <v>9298.0297200000005</v>
      </c>
      <c r="BB19" s="86">
        <f t="shared" si="11"/>
        <v>13522.19988</v>
      </c>
      <c r="BC19" s="86">
        <f t="shared" si="12"/>
        <v>6032.7947399999994</v>
      </c>
      <c r="BD19" s="86">
        <f t="shared" si="13"/>
        <v>5911.4105399999999</v>
      </c>
    </row>
    <row r="20" spans="1:56">
      <c r="A20" s="77" t="s">
        <v>17</v>
      </c>
      <c r="B20" s="77" t="s">
        <v>44</v>
      </c>
      <c r="C20" s="77">
        <v>4778950</v>
      </c>
      <c r="D20" s="77" t="s">
        <v>15</v>
      </c>
      <c r="E20" s="83">
        <v>446.04</v>
      </c>
      <c r="F20" s="83">
        <v>402.36</v>
      </c>
      <c r="G20" s="83">
        <v>367</v>
      </c>
      <c r="H20" s="83">
        <v>444.61</v>
      </c>
      <c r="I20" s="83">
        <v>322.64</v>
      </c>
      <c r="J20" s="83">
        <v>338.6</v>
      </c>
      <c r="K20" s="83">
        <v>272.41000000000003</v>
      </c>
      <c r="L20" s="83">
        <v>305.17</v>
      </c>
      <c r="M20" s="83">
        <v>292.32</v>
      </c>
      <c r="N20" s="83">
        <v>247.97</v>
      </c>
      <c r="O20" s="83">
        <v>318.27999999999997</v>
      </c>
      <c r="P20" s="83">
        <v>297.11</v>
      </c>
      <c r="Q20" s="83">
        <v>448.14</v>
      </c>
      <c r="R20" s="84">
        <v>4544.3999999999996</v>
      </c>
      <c r="S20" s="84">
        <v>3805.2</v>
      </c>
      <c r="T20" s="84">
        <v>3889.2</v>
      </c>
      <c r="U20" s="84">
        <v>4418.3999999999996</v>
      </c>
      <c r="V20" s="84">
        <v>2940</v>
      </c>
      <c r="W20" s="84">
        <v>2730</v>
      </c>
      <c r="X20" s="84">
        <v>2562</v>
      </c>
      <c r="Y20" s="84">
        <v>2704.8</v>
      </c>
      <c r="Z20" s="84">
        <v>2469.6</v>
      </c>
      <c r="AA20" s="84">
        <v>2041.2</v>
      </c>
      <c r="AB20" s="84">
        <v>2679.6</v>
      </c>
      <c r="AC20" s="84">
        <v>2822.4</v>
      </c>
      <c r="AD20" s="84">
        <v>4989.6000000000004</v>
      </c>
      <c r="AE20" s="85">
        <f t="shared" si="15"/>
        <v>1424.9595276000002</v>
      </c>
      <c r="AF20" s="85">
        <f t="shared" si="16"/>
        <v>1285.4154684000002</v>
      </c>
      <c r="AG20" s="85">
        <f t="shared" si="17"/>
        <v>1172.4512300000001</v>
      </c>
      <c r="AH20" s="85">
        <f t="shared" si="18"/>
        <v>1420.3911209000003</v>
      </c>
      <c r="AI20" s="85">
        <f t="shared" si="19"/>
        <v>1030.7347816000001</v>
      </c>
      <c r="AJ20" s="85">
        <f t="shared" si="20"/>
        <v>1081.7220340000001</v>
      </c>
      <c r="AK20" s="85">
        <f t="shared" si="21"/>
        <v>870.26550290000023</v>
      </c>
      <c r="AL20" s="85">
        <f t="shared" si="22"/>
        <v>974.92354730000022</v>
      </c>
      <c r="AM20" s="85">
        <f t="shared" si="23"/>
        <v>933.87178080000012</v>
      </c>
      <c r="AN20" s="85">
        <f t="shared" si="24"/>
        <v>792.18727930000011</v>
      </c>
      <c r="AO20" s="85">
        <f t="shared" si="25"/>
        <v>1016.8059332</v>
      </c>
      <c r="AP20" s="85">
        <f t="shared" si="26"/>
        <v>949.17434590000016</v>
      </c>
      <c r="AQ20" s="85">
        <f t="shared" si="27"/>
        <v>1431.6683766000001</v>
      </c>
      <c r="AR20" s="86">
        <f t="shared" si="1"/>
        <v>2626.7540879999997</v>
      </c>
      <c r="AS20" s="86">
        <f t="shared" si="2"/>
        <v>2199.4817039999998</v>
      </c>
      <c r="AT20" s="86">
        <f t="shared" si="3"/>
        <v>2248.0353839999998</v>
      </c>
      <c r="AU20" s="86">
        <f t="shared" si="4"/>
        <v>2553.9235679999997</v>
      </c>
      <c r="AV20" s="86">
        <f t="shared" si="5"/>
        <v>1699.3788</v>
      </c>
      <c r="AW20" s="86">
        <f t="shared" si="6"/>
        <v>1577.9946</v>
      </c>
      <c r="AX20" s="86">
        <f t="shared" si="7"/>
        <v>1480.88724</v>
      </c>
      <c r="AY20" s="86">
        <f t="shared" si="8"/>
        <v>1563.428496</v>
      </c>
      <c r="AZ20" s="86">
        <f t="shared" si="9"/>
        <v>1427.4781919999998</v>
      </c>
      <c r="BA20" s="86">
        <f t="shared" si="10"/>
        <v>1179.8544239999999</v>
      </c>
      <c r="BB20" s="86">
        <f t="shared" si="11"/>
        <v>1548.862392</v>
      </c>
      <c r="BC20" s="86">
        <f t="shared" si="12"/>
        <v>1631.403648</v>
      </c>
      <c r="BD20" s="86">
        <f t="shared" si="13"/>
        <v>2884.0885920000001</v>
      </c>
    </row>
    <row r="21" spans="1:56" ht="15.75" customHeight="1">
      <c r="A21" s="77" t="s">
        <v>17</v>
      </c>
      <c r="B21" s="77" t="s">
        <v>45</v>
      </c>
      <c r="C21" s="77">
        <v>3123908</v>
      </c>
      <c r="D21" s="77" t="s">
        <v>15</v>
      </c>
      <c r="E21" s="83">
        <v>68.25</v>
      </c>
      <c r="F21" s="83">
        <v>76.44</v>
      </c>
      <c r="G21" s="83">
        <v>110.88</v>
      </c>
      <c r="H21" s="83">
        <v>176.61</v>
      </c>
      <c r="I21" s="83">
        <v>92.19</v>
      </c>
      <c r="J21" s="83">
        <v>90.3</v>
      </c>
      <c r="K21" s="83">
        <v>86.73</v>
      </c>
      <c r="L21" s="83">
        <v>86.73</v>
      </c>
      <c r="M21" s="83">
        <v>81.48</v>
      </c>
      <c r="N21" s="83">
        <v>70.56</v>
      </c>
      <c r="O21" s="83">
        <v>89.04</v>
      </c>
      <c r="P21" s="83">
        <v>76.02</v>
      </c>
      <c r="Q21" s="83">
        <v>75.81</v>
      </c>
      <c r="R21" s="84">
        <v>756</v>
      </c>
      <c r="S21" s="84">
        <v>882</v>
      </c>
      <c r="T21" s="84">
        <v>1071</v>
      </c>
      <c r="U21" s="84">
        <v>1869</v>
      </c>
      <c r="V21" s="84">
        <v>1365</v>
      </c>
      <c r="W21" s="84">
        <v>1134</v>
      </c>
      <c r="X21" s="84">
        <v>861</v>
      </c>
      <c r="Y21" s="84">
        <v>693</v>
      </c>
      <c r="Z21" s="84">
        <v>651</v>
      </c>
      <c r="AA21" s="84">
        <v>567</v>
      </c>
      <c r="AB21" s="84">
        <v>651</v>
      </c>
      <c r="AC21" s="84">
        <v>609</v>
      </c>
      <c r="AD21" s="84">
        <v>588</v>
      </c>
      <c r="AE21" s="85">
        <f t="shared" si="15"/>
        <v>218.03759250000004</v>
      </c>
      <c r="AF21" s="85">
        <f t="shared" si="16"/>
        <v>244.20210360000002</v>
      </c>
      <c r="AG21" s="85">
        <f t="shared" si="17"/>
        <v>354.22722720000002</v>
      </c>
      <c r="AH21" s="85">
        <f t="shared" si="18"/>
        <v>564.21420090000015</v>
      </c>
      <c r="AI21" s="85">
        <f t="shared" si="19"/>
        <v>294.51847110000006</v>
      </c>
      <c r="AJ21" s="85">
        <f t="shared" si="20"/>
        <v>288.48050700000005</v>
      </c>
      <c r="AK21" s="85">
        <f t="shared" si="21"/>
        <v>277.07546370000006</v>
      </c>
      <c r="AL21" s="85">
        <f t="shared" si="22"/>
        <v>277.07546370000006</v>
      </c>
      <c r="AM21" s="85">
        <f t="shared" si="23"/>
        <v>260.30334120000003</v>
      </c>
      <c r="AN21" s="85">
        <f t="shared" si="24"/>
        <v>225.41732640000004</v>
      </c>
      <c r="AO21" s="85">
        <f t="shared" si="25"/>
        <v>284.45519760000008</v>
      </c>
      <c r="AP21" s="85">
        <f t="shared" si="26"/>
        <v>242.86033380000003</v>
      </c>
      <c r="AQ21" s="85">
        <f t="shared" si="27"/>
        <v>242.18944890000003</v>
      </c>
      <c r="AR21" s="86">
        <f t="shared" si="1"/>
        <v>436.98311999999999</v>
      </c>
      <c r="AS21" s="86">
        <f t="shared" si="2"/>
        <v>509.81363999999996</v>
      </c>
      <c r="AT21" s="86">
        <f t="shared" si="3"/>
        <v>619.05941999999993</v>
      </c>
      <c r="AU21" s="86">
        <f t="shared" si="4"/>
        <v>1080.3193799999999</v>
      </c>
      <c r="AV21" s="86">
        <f t="shared" si="5"/>
        <v>788.9973</v>
      </c>
      <c r="AW21" s="86">
        <f t="shared" si="6"/>
        <v>655.47467999999992</v>
      </c>
      <c r="AX21" s="86">
        <f t="shared" si="7"/>
        <v>497.67521999999997</v>
      </c>
      <c r="AY21" s="86">
        <f t="shared" si="8"/>
        <v>400.56786</v>
      </c>
      <c r="AZ21" s="86">
        <f t="shared" si="9"/>
        <v>376.29102</v>
      </c>
      <c r="BA21" s="86">
        <f t="shared" si="10"/>
        <v>327.73733999999996</v>
      </c>
      <c r="BB21" s="86">
        <f t="shared" si="11"/>
        <v>376.29102</v>
      </c>
      <c r="BC21" s="86">
        <f t="shared" si="12"/>
        <v>352.01418000000001</v>
      </c>
      <c r="BD21" s="86">
        <f t="shared" si="13"/>
        <v>339.87576000000001</v>
      </c>
    </row>
    <row r="22" spans="1:56" ht="15.75" customHeight="1">
      <c r="A22" s="77" t="s">
        <v>17</v>
      </c>
      <c r="B22" s="77" t="s">
        <v>46</v>
      </c>
      <c r="C22" s="77">
        <v>20667</v>
      </c>
      <c r="D22" s="77" t="s">
        <v>15</v>
      </c>
      <c r="E22" s="83">
        <v>1639.01</v>
      </c>
      <c r="F22" s="83">
        <v>2064.9699999999998</v>
      </c>
      <c r="G22" s="83">
        <v>1667.48</v>
      </c>
      <c r="H22" s="83">
        <v>1663.54</v>
      </c>
      <c r="I22" s="83">
        <v>1451.94</v>
      </c>
      <c r="J22" s="83">
        <v>1540.31</v>
      </c>
      <c r="K22" s="83">
        <v>1440.35</v>
      </c>
      <c r="L22" s="83">
        <v>1284.7</v>
      </c>
      <c r="M22" s="83">
        <v>1449.76</v>
      </c>
      <c r="N22" s="83">
        <v>1287.47</v>
      </c>
      <c r="O22" s="83">
        <v>1710.24</v>
      </c>
      <c r="P22" s="83">
        <v>1867.24</v>
      </c>
      <c r="Q22" s="83">
        <v>1936.87</v>
      </c>
      <c r="R22" s="84">
        <v>34624.800000000003</v>
      </c>
      <c r="S22" s="84">
        <v>41756.400000000001</v>
      </c>
      <c r="T22" s="84">
        <v>38724</v>
      </c>
      <c r="U22" s="84">
        <v>36019.199999999997</v>
      </c>
      <c r="V22" s="84">
        <v>31844.400000000001</v>
      </c>
      <c r="W22" s="84">
        <v>31861.200000000001</v>
      </c>
      <c r="X22" s="84">
        <v>31399.200000000001</v>
      </c>
      <c r="Y22" s="84">
        <v>22722</v>
      </c>
      <c r="Z22" s="84">
        <v>27190.799999999999</v>
      </c>
      <c r="AA22" s="84">
        <v>26922</v>
      </c>
      <c r="AB22" s="84">
        <v>36145.199999999997</v>
      </c>
      <c r="AC22" s="84">
        <v>37405.199999999997</v>
      </c>
      <c r="AD22" s="84">
        <v>39723.599999999999</v>
      </c>
      <c r="AE22" s="85">
        <f t="shared" si="15"/>
        <v>5236.1288569000008</v>
      </c>
      <c r="AF22" s="85">
        <f t="shared" si="16"/>
        <v>6596.9390093000002</v>
      </c>
      <c r="AG22" s="85">
        <f t="shared" si="17"/>
        <v>5327.0816812000012</v>
      </c>
      <c r="AH22" s="85">
        <f t="shared" si="18"/>
        <v>5314.4946026000007</v>
      </c>
      <c r="AI22" s="85">
        <f t="shared" si="19"/>
        <v>4638.4981986000012</v>
      </c>
      <c r="AJ22" s="85">
        <f t="shared" si="20"/>
        <v>4920.8129539000001</v>
      </c>
      <c r="AK22" s="85">
        <f t="shared" si="21"/>
        <v>4601.4717415000005</v>
      </c>
      <c r="AL22" s="85">
        <f t="shared" si="22"/>
        <v>4104.2182430000012</v>
      </c>
      <c r="AM22" s="85">
        <f t="shared" si="23"/>
        <v>4631.5337744000008</v>
      </c>
      <c r="AN22" s="85">
        <f t="shared" si="24"/>
        <v>4113.0675343000003</v>
      </c>
      <c r="AO22" s="85">
        <f t="shared" si="25"/>
        <v>5463.6866256000012</v>
      </c>
      <c r="AP22" s="85">
        <f t="shared" si="26"/>
        <v>5965.2529556000009</v>
      </c>
      <c r="AQ22" s="85">
        <f t="shared" si="27"/>
        <v>6187.6992203000009</v>
      </c>
      <c r="AR22" s="86">
        <f t="shared" si="1"/>
        <v>20013.826896000002</v>
      </c>
      <c r="AS22" s="86">
        <f t="shared" si="2"/>
        <v>24136.034328000002</v>
      </c>
      <c r="AT22" s="86">
        <f t="shared" si="3"/>
        <v>22383.246479999998</v>
      </c>
      <c r="AU22" s="86">
        <f t="shared" si="4"/>
        <v>20819.817983999998</v>
      </c>
      <c r="AV22" s="86">
        <f t="shared" si="5"/>
        <v>18406.700088000001</v>
      </c>
      <c r="AW22" s="86">
        <f t="shared" si="6"/>
        <v>18416.410823999999</v>
      </c>
      <c r="AX22" s="86">
        <f t="shared" si="7"/>
        <v>18149.365583999999</v>
      </c>
      <c r="AY22" s="86">
        <f t="shared" si="8"/>
        <v>13133.77044</v>
      </c>
      <c r="AZ22" s="86">
        <f t="shared" si="9"/>
        <v>15716.826215999999</v>
      </c>
      <c r="BA22" s="86">
        <f t="shared" si="10"/>
        <v>15561.45444</v>
      </c>
      <c r="BB22" s="86">
        <f t="shared" si="11"/>
        <v>20892.648503999997</v>
      </c>
      <c r="BC22" s="86">
        <f t="shared" si="12"/>
        <v>21620.953703999996</v>
      </c>
      <c r="BD22" s="86">
        <f t="shared" si="13"/>
        <v>22961.035271999997</v>
      </c>
    </row>
    <row r="23" spans="1:56" ht="15.75" customHeight="1">
      <c r="A23" s="77" t="s">
        <v>17</v>
      </c>
      <c r="B23" s="77" t="s">
        <v>51</v>
      </c>
      <c r="C23" s="77">
        <v>1818</v>
      </c>
      <c r="D23" s="77" t="s">
        <v>15</v>
      </c>
      <c r="E23" s="83">
        <v>290.22000000000003</v>
      </c>
      <c r="F23" s="83">
        <v>267.37</v>
      </c>
      <c r="G23" s="83">
        <v>302.99</v>
      </c>
      <c r="H23" s="83">
        <v>250.49</v>
      </c>
      <c r="I23" s="83">
        <v>237.55</v>
      </c>
      <c r="J23" s="83">
        <v>301.64</v>
      </c>
      <c r="K23" s="83">
        <v>244.78</v>
      </c>
      <c r="L23" s="83">
        <v>278.70999999999998</v>
      </c>
      <c r="M23" s="83">
        <v>319.62</v>
      </c>
      <c r="N23" s="83">
        <v>296.60000000000002</v>
      </c>
      <c r="O23" s="83">
        <v>337.76</v>
      </c>
      <c r="P23" s="83">
        <v>330.29</v>
      </c>
      <c r="Q23" s="83">
        <v>292.66000000000003</v>
      </c>
      <c r="R23" s="84">
        <v>4393.2</v>
      </c>
      <c r="S23" s="84">
        <v>4317.6000000000004</v>
      </c>
      <c r="T23" s="84">
        <v>3964.8</v>
      </c>
      <c r="U23" s="84">
        <v>4032</v>
      </c>
      <c r="V23" s="84">
        <v>3822</v>
      </c>
      <c r="W23" s="84">
        <v>4174.8</v>
      </c>
      <c r="X23" s="84">
        <v>3872.4</v>
      </c>
      <c r="Y23" s="84">
        <v>3712.8</v>
      </c>
      <c r="Z23" s="84">
        <v>4200</v>
      </c>
      <c r="AA23" s="84">
        <v>4527.6000000000004</v>
      </c>
      <c r="AB23" s="84">
        <v>4830</v>
      </c>
      <c r="AC23" s="84">
        <v>4796.3999999999996</v>
      </c>
      <c r="AD23" s="84">
        <v>4418.3999999999996</v>
      </c>
      <c r="AE23" s="85">
        <f t="shared" si="15"/>
        <v>927.16293180000025</v>
      </c>
      <c r="AF23" s="85">
        <f t="shared" si="16"/>
        <v>854.16426530000012</v>
      </c>
      <c r="AG23" s="85">
        <f t="shared" si="17"/>
        <v>967.95912310000017</v>
      </c>
      <c r="AH23" s="85">
        <f t="shared" si="18"/>
        <v>800.23789810000017</v>
      </c>
      <c r="AI23" s="85">
        <f t="shared" si="19"/>
        <v>758.89860950000013</v>
      </c>
      <c r="AJ23" s="85">
        <f t="shared" si="20"/>
        <v>963.64629160000015</v>
      </c>
      <c r="AK23" s="85">
        <f t="shared" si="21"/>
        <v>781.99621820000016</v>
      </c>
      <c r="AL23" s="85">
        <f t="shared" si="22"/>
        <v>890.39204990000007</v>
      </c>
      <c r="AM23" s="85">
        <f t="shared" si="23"/>
        <v>1021.0868178000002</v>
      </c>
      <c r="AN23" s="85">
        <f t="shared" si="24"/>
        <v>947.54505400000016</v>
      </c>
      <c r="AO23" s="85">
        <f t="shared" si="25"/>
        <v>1079.0384944000002</v>
      </c>
      <c r="AP23" s="85">
        <f t="shared" si="26"/>
        <v>1055.1741601000001</v>
      </c>
      <c r="AQ23" s="85">
        <f t="shared" si="27"/>
        <v>934.95797540000024</v>
      </c>
      <c r="AR23" s="86">
        <f t="shared" si="1"/>
        <v>2539.3574639999997</v>
      </c>
      <c r="AS23" s="86">
        <f t="shared" si="2"/>
        <v>2495.6591520000002</v>
      </c>
      <c r="AT23" s="86">
        <f t="shared" si="3"/>
        <v>2291.7336960000002</v>
      </c>
      <c r="AU23" s="86">
        <f t="shared" si="4"/>
        <v>2330.5766399999998</v>
      </c>
      <c r="AV23" s="86">
        <f t="shared" si="5"/>
        <v>2209.1924399999998</v>
      </c>
      <c r="AW23" s="86">
        <f t="shared" si="6"/>
        <v>2413.1178960000002</v>
      </c>
      <c r="AX23" s="86">
        <f t="shared" si="7"/>
        <v>2238.3246479999998</v>
      </c>
      <c r="AY23" s="86">
        <f t="shared" si="8"/>
        <v>2146.0726559999998</v>
      </c>
      <c r="AZ23" s="86">
        <f t="shared" si="9"/>
        <v>2427.6839999999997</v>
      </c>
      <c r="BA23" s="86">
        <f t="shared" si="10"/>
        <v>2617.0433520000001</v>
      </c>
      <c r="BB23" s="86">
        <f t="shared" si="11"/>
        <v>2791.8366000000001</v>
      </c>
      <c r="BC23" s="86">
        <f t="shared" si="12"/>
        <v>2772.4151279999996</v>
      </c>
      <c r="BD23" s="86">
        <f t="shared" si="13"/>
        <v>2553.9235679999997</v>
      </c>
    </row>
    <row r="24" spans="1:56" ht="15.75" customHeight="1">
      <c r="A24" s="77" t="s">
        <v>17</v>
      </c>
      <c r="B24" s="77" t="s">
        <v>53</v>
      </c>
      <c r="C24" s="77">
        <v>21148</v>
      </c>
      <c r="D24" s="77" t="s">
        <v>15</v>
      </c>
      <c r="E24" s="83">
        <v>2400.7199999999998</v>
      </c>
      <c r="F24" s="83">
        <v>2917.11</v>
      </c>
      <c r="G24" s="83">
        <v>2706.48</v>
      </c>
      <c r="H24" s="83">
        <v>2218.86</v>
      </c>
      <c r="I24" s="83">
        <v>1914.57</v>
      </c>
      <c r="J24" s="83">
        <v>2294.88</v>
      </c>
      <c r="K24" s="83">
        <v>1936.62</v>
      </c>
      <c r="L24" s="83">
        <v>1920.66</v>
      </c>
      <c r="M24" s="83">
        <v>2187.15</v>
      </c>
      <c r="N24" s="83">
        <v>2088.0300000000002</v>
      </c>
      <c r="O24" s="83">
        <v>2648.52</v>
      </c>
      <c r="P24" s="83">
        <v>2720.97</v>
      </c>
      <c r="Q24" s="83">
        <v>2900.31</v>
      </c>
      <c r="R24" s="84">
        <v>37506</v>
      </c>
      <c r="S24" s="84">
        <v>42651</v>
      </c>
      <c r="T24" s="84">
        <v>41328</v>
      </c>
      <c r="U24" s="84">
        <v>38073</v>
      </c>
      <c r="V24" s="84">
        <v>33327</v>
      </c>
      <c r="W24" s="84">
        <v>35091</v>
      </c>
      <c r="X24" s="84">
        <v>33243</v>
      </c>
      <c r="Y24" s="84">
        <v>27825</v>
      </c>
      <c r="Z24" s="84">
        <v>30954</v>
      </c>
      <c r="AA24" s="84">
        <v>31878</v>
      </c>
      <c r="AB24" s="84">
        <v>39123</v>
      </c>
      <c r="AC24" s="84">
        <v>40320</v>
      </c>
      <c r="AD24" s="84">
        <v>40908</v>
      </c>
      <c r="AE24" s="85">
        <f t="shared" si="15"/>
        <v>7669.5561768000007</v>
      </c>
      <c r="AF24" s="85">
        <f t="shared" si="16"/>
        <v>9319.262145900002</v>
      </c>
      <c r="AG24" s="85">
        <f t="shared" si="17"/>
        <v>8646.3645912000011</v>
      </c>
      <c r="AH24" s="85">
        <f t="shared" si="18"/>
        <v>7088.5698534000012</v>
      </c>
      <c r="AI24" s="85">
        <f t="shared" si="19"/>
        <v>6116.4576333000005</v>
      </c>
      <c r="AJ24" s="85">
        <f t="shared" si="20"/>
        <v>7331.4301872000015</v>
      </c>
      <c r="AK24" s="85">
        <f t="shared" si="21"/>
        <v>6186.9005478000008</v>
      </c>
      <c r="AL24" s="85">
        <f t="shared" si="22"/>
        <v>6135.9132954000015</v>
      </c>
      <c r="AM24" s="85">
        <f t="shared" si="23"/>
        <v>6987.2662335000014</v>
      </c>
      <c r="AN24" s="85">
        <f t="shared" si="24"/>
        <v>6670.6085607000014</v>
      </c>
      <c r="AO24" s="85">
        <f t="shared" si="25"/>
        <v>8461.2003588000007</v>
      </c>
      <c r="AP24" s="85">
        <f t="shared" si="26"/>
        <v>8692.6556493000007</v>
      </c>
      <c r="AQ24" s="85">
        <f t="shared" si="27"/>
        <v>9265.5913539000012</v>
      </c>
      <c r="AR24" s="86">
        <f t="shared" si="1"/>
        <v>21679.218119999998</v>
      </c>
      <c r="AS24" s="86">
        <f t="shared" si="2"/>
        <v>24653.131020000001</v>
      </c>
      <c r="AT24" s="86">
        <f t="shared" si="3"/>
        <v>23888.41056</v>
      </c>
      <c r="AU24" s="86">
        <f t="shared" si="4"/>
        <v>22006.955459999997</v>
      </c>
      <c r="AV24" s="86">
        <f t="shared" si="5"/>
        <v>19263.67254</v>
      </c>
      <c r="AW24" s="86">
        <f t="shared" si="6"/>
        <v>20283.29982</v>
      </c>
      <c r="AX24" s="86">
        <f t="shared" si="7"/>
        <v>19215.118859999999</v>
      </c>
      <c r="AY24" s="86">
        <f t="shared" si="8"/>
        <v>16083.406499999999</v>
      </c>
      <c r="AZ24" s="86">
        <f t="shared" si="9"/>
        <v>17892.031080000001</v>
      </c>
      <c r="BA24" s="86">
        <f t="shared" si="10"/>
        <v>18426.12156</v>
      </c>
      <c r="BB24" s="86">
        <f t="shared" si="11"/>
        <v>22613.876459999999</v>
      </c>
      <c r="BC24" s="86">
        <f t="shared" si="12"/>
        <v>23305.7664</v>
      </c>
      <c r="BD24" s="86">
        <f t="shared" si="13"/>
        <v>23645.642159999999</v>
      </c>
    </row>
    <row r="25" spans="1:56" ht="15.75" customHeight="1">
      <c r="A25" s="77" t="s">
        <v>17</v>
      </c>
      <c r="B25" s="77" t="s">
        <v>54</v>
      </c>
      <c r="C25" s="77">
        <v>2876426</v>
      </c>
      <c r="D25" s="77" t="s">
        <v>15</v>
      </c>
      <c r="E25" s="83">
        <v>193.28</v>
      </c>
      <c r="F25" s="83">
        <v>206.14</v>
      </c>
      <c r="G25" s="83">
        <v>130.12</v>
      </c>
      <c r="H25" s="83">
        <v>167.58</v>
      </c>
      <c r="I25" s="83">
        <v>157.08000000000001</v>
      </c>
      <c r="J25" s="83">
        <v>197.23</v>
      </c>
      <c r="K25" s="83">
        <v>179.68</v>
      </c>
      <c r="L25" s="83">
        <v>177.07</v>
      </c>
      <c r="M25" s="83">
        <v>171.7</v>
      </c>
      <c r="N25" s="83">
        <v>178.25</v>
      </c>
      <c r="O25" s="83">
        <v>199</v>
      </c>
      <c r="P25" s="83">
        <v>183.29</v>
      </c>
      <c r="Q25" s="83">
        <v>187.91</v>
      </c>
      <c r="R25" s="84">
        <v>4418.3999999999996</v>
      </c>
      <c r="S25" s="84">
        <v>4645.2</v>
      </c>
      <c r="T25" s="84">
        <v>1461.6</v>
      </c>
      <c r="U25" s="84">
        <v>2772</v>
      </c>
      <c r="V25" s="84">
        <v>4032</v>
      </c>
      <c r="W25" s="84">
        <v>3670.8</v>
      </c>
      <c r="X25" s="84">
        <v>3553.2</v>
      </c>
      <c r="Y25" s="84">
        <v>2797.2</v>
      </c>
      <c r="Z25" s="84">
        <v>2007.6</v>
      </c>
      <c r="AA25" s="84">
        <v>3158.4</v>
      </c>
      <c r="AB25" s="84">
        <v>4057.2</v>
      </c>
      <c r="AC25" s="84">
        <v>4275.6000000000004</v>
      </c>
      <c r="AD25" s="84">
        <v>4527.6000000000004</v>
      </c>
      <c r="AE25" s="85">
        <f t="shared" si="15"/>
        <v>617.46968320000008</v>
      </c>
      <c r="AF25" s="85">
        <f t="shared" si="16"/>
        <v>658.55339660000004</v>
      </c>
      <c r="AG25" s="85">
        <f t="shared" si="17"/>
        <v>415.69306280000006</v>
      </c>
      <c r="AH25" s="85">
        <f t="shared" si="18"/>
        <v>535.36615020000011</v>
      </c>
      <c r="AI25" s="85">
        <f t="shared" si="19"/>
        <v>501.82190520000012</v>
      </c>
      <c r="AJ25" s="85">
        <f t="shared" si="20"/>
        <v>630.0887087000001</v>
      </c>
      <c r="AK25" s="85">
        <f t="shared" si="21"/>
        <v>574.02189920000012</v>
      </c>
      <c r="AL25" s="85">
        <f t="shared" si="22"/>
        <v>565.68375830000002</v>
      </c>
      <c r="AM25" s="85">
        <f t="shared" si="23"/>
        <v>548.52827300000001</v>
      </c>
      <c r="AN25" s="85">
        <f t="shared" si="24"/>
        <v>569.45349250000004</v>
      </c>
      <c r="AO25" s="85">
        <f t="shared" si="25"/>
        <v>635.74331000000006</v>
      </c>
      <c r="AP25" s="85">
        <f t="shared" si="26"/>
        <v>585.55473010000003</v>
      </c>
      <c r="AQ25" s="85">
        <f t="shared" si="27"/>
        <v>600.31419790000007</v>
      </c>
      <c r="AR25" s="86">
        <f t="shared" si="1"/>
        <v>2553.9235679999997</v>
      </c>
      <c r="AS25" s="86">
        <f t="shared" si="2"/>
        <v>2685.0185039999997</v>
      </c>
      <c r="AT25" s="86">
        <f t="shared" si="3"/>
        <v>844.83403199999987</v>
      </c>
      <c r="AU25" s="86">
        <f t="shared" si="4"/>
        <v>1602.27144</v>
      </c>
      <c r="AV25" s="86">
        <f t="shared" si="5"/>
        <v>2330.5766399999998</v>
      </c>
      <c r="AW25" s="86">
        <f t="shared" si="6"/>
        <v>2121.7958159999998</v>
      </c>
      <c r="AX25" s="86">
        <f t="shared" si="7"/>
        <v>2053.8206639999999</v>
      </c>
      <c r="AY25" s="86">
        <f t="shared" si="8"/>
        <v>1616.8375439999998</v>
      </c>
      <c r="AZ25" s="86">
        <f t="shared" si="9"/>
        <v>1160.4329519999999</v>
      </c>
      <c r="BA25" s="86">
        <f t="shared" si="10"/>
        <v>1825.6183679999999</v>
      </c>
      <c r="BB25" s="86">
        <f t="shared" si="11"/>
        <v>2345.1427439999998</v>
      </c>
      <c r="BC25" s="86">
        <f t="shared" si="12"/>
        <v>2471.3823120000002</v>
      </c>
      <c r="BD25" s="86">
        <f t="shared" si="13"/>
        <v>2617.0433520000001</v>
      </c>
    </row>
    <row r="26" spans="1:56" ht="15.75" customHeight="1">
      <c r="A26" s="77" t="s">
        <v>17</v>
      </c>
      <c r="B26" s="77" t="s">
        <v>56</v>
      </c>
      <c r="C26" s="77">
        <v>2800724</v>
      </c>
      <c r="D26" s="77" t="s">
        <v>15</v>
      </c>
      <c r="E26" s="83">
        <v>237.26</v>
      </c>
      <c r="F26" s="83">
        <v>236.59</v>
      </c>
      <c r="G26" s="83">
        <v>112.43</v>
      </c>
      <c r="H26" s="83">
        <v>174.05</v>
      </c>
      <c r="I26" s="83">
        <v>216.97</v>
      </c>
      <c r="J26" s="83">
        <v>252.46</v>
      </c>
      <c r="K26" s="83">
        <v>248.39</v>
      </c>
      <c r="L26" s="83">
        <v>241.04</v>
      </c>
      <c r="M26" s="83">
        <v>227.14</v>
      </c>
      <c r="N26" s="83">
        <v>229.07</v>
      </c>
      <c r="O26" s="83">
        <v>287.7</v>
      </c>
      <c r="P26" s="83">
        <v>300.97000000000003</v>
      </c>
      <c r="Q26" s="83">
        <v>312.23</v>
      </c>
      <c r="R26" s="84">
        <v>4531.8</v>
      </c>
      <c r="S26" s="84">
        <v>4510.8</v>
      </c>
      <c r="T26" s="84">
        <v>1457.4</v>
      </c>
      <c r="U26" s="84">
        <v>2944.2</v>
      </c>
      <c r="V26" s="84">
        <v>3838.8</v>
      </c>
      <c r="W26" s="84">
        <v>3935.4</v>
      </c>
      <c r="X26" s="84">
        <v>3893.4</v>
      </c>
      <c r="Y26" s="84">
        <v>2982</v>
      </c>
      <c r="Z26" s="84">
        <v>2570.4</v>
      </c>
      <c r="AA26" s="84">
        <v>3334.8</v>
      </c>
      <c r="AB26" s="84">
        <v>3792.6</v>
      </c>
      <c r="AC26" s="84">
        <v>4086.6</v>
      </c>
      <c r="AD26" s="84">
        <v>4305</v>
      </c>
      <c r="AE26" s="85">
        <f t="shared" si="15"/>
        <v>757.97214940000003</v>
      </c>
      <c r="AF26" s="85">
        <f t="shared" si="16"/>
        <v>755.83170710000013</v>
      </c>
      <c r="AG26" s="85">
        <f t="shared" si="17"/>
        <v>359.17899670000008</v>
      </c>
      <c r="AH26" s="85">
        <f t="shared" si="18"/>
        <v>556.03579450000007</v>
      </c>
      <c r="AI26" s="85">
        <f t="shared" si="19"/>
        <v>693.15188930000011</v>
      </c>
      <c r="AJ26" s="85">
        <f t="shared" si="20"/>
        <v>806.53143740000019</v>
      </c>
      <c r="AK26" s="85">
        <f t="shared" si="21"/>
        <v>793.52904910000007</v>
      </c>
      <c r="AL26" s="85">
        <f t="shared" si="22"/>
        <v>770.04807760000006</v>
      </c>
      <c r="AM26" s="85">
        <f t="shared" si="23"/>
        <v>725.64188660000002</v>
      </c>
      <c r="AN26" s="85">
        <f t="shared" si="24"/>
        <v>731.80763830000012</v>
      </c>
      <c r="AO26" s="85">
        <f t="shared" si="25"/>
        <v>919.11231300000009</v>
      </c>
      <c r="AP26" s="85">
        <f t="shared" si="26"/>
        <v>961.50584930000025</v>
      </c>
      <c r="AQ26" s="85">
        <f t="shared" si="27"/>
        <v>997.47805870000025</v>
      </c>
      <c r="AR26" s="86">
        <f t="shared" si="1"/>
        <v>2619.4710359999999</v>
      </c>
      <c r="AS26" s="86">
        <f t="shared" si="2"/>
        <v>2607.3326160000001</v>
      </c>
      <c r="AT26" s="86">
        <f t="shared" si="3"/>
        <v>842.40634799999998</v>
      </c>
      <c r="AU26" s="86">
        <f t="shared" si="4"/>
        <v>1701.8064839999997</v>
      </c>
      <c r="AV26" s="86">
        <f t="shared" si="5"/>
        <v>2218.9031759999998</v>
      </c>
      <c r="AW26" s="86">
        <f t="shared" si="6"/>
        <v>2274.739908</v>
      </c>
      <c r="AX26" s="86">
        <f t="shared" si="7"/>
        <v>2250.463068</v>
      </c>
      <c r="AY26" s="86">
        <f t="shared" si="8"/>
        <v>1723.6556399999999</v>
      </c>
      <c r="AZ26" s="86">
        <f t="shared" si="9"/>
        <v>1485.742608</v>
      </c>
      <c r="BA26" s="86">
        <f t="shared" si="10"/>
        <v>1927.5810960000001</v>
      </c>
      <c r="BB26" s="86">
        <f t="shared" si="11"/>
        <v>2192.198652</v>
      </c>
      <c r="BC26" s="86">
        <f t="shared" si="12"/>
        <v>2362.136532</v>
      </c>
      <c r="BD26" s="86">
        <f t="shared" si="13"/>
        <v>2488.3761</v>
      </c>
    </row>
    <row r="27" spans="1:56" ht="15.75" customHeight="1">
      <c r="A27" s="77" t="s">
        <v>17</v>
      </c>
      <c r="B27" s="77" t="s">
        <v>57</v>
      </c>
      <c r="C27" s="77">
        <v>3830</v>
      </c>
      <c r="D27" s="77" t="s">
        <v>15</v>
      </c>
      <c r="E27" s="83">
        <v>764.15</v>
      </c>
      <c r="F27" s="83">
        <v>611.94000000000005</v>
      </c>
      <c r="G27" s="83">
        <v>554.4</v>
      </c>
      <c r="H27" s="83">
        <v>565.99</v>
      </c>
      <c r="I27" s="83">
        <v>584.39</v>
      </c>
      <c r="J27" s="83">
        <v>728.87</v>
      </c>
      <c r="K27" s="83">
        <v>666.12</v>
      </c>
      <c r="L27" s="83">
        <v>678.89</v>
      </c>
      <c r="M27" s="83">
        <v>709.3</v>
      </c>
      <c r="N27" s="83">
        <v>679.06</v>
      </c>
      <c r="O27" s="83">
        <v>869.74</v>
      </c>
      <c r="P27" s="83">
        <v>745.08</v>
      </c>
      <c r="Q27" s="83">
        <v>754.53</v>
      </c>
      <c r="R27" s="84">
        <v>7770</v>
      </c>
      <c r="S27" s="84">
        <v>6249.6</v>
      </c>
      <c r="T27" s="84">
        <v>5728.8</v>
      </c>
      <c r="U27" s="84">
        <v>6182.4</v>
      </c>
      <c r="V27" s="84">
        <v>7039.2</v>
      </c>
      <c r="W27" s="84">
        <v>6972</v>
      </c>
      <c r="X27" s="84">
        <v>6913.2</v>
      </c>
      <c r="Y27" s="84">
        <v>7022.4</v>
      </c>
      <c r="Z27" s="84">
        <v>6854.4</v>
      </c>
      <c r="AA27" s="84">
        <v>7383.6</v>
      </c>
      <c r="AB27" s="84">
        <v>7778.4</v>
      </c>
      <c r="AC27" s="84">
        <v>7896</v>
      </c>
      <c r="AD27" s="84">
        <v>7938</v>
      </c>
      <c r="AE27" s="85">
        <f t="shared" si="15"/>
        <v>2441.2223635000005</v>
      </c>
      <c r="AF27" s="85">
        <f t="shared" si="16"/>
        <v>1954.9585986000004</v>
      </c>
      <c r="AG27" s="85">
        <f t="shared" si="17"/>
        <v>1771.1361360000001</v>
      </c>
      <c r="AH27" s="85">
        <f t="shared" si="18"/>
        <v>1808.1625931000003</v>
      </c>
      <c r="AI27" s="85">
        <f t="shared" si="19"/>
        <v>1866.9448891000002</v>
      </c>
      <c r="AJ27" s="85">
        <f t="shared" si="20"/>
        <v>2328.5137003000004</v>
      </c>
      <c r="AK27" s="85">
        <f t="shared" si="21"/>
        <v>2128.0469028000002</v>
      </c>
      <c r="AL27" s="85">
        <f t="shared" si="22"/>
        <v>2168.8430941000001</v>
      </c>
      <c r="AM27" s="85">
        <f t="shared" si="23"/>
        <v>2265.9936170000001</v>
      </c>
      <c r="AN27" s="85">
        <f t="shared" si="24"/>
        <v>2169.3861914000004</v>
      </c>
      <c r="AO27" s="85">
        <f t="shared" si="25"/>
        <v>2778.5496806000006</v>
      </c>
      <c r="AP27" s="85">
        <f t="shared" si="26"/>
        <v>2380.2996252000003</v>
      </c>
      <c r="AQ27" s="85">
        <f t="shared" si="27"/>
        <v>2410.4894457000005</v>
      </c>
      <c r="AR27" s="86">
        <f t="shared" si="1"/>
        <v>4491.2154</v>
      </c>
      <c r="AS27" s="86">
        <f t="shared" si="2"/>
        <v>3612.3937919999998</v>
      </c>
      <c r="AT27" s="86">
        <f t="shared" si="3"/>
        <v>3311.3609759999999</v>
      </c>
      <c r="AU27" s="86">
        <f t="shared" si="4"/>
        <v>3573.5508479999999</v>
      </c>
      <c r="AV27" s="86">
        <f t="shared" si="5"/>
        <v>4068.7983839999997</v>
      </c>
      <c r="AW27" s="86">
        <f t="shared" si="6"/>
        <v>4029.9554399999997</v>
      </c>
      <c r="AX27" s="86">
        <f t="shared" si="7"/>
        <v>3995.9678639999997</v>
      </c>
      <c r="AY27" s="86">
        <f t="shared" si="8"/>
        <v>4059.0876479999997</v>
      </c>
      <c r="AZ27" s="86">
        <f t="shared" si="9"/>
        <v>3961.9802879999997</v>
      </c>
      <c r="BA27" s="86">
        <f t="shared" si="10"/>
        <v>4267.8684720000001</v>
      </c>
      <c r="BB27" s="86">
        <f t="shared" si="11"/>
        <v>4496.0707679999996</v>
      </c>
      <c r="BC27" s="86">
        <f t="shared" si="12"/>
        <v>4564.0459199999996</v>
      </c>
      <c r="BD27" s="86">
        <f t="shared" si="13"/>
        <v>4588.32276</v>
      </c>
    </row>
    <row r="28" spans="1:56" ht="15.75" customHeight="1">
      <c r="A28" s="77" t="s">
        <v>17</v>
      </c>
      <c r="B28" s="77" t="s">
        <v>58</v>
      </c>
      <c r="C28" s="77">
        <v>3826</v>
      </c>
      <c r="D28" s="77" t="s">
        <v>15</v>
      </c>
      <c r="E28" s="83">
        <v>348.35</v>
      </c>
      <c r="F28" s="83">
        <v>290.39</v>
      </c>
      <c r="G28" s="83">
        <v>284.42</v>
      </c>
      <c r="H28" s="83">
        <v>320.12</v>
      </c>
      <c r="I28" s="83">
        <v>308.87</v>
      </c>
      <c r="J28" s="83">
        <v>398.58</v>
      </c>
      <c r="K28" s="83">
        <v>365.23</v>
      </c>
      <c r="L28" s="83">
        <v>188.37</v>
      </c>
      <c r="M28" s="83">
        <v>186.69</v>
      </c>
      <c r="N28" s="83">
        <v>186.48</v>
      </c>
      <c r="O28" s="83">
        <v>190.05</v>
      </c>
      <c r="P28" s="83">
        <v>196.98</v>
      </c>
      <c r="Q28" s="83" t="s">
        <v>2082</v>
      </c>
      <c r="R28" s="84">
        <v>5350.8</v>
      </c>
      <c r="S28" s="84">
        <v>3444</v>
      </c>
      <c r="T28" s="84">
        <v>3519.6</v>
      </c>
      <c r="U28" s="84">
        <v>4410</v>
      </c>
      <c r="V28" s="84">
        <v>5014.8</v>
      </c>
      <c r="W28" s="84">
        <v>5342.4</v>
      </c>
      <c r="X28" s="84">
        <v>5140.8</v>
      </c>
      <c r="Y28" s="84">
        <v>4074</v>
      </c>
      <c r="Z28" s="84">
        <v>3948</v>
      </c>
      <c r="AA28" s="84">
        <v>3864</v>
      </c>
      <c r="AB28" s="84">
        <v>3822</v>
      </c>
      <c r="AC28" s="84">
        <v>3885</v>
      </c>
      <c r="AD28" s="84">
        <v>8337</v>
      </c>
      <c r="AE28" s="85">
        <f t="shared" ref="AE28:AP35" si="28">E28*(0.58796+2.60673)</f>
        <v>1112.8702615000002</v>
      </c>
      <c r="AF28" s="85">
        <f t="shared" si="28"/>
        <v>927.70602910000014</v>
      </c>
      <c r="AG28" s="85">
        <f t="shared" si="28"/>
        <v>908.6337298000002</v>
      </c>
      <c r="AH28" s="85">
        <f t="shared" si="28"/>
        <v>1022.6841628000002</v>
      </c>
      <c r="AI28" s="85">
        <f t="shared" si="28"/>
        <v>986.74390030000018</v>
      </c>
      <c r="AJ28" s="85">
        <f t="shared" si="28"/>
        <v>1273.3395402000001</v>
      </c>
      <c r="AK28" s="85">
        <f t="shared" si="28"/>
        <v>1166.7966287000002</v>
      </c>
      <c r="AL28" s="85">
        <f t="shared" si="28"/>
        <v>601.78375530000005</v>
      </c>
      <c r="AM28" s="85">
        <f t="shared" si="28"/>
        <v>596.41667610000013</v>
      </c>
      <c r="AN28" s="85">
        <f t="shared" si="28"/>
        <v>595.7457912000001</v>
      </c>
      <c r="AO28" s="85">
        <f t="shared" si="28"/>
        <v>607.15083450000009</v>
      </c>
      <c r="AP28" s="85">
        <f t="shared" si="28"/>
        <v>629.29003620000003</v>
      </c>
      <c r="AQ28" s="85"/>
      <c r="AR28" s="86">
        <f t="shared" si="1"/>
        <v>3092.869416</v>
      </c>
      <c r="AS28" s="86">
        <f t="shared" si="2"/>
        <v>1990.7008799999999</v>
      </c>
      <c r="AT28" s="86">
        <f t="shared" si="3"/>
        <v>2034.3991919999999</v>
      </c>
      <c r="AU28" s="86">
        <f t="shared" si="4"/>
        <v>2549.0681999999997</v>
      </c>
      <c r="AV28" s="86">
        <f t="shared" si="5"/>
        <v>2898.6546960000001</v>
      </c>
      <c r="AW28" s="86">
        <f t="shared" si="6"/>
        <v>3088.0140479999995</v>
      </c>
      <c r="AX28" s="86">
        <f t="shared" si="7"/>
        <v>2971.485216</v>
      </c>
      <c r="AY28" s="86">
        <f t="shared" si="8"/>
        <v>2354.8534799999998</v>
      </c>
      <c r="AZ28" s="86">
        <f t="shared" si="9"/>
        <v>2282.0229599999998</v>
      </c>
      <c r="BA28" s="86">
        <f t="shared" si="10"/>
        <v>2233.4692799999998</v>
      </c>
      <c r="BB28" s="86">
        <f t="shared" si="11"/>
        <v>2209.1924399999998</v>
      </c>
      <c r="BC28" s="86">
        <f t="shared" si="12"/>
        <v>2245.6077</v>
      </c>
      <c r="BD28" s="86">
        <f t="shared" si="13"/>
        <v>4818.9527399999997</v>
      </c>
    </row>
    <row r="29" spans="1:56" ht="15.75" customHeight="1">
      <c r="A29" s="77" t="s">
        <v>17</v>
      </c>
      <c r="B29" s="77" t="s">
        <v>59</v>
      </c>
      <c r="C29" s="77">
        <v>3841</v>
      </c>
      <c r="D29" s="77" t="s">
        <v>15</v>
      </c>
      <c r="E29" s="83">
        <v>314.58</v>
      </c>
      <c r="F29" s="83">
        <v>296.31</v>
      </c>
      <c r="G29" s="83">
        <v>339.15</v>
      </c>
      <c r="H29" s="83">
        <v>259.35000000000002</v>
      </c>
      <c r="I29" s="83">
        <v>146.16</v>
      </c>
      <c r="J29" s="83">
        <v>224.91</v>
      </c>
      <c r="K29" s="83">
        <v>316.47000000000003</v>
      </c>
      <c r="L29" s="83">
        <v>326.33999999999997</v>
      </c>
      <c r="M29" s="83">
        <v>335.16</v>
      </c>
      <c r="N29" s="83">
        <v>202.02</v>
      </c>
      <c r="O29" s="83">
        <v>141.54</v>
      </c>
      <c r="P29" s="83">
        <v>136.08000000000001</v>
      </c>
      <c r="Q29" s="83">
        <v>139.02000000000001</v>
      </c>
      <c r="R29" s="84">
        <v>3486</v>
      </c>
      <c r="S29" s="84">
        <v>3003</v>
      </c>
      <c r="T29" s="84">
        <v>3360</v>
      </c>
      <c r="U29" s="84">
        <v>2709</v>
      </c>
      <c r="V29" s="84">
        <v>1638</v>
      </c>
      <c r="W29" s="84">
        <v>2394</v>
      </c>
      <c r="X29" s="84">
        <v>3276</v>
      </c>
      <c r="Y29" s="84">
        <v>3360</v>
      </c>
      <c r="Z29" s="84">
        <v>3276</v>
      </c>
      <c r="AA29" s="84">
        <v>2184</v>
      </c>
      <c r="AB29" s="84">
        <v>1512</v>
      </c>
      <c r="AC29" s="84">
        <v>1491</v>
      </c>
      <c r="AD29" s="84">
        <v>1533</v>
      </c>
      <c r="AE29" s="85">
        <f t="shared" si="28"/>
        <v>1004.9855802000001</v>
      </c>
      <c r="AF29" s="85">
        <f t="shared" si="28"/>
        <v>946.61859390000018</v>
      </c>
      <c r="AG29" s="85">
        <f t="shared" si="28"/>
        <v>1083.4791135</v>
      </c>
      <c r="AH29" s="85">
        <f t="shared" si="28"/>
        <v>828.54285150000021</v>
      </c>
      <c r="AI29" s="85">
        <f t="shared" si="28"/>
        <v>466.93589040000006</v>
      </c>
      <c r="AJ29" s="85">
        <f t="shared" si="28"/>
        <v>718.51772790000007</v>
      </c>
      <c r="AK29" s="85">
        <f t="shared" si="28"/>
        <v>1011.0235443000003</v>
      </c>
      <c r="AL29" s="85">
        <f t="shared" si="28"/>
        <v>1042.5551346</v>
      </c>
      <c r="AM29" s="85">
        <f t="shared" si="28"/>
        <v>1070.7323004000002</v>
      </c>
      <c r="AN29" s="85">
        <f t="shared" si="28"/>
        <v>645.39127380000014</v>
      </c>
      <c r="AO29" s="85">
        <f t="shared" si="28"/>
        <v>452.17642260000002</v>
      </c>
      <c r="AP29" s="85">
        <f t="shared" si="28"/>
        <v>434.73341520000008</v>
      </c>
      <c r="AQ29" s="85">
        <f t="shared" ref="AQ29:AQ35" si="29">Q29*(0.58796+2.60673)</f>
        <v>444.12580380000009</v>
      </c>
      <c r="AR29" s="86">
        <f t="shared" si="1"/>
        <v>2014.9777199999999</v>
      </c>
      <c r="AS29" s="86">
        <f t="shared" si="2"/>
        <v>1735.7940599999999</v>
      </c>
      <c r="AT29" s="86">
        <f t="shared" si="3"/>
        <v>1942.1471999999999</v>
      </c>
      <c r="AU29" s="86">
        <f t="shared" si="4"/>
        <v>1565.85618</v>
      </c>
      <c r="AV29" s="86">
        <f t="shared" si="5"/>
        <v>946.79675999999995</v>
      </c>
      <c r="AW29" s="86">
        <f t="shared" si="6"/>
        <v>1383.77988</v>
      </c>
      <c r="AX29" s="86">
        <f t="shared" si="7"/>
        <v>1893.5935199999999</v>
      </c>
      <c r="AY29" s="86">
        <f t="shared" si="8"/>
        <v>1942.1471999999999</v>
      </c>
      <c r="AZ29" s="86">
        <f t="shared" si="9"/>
        <v>1893.5935199999999</v>
      </c>
      <c r="BA29" s="86">
        <f t="shared" si="10"/>
        <v>1262.3956799999999</v>
      </c>
      <c r="BB29" s="86">
        <f t="shared" si="11"/>
        <v>873.96623999999997</v>
      </c>
      <c r="BC29" s="86">
        <f t="shared" si="12"/>
        <v>861.82781999999997</v>
      </c>
      <c r="BD29" s="86">
        <f t="shared" si="13"/>
        <v>886.10465999999997</v>
      </c>
    </row>
    <row r="30" spans="1:56" ht="15.75" customHeight="1">
      <c r="A30" s="77" t="s">
        <v>17</v>
      </c>
      <c r="B30" s="77" t="s">
        <v>60</v>
      </c>
      <c r="C30" s="77">
        <v>5209172</v>
      </c>
      <c r="D30" s="77" t="s">
        <v>15</v>
      </c>
      <c r="E30" s="83">
        <v>1819.61</v>
      </c>
      <c r="F30" s="83">
        <v>1833.3</v>
      </c>
      <c r="G30" s="83">
        <v>725.34</v>
      </c>
      <c r="H30" s="83">
        <v>2068.92</v>
      </c>
      <c r="I30" s="83">
        <v>1123.58</v>
      </c>
      <c r="J30" s="83">
        <v>1250.42</v>
      </c>
      <c r="K30" s="83">
        <v>889.56</v>
      </c>
      <c r="L30" s="83">
        <v>603.29</v>
      </c>
      <c r="M30" s="83">
        <v>674.1</v>
      </c>
      <c r="N30" s="83">
        <v>1687.31</v>
      </c>
      <c r="O30" s="83">
        <v>1339.46</v>
      </c>
      <c r="P30" s="83">
        <v>997</v>
      </c>
      <c r="Q30" s="83">
        <v>909.55</v>
      </c>
      <c r="R30" s="84">
        <v>10063.200000000001</v>
      </c>
      <c r="S30" s="84">
        <v>9441.6</v>
      </c>
      <c r="T30" s="84">
        <v>5157.6000000000004</v>
      </c>
      <c r="U30" s="84">
        <v>8794.7999999999993</v>
      </c>
      <c r="V30" s="84">
        <v>7560</v>
      </c>
      <c r="W30" s="84">
        <v>6132</v>
      </c>
      <c r="X30" s="84">
        <v>7106.4</v>
      </c>
      <c r="Y30" s="84">
        <v>4645.2</v>
      </c>
      <c r="Z30" s="84">
        <v>4132.8</v>
      </c>
      <c r="AA30" s="84">
        <v>7383.6</v>
      </c>
      <c r="AB30" s="84">
        <v>9063.6</v>
      </c>
      <c r="AC30" s="84">
        <v>9164.4</v>
      </c>
      <c r="AD30" s="84">
        <v>9660</v>
      </c>
      <c r="AE30" s="85">
        <f t="shared" si="28"/>
        <v>5813.0898709000003</v>
      </c>
      <c r="AF30" s="85">
        <f t="shared" si="28"/>
        <v>5856.8251770000006</v>
      </c>
      <c r="AG30" s="85">
        <f t="shared" si="28"/>
        <v>2317.2364446000006</v>
      </c>
      <c r="AH30" s="85">
        <f t="shared" si="28"/>
        <v>6609.5580348000012</v>
      </c>
      <c r="AI30" s="85">
        <f t="shared" si="28"/>
        <v>3589.4897902000002</v>
      </c>
      <c r="AJ30" s="85">
        <f t="shared" si="28"/>
        <v>3994.7042698000009</v>
      </c>
      <c r="AK30" s="85">
        <f t="shared" si="28"/>
        <v>2841.8684364000001</v>
      </c>
      <c r="AL30" s="85">
        <f t="shared" si="28"/>
        <v>1927.3245301000002</v>
      </c>
      <c r="AM30" s="85">
        <f t="shared" si="28"/>
        <v>2153.5405290000003</v>
      </c>
      <c r="AN30" s="85">
        <f t="shared" si="28"/>
        <v>5390.4323839000008</v>
      </c>
      <c r="AO30" s="85">
        <f t="shared" si="28"/>
        <v>4279.1594674000007</v>
      </c>
      <c r="AP30" s="85">
        <f t="shared" si="28"/>
        <v>3185.1059300000006</v>
      </c>
      <c r="AQ30" s="85">
        <f t="shared" si="29"/>
        <v>2905.7302895000003</v>
      </c>
      <c r="AR30" s="86">
        <f t="shared" si="1"/>
        <v>5816.7308640000001</v>
      </c>
      <c r="AS30" s="86">
        <f t="shared" si="2"/>
        <v>5457.4336320000002</v>
      </c>
      <c r="AT30" s="86">
        <f t="shared" si="3"/>
        <v>2981.195952</v>
      </c>
      <c r="AU30" s="86">
        <f t="shared" si="4"/>
        <v>5083.570295999999</v>
      </c>
      <c r="AV30" s="86">
        <f t="shared" si="5"/>
        <v>4369.8311999999996</v>
      </c>
      <c r="AW30" s="86">
        <f t="shared" si="6"/>
        <v>3544.4186399999999</v>
      </c>
      <c r="AX30" s="86">
        <f t="shared" si="7"/>
        <v>4107.6413279999997</v>
      </c>
      <c r="AY30" s="86">
        <f t="shared" si="8"/>
        <v>2685.0185039999997</v>
      </c>
      <c r="AZ30" s="86">
        <f t="shared" si="9"/>
        <v>2388.8410560000002</v>
      </c>
      <c r="BA30" s="86">
        <f t="shared" si="10"/>
        <v>4267.8684720000001</v>
      </c>
      <c r="BB30" s="86">
        <f t="shared" si="11"/>
        <v>5238.9420719999998</v>
      </c>
      <c r="BC30" s="86">
        <f t="shared" si="12"/>
        <v>5297.2064879999998</v>
      </c>
      <c r="BD30" s="86">
        <f t="shared" si="13"/>
        <v>5583.6732000000002</v>
      </c>
    </row>
    <row r="31" spans="1:56" ht="15.75" customHeight="1">
      <c r="A31" s="77" t="s">
        <v>17</v>
      </c>
      <c r="B31" s="77" t="s">
        <v>61</v>
      </c>
      <c r="C31" s="77">
        <v>3547996</v>
      </c>
      <c r="D31" s="77" t="s">
        <v>15</v>
      </c>
      <c r="E31" s="83">
        <v>417.5</v>
      </c>
      <c r="F31" s="83">
        <v>531.03</v>
      </c>
      <c r="G31" s="83">
        <v>444.4</v>
      </c>
      <c r="H31" s="83">
        <v>451.21</v>
      </c>
      <c r="I31" s="83">
        <v>368.3</v>
      </c>
      <c r="J31" s="83">
        <v>388.96</v>
      </c>
      <c r="K31" s="83">
        <v>357.71</v>
      </c>
      <c r="L31" s="83">
        <v>283.63</v>
      </c>
      <c r="M31" s="83">
        <v>362.75</v>
      </c>
      <c r="N31" s="83">
        <v>380.52</v>
      </c>
      <c r="O31" s="83">
        <v>517.29</v>
      </c>
      <c r="P31" s="83">
        <v>490.52</v>
      </c>
      <c r="Q31" s="83">
        <v>541.04</v>
      </c>
      <c r="R31" s="84">
        <v>7049.7</v>
      </c>
      <c r="S31" s="84">
        <v>7150.5</v>
      </c>
      <c r="T31" s="84">
        <v>4674.6000000000004</v>
      </c>
      <c r="U31" s="84">
        <v>5556.6</v>
      </c>
      <c r="V31" s="84">
        <v>5518.8</v>
      </c>
      <c r="W31" s="84">
        <v>5229</v>
      </c>
      <c r="X31" s="84">
        <v>4844.7</v>
      </c>
      <c r="Y31" s="84">
        <v>4145.3999999999996</v>
      </c>
      <c r="Z31" s="84">
        <v>4221</v>
      </c>
      <c r="AA31" s="84">
        <v>4945.5</v>
      </c>
      <c r="AB31" s="84">
        <v>6350.4</v>
      </c>
      <c r="AC31" s="84">
        <v>6111</v>
      </c>
      <c r="AD31" s="84">
        <v>7238.7</v>
      </c>
      <c r="AE31" s="85">
        <f t="shared" si="28"/>
        <v>1333.7830750000003</v>
      </c>
      <c r="AF31" s="85">
        <f t="shared" si="28"/>
        <v>1696.4762307000001</v>
      </c>
      <c r="AG31" s="85">
        <f t="shared" si="28"/>
        <v>1419.7202360000001</v>
      </c>
      <c r="AH31" s="85">
        <f t="shared" si="28"/>
        <v>1441.4760749000002</v>
      </c>
      <c r="AI31" s="85">
        <f t="shared" si="28"/>
        <v>1176.6043270000002</v>
      </c>
      <c r="AJ31" s="85">
        <f t="shared" si="28"/>
        <v>1242.6066224000001</v>
      </c>
      <c r="AK31" s="85">
        <f t="shared" si="28"/>
        <v>1142.7725599</v>
      </c>
      <c r="AL31" s="85">
        <f t="shared" si="28"/>
        <v>906.10992470000008</v>
      </c>
      <c r="AM31" s="85">
        <f t="shared" si="28"/>
        <v>1158.8737975000001</v>
      </c>
      <c r="AN31" s="85">
        <f t="shared" si="28"/>
        <v>1215.6434388</v>
      </c>
      <c r="AO31" s="85">
        <f t="shared" si="28"/>
        <v>1652.5811901000002</v>
      </c>
      <c r="AP31" s="85">
        <f t="shared" si="28"/>
        <v>1567.0593388000002</v>
      </c>
      <c r="AQ31" s="85">
        <f t="shared" si="29"/>
        <v>1728.4550776000001</v>
      </c>
      <c r="AR31" s="86">
        <f t="shared" si="1"/>
        <v>4074.8675939999998</v>
      </c>
      <c r="AS31" s="86">
        <f t="shared" si="2"/>
        <v>4133.1320100000003</v>
      </c>
      <c r="AT31" s="86">
        <f t="shared" si="3"/>
        <v>2702.0122919999999</v>
      </c>
      <c r="AU31" s="86">
        <f t="shared" si="4"/>
        <v>3211.8259320000002</v>
      </c>
      <c r="AV31" s="86">
        <f t="shared" si="5"/>
        <v>3189.976776</v>
      </c>
      <c r="AW31" s="86">
        <f t="shared" si="6"/>
        <v>3022.4665799999998</v>
      </c>
      <c r="AX31" s="86">
        <f t="shared" si="7"/>
        <v>2800.333494</v>
      </c>
      <c r="AY31" s="86">
        <f t="shared" si="8"/>
        <v>2396.1241079999995</v>
      </c>
      <c r="AZ31" s="86">
        <f t="shared" si="9"/>
        <v>2439.82242</v>
      </c>
      <c r="BA31" s="86">
        <f t="shared" si="10"/>
        <v>2858.59791</v>
      </c>
      <c r="BB31" s="86">
        <f t="shared" si="11"/>
        <v>3670.6582079999998</v>
      </c>
      <c r="BC31" s="86">
        <f t="shared" si="12"/>
        <v>3532.2802199999996</v>
      </c>
      <c r="BD31" s="86">
        <f t="shared" si="13"/>
        <v>4184.1133739999996</v>
      </c>
    </row>
    <row r="32" spans="1:56" ht="15.75" customHeight="1">
      <c r="A32" s="77" t="s">
        <v>17</v>
      </c>
      <c r="B32" s="77" t="s">
        <v>63</v>
      </c>
      <c r="C32" s="77">
        <v>4055889</v>
      </c>
      <c r="D32" s="77" t="s">
        <v>15</v>
      </c>
      <c r="E32" s="83">
        <v>1155.92</v>
      </c>
      <c r="F32" s="83">
        <v>1161.3800000000001</v>
      </c>
      <c r="G32" s="83">
        <v>1232.2</v>
      </c>
      <c r="H32" s="83">
        <v>1158.95</v>
      </c>
      <c r="I32" s="83">
        <v>1112.24</v>
      </c>
      <c r="J32" s="83">
        <v>1360.46</v>
      </c>
      <c r="K32" s="83">
        <v>1302.8399999999999</v>
      </c>
      <c r="L32" s="83">
        <v>1059.6600000000001</v>
      </c>
      <c r="M32" s="83">
        <v>1059.8699999999999</v>
      </c>
      <c r="N32" s="83">
        <v>1067.43</v>
      </c>
      <c r="O32" s="83">
        <v>1072.68</v>
      </c>
      <c r="P32" s="83">
        <v>1065.75</v>
      </c>
      <c r="Q32" s="83">
        <v>1010.73</v>
      </c>
      <c r="R32" s="84">
        <v>13960.8</v>
      </c>
      <c r="S32" s="84">
        <v>13196.4</v>
      </c>
      <c r="T32" s="84">
        <v>12667.2</v>
      </c>
      <c r="U32" s="84">
        <v>13246.8</v>
      </c>
      <c r="V32" s="84">
        <v>14246.4</v>
      </c>
      <c r="W32" s="84">
        <v>14221.2</v>
      </c>
      <c r="X32" s="84">
        <v>14154</v>
      </c>
      <c r="Y32" s="84">
        <v>11193</v>
      </c>
      <c r="Z32" s="84">
        <v>11214</v>
      </c>
      <c r="AA32" s="84">
        <v>11193</v>
      </c>
      <c r="AB32" s="84">
        <v>11172</v>
      </c>
      <c r="AC32" s="84">
        <v>11151</v>
      </c>
      <c r="AD32" s="84">
        <v>12558</v>
      </c>
      <c r="AE32" s="85">
        <f t="shared" si="28"/>
        <v>3692.806064800001</v>
      </c>
      <c r="AF32" s="85">
        <f t="shared" si="28"/>
        <v>3710.2490722000007</v>
      </c>
      <c r="AG32" s="85">
        <f t="shared" si="28"/>
        <v>3936.4970180000009</v>
      </c>
      <c r="AH32" s="85">
        <f t="shared" si="28"/>
        <v>3702.4859755000007</v>
      </c>
      <c r="AI32" s="85">
        <f t="shared" si="28"/>
        <v>3553.2620056000005</v>
      </c>
      <c r="AJ32" s="85">
        <f t="shared" si="28"/>
        <v>4346.2479574000008</v>
      </c>
      <c r="AK32" s="85">
        <f t="shared" si="28"/>
        <v>4162.1699196</v>
      </c>
      <c r="AL32" s="85">
        <f t="shared" si="28"/>
        <v>3385.2852054000009</v>
      </c>
      <c r="AM32" s="85">
        <f t="shared" si="28"/>
        <v>3385.9560903000001</v>
      </c>
      <c r="AN32" s="85">
        <f t="shared" si="28"/>
        <v>3410.1079467000009</v>
      </c>
      <c r="AO32" s="85">
        <f t="shared" si="28"/>
        <v>3426.8800692000009</v>
      </c>
      <c r="AP32" s="85">
        <f t="shared" si="28"/>
        <v>3404.7408675000006</v>
      </c>
      <c r="AQ32" s="85">
        <f t="shared" si="29"/>
        <v>3228.9690237000004</v>
      </c>
      <c r="AR32" s="86">
        <f t="shared" si="1"/>
        <v>8069.6216159999994</v>
      </c>
      <c r="AS32" s="86">
        <f t="shared" si="2"/>
        <v>7627.7831279999991</v>
      </c>
      <c r="AT32" s="86">
        <f t="shared" si="3"/>
        <v>7321.8949440000006</v>
      </c>
      <c r="AU32" s="86">
        <f t="shared" si="4"/>
        <v>7656.9153359999991</v>
      </c>
      <c r="AV32" s="86">
        <f t="shared" si="5"/>
        <v>8234.7041279999994</v>
      </c>
      <c r="AW32" s="86">
        <f t="shared" si="6"/>
        <v>8220.1380239999999</v>
      </c>
      <c r="AX32" s="86">
        <f t="shared" si="7"/>
        <v>8181.2950799999999</v>
      </c>
      <c r="AY32" s="86">
        <f t="shared" si="8"/>
        <v>6469.7778600000001</v>
      </c>
      <c r="AZ32" s="86">
        <f t="shared" si="9"/>
        <v>6481.9162799999995</v>
      </c>
      <c r="BA32" s="86">
        <f t="shared" si="10"/>
        <v>6469.7778600000001</v>
      </c>
      <c r="BB32" s="86">
        <f t="shared" si="11"/>
        <v>6457.6394399999999</v>
      </c>
      <c r="BC32" s="86">
        <f t="shared" si="12"/>
        <v>6445.5010199999997</v>
      </c>
      <c r="BD32" s="86">
        <f t="shared" si="13"/>
        <v>7258.7751600000001</v>
      </c>
    </row>
    <row r="33" spans="1:56" ht="15.75" customHeight="1">
      <c r="A33" s="77" t="s">
        <v>17</v>
      </c>
      <c r="B33" s="77" t="s">
        <v>64</v>
      </c>
      <c r="C33" s="77">
        <v>4133183</v>
      </c>
      <c r="D33" s="77" t="s">
        <v>15</v>
      </c>
      <c r="E33" s="83">
        <v>597.42999999999995</v>
      </c>
      <c r="F33" s="83">
        <v>632.71</v>
      </c>
      <c r="G33" s="83">
        <v>452.4</v>
      </c>
      <c r="H33" s="83">
        <v>338.94</v>
      </c>
      <c r="I33" s="83">
        <v>290.56</v>
      </c>
      <c r="J33" s="83">
        <v>352.67</v>
      </c>
      <c r="K33" s="83">
        <v>334.78</v>
      </c>
      <c r="L33" s="83">
        <v>310.33999999999997</v>
      </c>
      <c r="M33" s="83">
        <v>320.23</v>
      </c>
      <c r="N33" s="83">
        <v>306.43</v>
      </c>
      <c r="O33" s="83">
        <v>374.22</v>
      </c>
      <c r="P33" s="83">
        <v>427.52</v>
      </c>
      <c r="Q33" s="83">
        <v>470.48</v>
      </c>
      <c r="R33" s="84">
        <v>15372</v>
      </c>
      <c r="S33" s="84">
        <v>18629.099999999999</v>
      </c>
      <c r="T33" s="84">
        <v>15718.5</v>
      </c>
      <c r="U33" s="84">
        <v>14949.9</v>
      </c>
      <c r="V33" s="84">
        <v>12757.5</v>
      </c>
      <c r="W33" s="84">
        <v>11718</v>
      </c>
      <c r="X33" s="84">
        <v>11661.3</v>
      </c>
      <c r="Y33" s="84">
        <v>8095.5</v>
      </c>
      <c r="Z33" s="84">
        <v>9053.1</v>
      </c>
      <c r="AA33" s="84">
        <v>10187.1</v>
      </c>
      <c r="AB33" s="84">
        <v>13778.1</v>
      </c>
      <c r="AC33" s="84">
        <v>14962.5</v>
      </c>
      <c r="AD33" s="84">
        <v>15567.3</v>
      </c>
      <c r="AE33" s="85">
        <f t="shared" si="28"/>
        <v>1908.6036467000001</v>
      </c>
      <c r="AF33" s="85">
        <f t="shared" si="28"/>
        <v>2021.3123099000004</v>
      </c>
      <c r="AG33" s="85">
        <f t="shared" si="28"/>
        <v>1445.2777560000002</v>
      </c>
      <c r="AH33" s="85">
        <f t="shared" si="28"/>
        <v>1082.8082286000001</v>
      </c>
      <c r="AI33" s="85">
        <f t="shared" si="28"/>
        <v>928.24912640000014</v>
      </c>
      <c r="AJ33" s="85">
        <f t="shared" si="28"/>
        <v>1126.6713223000002</v>
      </c>
      <c r="AK33" s="85">
        <f t="shared" si="28"/>
        <v>1069.5183182000001</v>
      </c>
      <c r="AL33" s="85">
        <f t="shared" si="28"/>
        <v>991.44009460000007</v>
      </c>
      <c r="AM33" s="85">
        <f t="shared" si="28"/>
        <v>1023.0355787000002</v>
      </c>
      <c r="AN33" s="85">
        <f t="shared" si="28"/>
        <v>978.94885670000019</v>
      </c>
      <c r="AO33" s="85">
        <f t="shared" si="28"/>
        <v>1195.5168918000002</v>
      </c>
      <c r="AP33" s="85">
        <f t="shared" si="28"/>
        <v>1365.7938688000002</v>
      </c>
      <c r="AQ33" s="85">
        <f t="shared" si="29"/>
        <v>1503.0377512000002</v>
      </c>
      <c r="AR33" s="86">
        <f t="shared" si="1"/>
        <v>8885.3234400000001</v>
      </c>
      <c r="AS33" s="86">
        <f t="shared" si="2"/>
        <v>10767.992381999999</v>
      </c>
      <c r="AT33" s="86">
        <f t="shared" si="3"/>
        <v>9085.6073699999997</v>
      </c>
      <c r="AU33" s="86">
        <f t="shared" si="4"/>
        <v>8641.3411980000001</v>
      </c>
      <c r="AV33" s="86">
        <f t="shared" si="5"/>
        <v>7374.09015</v>
      </c>
      <c r="AW33" s="86">
        <f t="shared" si="6"/>
        <v>6773.2383599999994</v>
      </c>
      <c r="AX33" s="86">
        <f t="shared" si="7"/>
        <v>6740.464625999999</v>
      </c>
      <c r="AY33" s="86">
        <f t="shared" si="8"/>
        <v>4679.3609099999994</v>
      </c>
      <c r="AZ33" s="86">
        <f t="shared" si="9"/>
        <v>5232.8728620000002</v>
      </c>
      <c r="BA33" s="86">
        <f t="shared" si="10"/>
        <v>5888.3475420000004</v>
      </c>
      <c r="BB33" s="86">
        <f t="shared" si="11"/>
        <v>7964.0173619999996</v>
      </c>
      <c r="BC33" s="86">
        <f t="shared" si="12"/>
        <v>8648.6242499999989</v>
      </c>
      <c r="BD33" s="86">
        <f t="shared" si="13"/>
        <v>8998.2107459999988</v>
      </c>
    </row>
    <row r="34" spans="1:56" ht="15.75" customHeight="1">
      <c r="A34" s="77" t="s">
        <v>17</v>
      </c>
      <c r="B34" s="77" t="s">
        <v>66</v>
      </c>
      <c r="C34" s="77">
        <v>26051</v>
      </c>
      <c r="D34" s="77" t="s">
        <v>15</v>
      </c>
      <c r="E34" s="83">
        <v>533.23</v>
      </c>
      <c r="F34" s="83">
        <v>452.84</v>
      </c>
      <c r="G34" s="83">
        <v>499.3</v>
      </c>
      <c r="H34" s="83">
        <v>584.64</v>
      </c>
      <c r="I34" s="83">
        <v>481.4</v>
      </c>
      <c r="J34" s="83">
        <v>564.73</v>
      </c>
      <c r="K34" s="83">
        <v>555.83000000000004</v>
      </c>
      <c r="L34" s="83">
        <v>453.6</v>
      </c>
      <c r="M34" s="83">
        <v>688.97</v>
      </c>
      <c r="N34" s="83">
        <v>766.25</v>
      </c>
      <c r="O34" s="83">
        <v>686.11</v>
      </c>
      <c r="P34" s="83">
        <v>649.91</v>
      </c>
      <c r="Q34" s="83">
        <v>641.92999999999995</v>
      </c>
      <c r="R34" s="84">
        <v>6585.6</v>
      </c>
      <c r="S34" s="84">
        <v>5896.8</v>
      </c>
      <c r="T34" s="84">
        <v>6484.8</v>
      </c>
      <c r="U34" s="84">
        <v>6619.2</v>
      </c>
      <c r="V34" s="84">
        <v>6123.6</v>
      </c>
      <c r="W34" s="84">
        <v>5997.6</v>
      </c>
      <c r="X34" s="84">
        <v>6820.8</v>
      </c>
      <c r="Y34" s="84">
        <v>5216.3999999999996</v>
      </c>
      <c r="Z34" s="84">
        <v>7425.6</v>
      </c>
      <c r="AA34" s="84">
        <v>8240.4</v>
      </c>
      <c r="AB34" s="84">
        <v>8257.2000000000007</v>
      </c>
      <c r="AC34" s="84">
        <v>7702.8</v>
      </c>
      <c r="AD34" s="84">
        <v>8290.7999999999993</v>
      </c>
      <c r="AE34" s="85">
        <f t="shared" si="28"/>
        <v>1703.5045487000002</v>
      </c>
      <c r="AF34" s="85">
        <f t="shared" si="28"/>
        <v>1446.6834196000002</v>
      </c>
      <c r="AG34" s="85">
        <f t="shared" si="28"/>
        <v>1595.1087170000003</v>
      </c>
      <c r="AH34" s="85">
        <f t="shared" si="28"/>
        <v>1867.7435616000002</v>
      </c>
      <c r="AI34" s="85">
        <f t="shared" si="28"/>
        <v>1537.9237660000001</v>
      </c>
      <c r="AJ34" s="85">
        <f t="shared" si="28"/>
        <v>1804.1372837000004</v>
      </c>
      <c r="AK34" s="85">
        <f t="shared" si="28"/>
        <v>1775.7045427000005</v>
      </c>
      <c r="AL34" s="85">
        <f t="shared" si="28"/>
        <v>1449.1113840000003</v>
      </c>
      <c r="AM34" s="85">
        <f t="shared" si="28"/>
        <v>2201.0455693000004</v>
      </c>
      <c r="AN34" s="85">
        <f t="shared" si="28"/>
        <v>2447.9312125000006</v>
      </c>
      <c r="AO34" s="85">
        <f t="shared" si="28"/>
        <v>2191.9087559000004</v>
      </c>
      <c r="AP34" s="85">
        <f t="shared" si="28"/>
        <v>2076.2609779000004</v>
      </c>
      <c r="AQ34" s="85">
        <f t="shared" si="29"/>
        <v>2050.7673517000003</v>
      </c>
      <c r="AR34" s="86">
        <f t="shared" si="1"/>
        <v>3806.6085120000002</v>
      </c>
      <c r="AS34" s="86">
        <f t="shared" si="2"/>
        <v>3408.4683359999999</v>
      </c>
      <c r="AT34" s="86">
        <f t="shared" si="3"/>
        <v>3748.3440959999998</v>
      </c>
      <c r="AU34" s="86">
        <f t="shared" si="4"/>
        <v>3826.0299839999998</v>
      </c>
      <c r="AV34" s="86">
        <f t="shared" si="5"/>
        <v>3539.5632719999999</v>
      </c>
      <c r="AW34" s="86">
        <f t="shared" si="6"/>
        <v>3466.7327519999999</v>
      </c>
      <c r="AX34" s="86">
        <f t="shared" si="7"/>
        <v>3942.5588159999998</v>
      </c>
      <c r="AY34" s="86">
        <f t="shared" si="8"/>
        <v>3015.1835279999996</v>
      </c>
      <c r="AZ34" s="86">
        <f t="shared" si="9"/>
        <v>4292.1453119999996</v>
      </c>
      <c r="BA34" s="86">
        <f t="shared" si="10"/>
        <v>4763.116008</v>
      </c>
      <c r="BB34" s="86">
        <f t="shared" si="11"/>
        <v>4772.826744</v>
      </c>
      <c r="BC34" s="86">
        <f t="shared" si="12"/>
        <v>4452.3724560000001</v>
      </c>
      <c r="BD34" s="86">
        <f t="shared" si="13"/>
        <v>4792.248215999999</v>
      </c>
    </row>
    <row r="35" spans="1:56" ht="15.75" customHeight="1">
      <c r="A35" s="77" t="s">
        <v>17</v>
      </c>
      <c r="B35" s="77" t="s">
        <v>664</v>
      </c>
      <c r="C35" s="77">
        <v>2883304</v>
      </c>
      <c r="D35" s="77" t="s">
        <v>15</v>
      </c>
      <c r="E35" s="83">
        <v>538.36</v>
      </c>
      <c r="F35" s="83">
        <v>587.33000000000004</v>
      </c>
      <c r="G35" s="83">
        <v>580.05999999999995</v>
      </c>
      <c r="H35" s="83">
        <v>463.64</v>
      </c>
      <c r="I35" s="83">
        <v>486.19</v>
      </c>
      <c r="J35" s="83">
        <v>439.4</v>
      </c>
      <c r="K35" s="83">
        <v>452</v>
      </c>
      <c r="L35" s="83">
        <v>622.78</v>
      </c>
      <c r="M35" s="83">
        <v>433.94</v>
      </c>
      <c r="N35" s="83">
        <v>526.34</v>
      </c>
      <c r="O35" s="83">
        <v>549.11</v>
      </c>
      <c r="P35" s="83">
        <v>547.47</v>
      </c>
      <c r="Q35" s="83">
        <v>577.37</v>
      </c>
      <c r="R35" s="84">
        <v>17904.599999999999</v>
      </c>
      <c r="S35" s="84">
        <v>17488.8</v>
      </c>
      <c r="T35" s="84">
        <v>15913.8</v>
      </c>
      <c r="U35" s="84">
        <v>13696.2</v>
      </c>
      <c r="V35" s="84">
        <v>12730.2</v>
      </c>
      <c r="W35" s="84">
        <v>12574.8</v>
      </c>
      <c r="X35" s="84">
        <v>10117.799999999999</v>
      </c>
      <c r="Y35" s="84">
        <v>12104.4</v>
      </c>
      <c r="Z35" s="84">
        <v>12339.6</v>
      </c>
      <c r="AA35" s="84">
        <v>14926.8</v>
      </c>
      <c r="AB35" s="84">
        <v>15447.6</v>
      </c>
      <c r="AC35" s="84">
        <v>16304.4</v>
      </c>
      <c r="AD35" s="84">
        <v>15262.8</v>
      </c>
      <c r="AE35" s="85">
        <f t="shared" si="28"/>
        <v>1719.8933084000003</v>
      </c>
      <c r="AF35" s="85">
        <f t="shared" si="28"/>
        <v>1876.3372777000004</v>
      </c>
      <c r="AG35" s="85">
        <f t="shared" si="28"/>
        <v>1853.1118814000001</v>
      </c>
      <c r="AH35" s="85">
        <f t="shared" si="28"/>
        <v>1481.1860716000001</v>
      </c>
      <c r="AI35" s="85">
        <f t="shared" si="28"/>
        <v>1553.2263311000002</v>
      </c>
      <c r="AJ35" s="85">
        <f t="shared" si="28"/>
        <v>1403.7467860000002</v>
      </c>
      <c r="AK35" s="85">
        <f t="shared" si="28"/>
        <v>1443.9998800000003</v>
      </c>
      <c r="AL35" s="85">
        <f t="shared" si="28"/>
        <v>1989.5890382000002</v>
      </c>
      <c r="AM35" s="85">
        <f t="shared" si="28"/>
        <v>1386.3037786000002</v>
      </c>
      <c r="AN35" s="85">
        <f t="shared" si="28"/>
        <v>1681.4931346000003</v>
      </c>
      <c r="AO35" s="85">
        <f t="shared" si="28"/>
        <v>1754.2362259000004</v>
      </c>
      <c r="AP35" s="85">
        <f t="shared" si="28"/>
        <v>1748.9969343000002</v>
      </c>
      <c r="AQ35" s="85">
        <f t="shared" si="29"/>
        <v>1844.5181653000002</v>
      </c>
      <c r="AR35" s="86">
        <f t="shared" si="1"/>
        <v>10349.216891999999</v>
      </c>
      <c r="AS35" s="86">
        <f t="shared" si="2"/>
        <v>10108.876176</v>
      </c>
      <c r="AT35" s="86">
        <f t="shared" si="3"/>
        <v>9198.4946759999984</v>
      </c>
      <c r="AU35" s="86">
        <f t="shared" si="4"/>
        <v>7916.6775239999997</v>
      </c>
      <c r="AV35" s="86">
        <f t="shared" si="5"/>
        <v>7358.3102040000003</v>
      </c>
      <c r="AW35" s="86">
        <f t="shared" si="6"/>
        <v>7268.4858959999992</v>
      </c>
      <c r="AX35" s="86">
        <f t="shared" si="7"/>
        <v>5848.2907559999994</v>
      </c>
      <c r="AY35" s="86">
        <f t="shared" si="8"/>
        <v>6996.5852879999993</v>
      </c>
      <c r="AZ35" s="86">
        <f t="shared" si="9"/>
        <v>7132.5355920000002</v>
      </c>
      <c r="BA35" s="86">
        <f t="shared" si="10"/>
        <v>8627.9889359999997</v>
      </c>
      <c r="BB35" s="86">
        <f t="shared" si="11"/>
        <v>8929.0217520000006</v>
      </c>
      <c r="BC35" s="86">
        <f t="shared" si="12"/>
        <v>9424.2692879999995</v>
      </c>
      <c r="BD35" s="86">
        <f t="shared" si="13"/>
        <v>8822.2036559999997</v>
      </c>
    </row>
    <row r="36" spans="1:5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87">
        <f t="shared" ref="AE36:BD36" si="30">SUM(AE5:AE35)</f>
        <v>173692.36878830014</v>
      </c>
      <c r="AF36" s="87">
        <f t="shared" si="30"/>
        <v>174921.17103640002</v>
      </c>
      <c r="AG36" s="87">
        <f t="shared" si="30"/>
        <v>178366.74844390003</v>
      </c>
      <c r="AH36" s="87">
        <f t="shared" si="30"/>
        <v>197533.09147390001</v>
      </c>
      <c r="AI36" s="87">
        <f t="shared" si="30"/>
        <v>158270.65785720007</v>
      </c>
      <c r="AJ36" s="87">
        <f t="shared" si="30"/>
        <v>167274.05045020004</v>
      </c>
      <c r="AK36" s="87">
        <f t="shared" si="30"/>
        <v>150467.7633933</v>
      </c>
      <c r="AL36" s="87">
        <f t="shared" si="30"/>
        <v>146337.22648020001</v>
      </c>
      <c r="AM36" s="87">
        <f t="shared" si="30"/>
        <v>154261.66414509999</v>
      </c>
      <c r="AN36" s="87">
        <f t="shared" si="30"/>
        <v>143328.63475380003</v>
      </c>
      <c r="AO36" s="87">
        <f t="shared" si="30"/>
        <v>179486.12158790004</v>
      </c>
      <c r="AP36" s="87">
        <f t="shared" si="30"/>
        <v>176119.45306619999</v>
      </c>
      <c r="AQ36" s="87">
        <f t="shared" si="30"/>
        <v>178609.05608350001</v>
      </c>
      <c r="AR36" s="87">
        <f t="shared" si="30"/>
        <v>460173.57141000009</v>
      </c>
      <c r="AS36" s="87">
        <f t="shared" si="30"/>
        <v>441003.36470399995</v>
      </c>
      <c r="AT36" s="87">
        <f t="shared" si="30"/>
        <v>440722.96720199991</v>
      </c>
      <c r="AU36" s="87">
        <f t="shared" si="30"/>
        <v>450780.86201400001</v>
      </c>
      <c r="AV36" s="87">
        <f t="shared" si="30"/>
        <v>405967.02921599994</v>
      </c>
      <c r="AW36" s="87">
        <f t="shared" si="30"/>
        <v>396302.30360799987</v>
      </c>
      <c r="AX36" s="87">
        <f t="shared" si="30"/>
        <v>382725.59644199995</v>
      </c>
      <c r="AY36" s="87">
        <f t="shared" si="30"/>
        <v>330667.55458799994</v>
      </c>
      <c r="AZ36" s="87">
        <f t="shared" si="30"/>
        <v>346088.20335599995</v>
      </c>
      <c r="BA36" s="87">
        <f t="shared" si="30"/>
        <v>359343.35799599998</v>
      </c>
      <c r="BB36" s="87">
        <f t="shared" si="30"/>
        <v>436446.6018360001</v>
      </c>
      <c r="BC36" s="87">
        <f t="shared" si="30"/>
        <v>432982.29676800006</v>
      </c>
      <c r="BD36" s="87">
        <f t="shared" si="30"/>
        <v>470384.41031400021</v>
      </c>
    </row>
    <row r="37" spans="1:56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88" t="s">
        <v>2083</v>
      </c>
      <c r="AF37" s="89">
        <f>SUM(AE36:BD36)</f>
        <v>7532256.1270139003</v>
      </c>
      <c r="AG37" s="90" t="s">
        <v>2084</v>
      </c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</row>
    <row r="38" spans="1:5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56" ht="15.75" customHeight="1">
      <c r="A39" s="10" t="s">
        <v>2085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88" t="s">
        <v>2086</v>
      </c>
      <c r="AF39" s="92">
        <f>SUM(AE44:BD74)</f>
        <v>6624857.7813285114</v>
      </c>
      <c r="AG39" s="88" t="s">
        <v>2084</v>
      </c>
    </row>
    <row r="40" spans="1:5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5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88" t="s">
        <v>2087</v>
      </c>
      <c r="AF41" s="88">
        <v>0.25</v>
      </c>
    </row>
    <row r="42" spans="1:56" ht="15.75" customHeight="1">
      <c r="A42" s="10"/>
      <c r="B42" s="10"/>
      <c r="C42" s="10"/>
      <c r="D42" s="10"/>
      <c r="E42" s="118" t="s">
        <v>7</v>
      </c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9" t="s">
        <v>8</v>
      </c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8" t="s">
        <v>2078</v>
      </c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9" t="s">
        <v>2079</v>
      </c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</row>
    <row r="43" spans="1:56" ht="15.75" customHeight="1">
      <c r="A43" s="10"/>
      <c r="B43" s="10"/>
      <c r="C43" s="10"/>
      <c r="D43" s="10"/>
      <c r="E43" s="81">
        <v>1</v>
      </c>
      <c r="F43" s="81">
        <v>2</v>
      </c>
      <c r="G43" s="81">
        <v>3</v>
      </c>
      <c r="H43" s="81">
        <v>4</v>
      </c>
      <c r="I43" s="81">
        <v>5</v>
      </c>
      <c r="J43" s="81">
        <v>6</v>
      </c>
      <c r="K43" s="81">
        <v>7</v>
      </c>
      <c r="L43" s="81">
        <v>8</v>
      </c>
      <c r="M43" s="81">
        <v>9</v>
      </c>
      <c r="N43" s="81">
        <v>10</v>
      </c>
      <c r="O43" s="81">
        <v>11</v>
      </c>
      <c r="P43" s="81">
        <v>12</v>
      </c>
      <c r="Q43" s="81">
        <v>13</v>
      </c>
      <c r="R43" s="82">
        <v>1</v>
      </c>
      <c r="S43" s="82">
        <v>2</v>
      </c>
      <c r="T43" s="82">
        <v>3</v>
      </c>
      <c r="U43" s="82">
        <v>4</v>
      </c>
      <c r="V43" s="82">
        <v>5</v>
      </c>
      <c r="W43" s="82">
        <v>6</v>
      </c>
      <c r="X43" s="82">
        <v>7</v>
      </c>
      <c r="Y43" s="82">
        <v>8</v>
      </c>
      <c r="Z43" s="82">
        <v>9</v>
      </c>
      <c r="AA43" s="82">
        <v>10</v>
      </c>
      <c r="AB43" s="82">
        <v>11</v>
      </c>
      <c r="AC43" s="82">
        <v>12</v>
      </c>
      <c r="AD43" s="82">
        <v>13</v>
      </c>
      <c r="AE43" s="81">
        <v>1</v>
      </c>
      <c r="AF43" s="81">
        <v>2</v>
      </c>
      <c r="AG43" s="81">
        <v>3</v>
      </c>
      <c r="AH43" s="81">
        <v>4</v>
      </c>
      <c r="AI43" s="81">
        <v>5</v>
      </c>
      <c r="AJ43" s="81">
        <v>6</v>
      </c>
      <c r="AK43" s="81">
        <v>7</v>
      </c>
      <c r="AL43" s="81">
        <v>8</v>
      </c>
      <c r="AM43" s="81">
        <v>9</v>
      </c>
      <c r="AN43" s="81">
        <v>10</v>
      </c>
      <c r="AO43" s="81">
        <v>11</v>
      </c>
      <c r="AP43" s="81">
        <v>12</v>
      </c>
      <c r="AQ43" s="81">
        <v>13</v>
      </c>
      <c r="AR43" s="82">
        <v>1</v>
      </c>
      <c r="AS43" s="82">
        <v>2</v>
      </c>
      <c r="AT43" s="82">
        <v>3</v>
      </c>
      <c r="AU43" s="82">
        <v>4</v>
      </c>
      <c r="AV43" s="82">
        <v>5</v>
      </c>
      <c r="AW43" s="82">
        <v>6</v>
      </c>
      <c r="AX43" s="82">
        <v>7</v>
      </c>
      <c r="AY43" s="82">
        <v>8</v>
      </c>
      <c r="AZ43" s="82">
        <v>9</v>
      </c>
      <c r="BA43" s="82">
        <v>10</v>
      </c>
      <c r="BB43" s="82">
        <v>11</v>
      </c>
      <c r="BC43" s="82">
        <v>12</v>
      </c>
      <c r="BD43" s="82">
        <v>13</v>
      </c>
    </row>
    <row r="44" spans="1:56" ht="15.75" customHeight="1">
      <c r="A44" s="10"/>
      <c r="B44" s="10"/>
      <c r="C44" s="10"/>
      <c r="D44" s="10"/>
      <c r="E44" s="83">
        <v>1513.01</v>
      </c>
      <c r="F44" s="83">
        <v>1530.02</v>
      </c>
      <c r="G44" s="83">
        <v>1532.98</v>
      </c>
      <c r="H44" s="83">
        <v>1796.89</v>
      </c>
      <c r="I44" s="83">
        <v>1454.73</v>
      </c>
      <c r="J44" s="83">
        <v>1540.35</v>
      </c>
      <c r="K44" s="83">
        <v>1323.63</v>
      </c>
      <c r="L44" s="83">
        <v>1063.82</v>
      </c>
      <c r="M44" s="83">
        <v>1181.19</v>
      </c>
      <c r="N44" s="83">
        <v>1242.1099999999999</v>
      </c>
      <c r="O44" s="83">
        <v>1751.84</v>
      </c>
      <c r="P44" s="83">
        <v>1868.33</v>
      </c>
      <c r="Q44" s="83">
        <v>1881.94</v>
      </c>
      <c r="R44" s="84">
        <v>14074.2</v>
      </c>
      <c r="S44" s="84">
        <v>14307.3</v>
      </c>
      <c r="T44" s="84">
        <v>14414.4</v>
      </c>
      <c r="U44" s="84">
        <v>17488.8</v>
      </c>
      <c r="V44" s="84">
        <v>15334.2</v>
      </c>
      <c r="W44" s="84">
        <v>13343.4</v>
      </c>
      <c r="X44" s="84">
        <v>12833.1</v>
      </c>
      <c r="Y44" s="84">
        <v>9147.6</v>
      </c>
      <c r="Z44" s="84">
        <v>9771.2999999999993</v>
      </c>
      <c r="AA44" s="84">
        <v>11655</v>
      </c>
      <c r="AB44" s="84">
        <v>15794.1</v>
      </c>
      <c r="AC44" s="84">
        <v>16543.8</v>
      </c>
      <c r="AD44" s="84">
        <v>18263.7</v>
      </c>
      <c r="AE44" s="85">
        <f t="shared" ref="AE44:AE66" si="31">E44*($AF$41+2.60673)</f>
        <v>4322.2610573000002</v>
      </c>
      <c r="AF44" s="85">
        <f t="shared" ref="AF44:AF66" si="32">F44*($AF$41+2.60673)</f>
        <v>4370.8540346</v>
      </c>
      <c r="AG44" s="85">
        <f t="shared" ref="AG44:AG66" si="33">G44*($AF$41+2.60673)</f>
        <v>4379.3099554</v>
      </c>
      <c r="AH44" s="85">
        <f t="shared" ref="AH44:AH66" si="34">H44*($AF$41+2.60673)</f>
        <v>5133.2295697000009</v>
      </c>
      <c r="AI44" s="85">
        <f t="shared" ref="AI44:AI66" si="35">I44*($AF$41+2.60673)</f>
        <v>4155.7708329000006</v>
      </c>
      <c r="AJ44" s="85">
        <f t="shared" ref="AJ44:AJ66" si="36">J44*($AF$41+2.60673)</f>
        <v>4400.3640555000002</v>
      </c>
      <c r="AK44" s="85">
        <f t="shared" ref="AK44:AK66" si="37">K44*($AF$41+2.60673)</f>
        <v>3781.2535299000006</v>
      </c>
      <c r="AL44" s="85">
        <f t="shared" ref="AL44:AL66" si="38">L44*($AF$41+2.60673)</f>
        <v>3039.0465085999999</v>
      </c>
      <c r="AM44" s="85">
        <f t="shared" ref="AM44:AM66" si="39">M44*($AF$41+2.60673)</f>
        <v>3374.3409087000005</v>
      </c>
      <c r="AN44" s="85">
        <f t="shared" ref="AN44:AN66" si="40">N44*($AF$41+2.60673)</f>
        <v>3548.3729002999999</v>
      </c>
      <c r="AO44" s="85">
        <f t="shared" ref="AO44:AO66" si="41">O44*($AF$41+2.60673)</f>
        <v>5004.5338831999998</v>
      </c>
      <c r="AP44" s="85">
        <f t="shared" ref="AP44:AP66" si="42">P44*($AF$41+2.60673)</f>
        <v>5337.3143608999999</v>
      </c>
      <c r="AQ44" s="85">
        <f t="shared" ref="AQ44:AQ66" si="43">Q44*($AF$41+2.60673)</f>
        <v>5376.1944562000008</v>
      </c>
      <c r="AR44" s="86">
        <f t="shared" ref="AR44:AR74" si="44">R44*($AF$41+0.20376)</f>
        <v>6386.3089920000002</v>
      </c>
      <c r="AS44" s="86">
        <f t="shared" ref="AS44:AS74" si="45">S44*($AF$41+0.20376)</f>
        <v>6492.0804479999997</v>
      </c>
      <c r="AT44" s="86">
        <f t="shared" ref="AT44:AT74" si="46">T44*($AF$41+0.20376)</f>
        <v>6540.6781439999995</v>
      </c>
      <c r="AU44" s="86">
        <f t="shared" ref="AU44:AU74" si="47">U44*($AF$41+0.20376)</f>
        <v>7935.7178879999992</v>
      </c>
      <c r="AV44" s="86">
        <f t="shared" ref="AV44:AV74" si="48">V44*($AF$41+0.20376)</f>
        <v>6958.0465920000006</v>
      </c>
      <c r="AW44" s="86">
        <f t="shared" ref="AW44:AW74" si="49">W44*($AF$41+0.20376)</f>
        <v>6054.7011839999996</v>
      </c>
      <c r="AX44" s="86">
        <f t="shared" ref="AX44:AX74" si="50">X44*($AF$41+0.20376)</f>
        <v>5823.1474559999997</v>
      </c>
      <c r="AY44" s="86">
        <f t="shared" ref="AY44:AY74" si="51">Y44*($AF$41+0.20376)</f>
        <v>4150.8149760000006</v>
      </c>
      <c r="AZ44" s="86">
        <f t="shared" ref="AZ44:AZ74" si="52">Z44*($AF$41+0.20376)</f>
        <v>4433.8250879999996</v>
      </c>
      <c r="BA44" s="86">
        <f t="shared" ref="BA44:BA74" si="53">AA44*($AF$41+0.20376)</f>
        <v>5288.5727999999999</v>
      </c>
      <c r="BB44" s="86">
        <f t="shared" ref="BB44:BB74" si="54">AB44*($AF$41+0.20376)</f>
        <v>7166.7308160000002</v>
      </c>
      <c r="BC44" s="86">
        <f t="shared" ref="BC44:BC74" si="55">AC44*($AF$41+0.20376)</f>
        <v>7506.9146879999998</v>
      </c>
      <c r="BD44" s="86">
        <f t="shared" ref="BD44:BD74" si="56">AD44*($AF$41+0.20376)</f>
        <v>8287.3365119999999</v>
      </c>
    </row>
    <row r="45" spans="1:56" ht="15.75" customHeight="1">
      <c r="A45" s="10"/>
      <c r="B45" s="10"/>
      <c r="C45" s="10"/>
      <c r="D45" s="10"/>
      <c r="E45" s="83">
        <v>23224</v>
      </c>
      <c r="F45" s="83">
        <v>24052</v>
      </c>
      <c r="G45" s="83">
        <v>26064</v>
      </c>
      <c r="H45" s="83">
        <v>24556</v>
      </c>
      <c r="I45" s="83">
        <v>20740</v>
      </c>
      <c r="J45" s="83">
        <v>24076</v>
      </c>
      <c r="K45" s="83">
        <v>21994</v>
      </c>
      <c r="L45" s="83">
        <v>20010</v>
      </c>
      <c r="M45" s="83">
        <v>21434</v>
      </c>
      <c r="N45" s="83">
        <v>17839</v>
      </c>
      <c r="O45" s="83">
        <v>23043</v>
      </c>
      <c r="P45" s="83">
        <v>24701</v>
      </c>
      <c r="Q45" s="83">
        <v>25448</v>
      </c>
      <c r="R45" s="84">
        <v>261177</v>
      </c>
      <c r="S45" s="84">
        <v>238455</v>
      </c>
      <c r="T45" s="84">
        <v>253827</v>
      </c>
      <c r="U45" s="84">
        <v>253995</v>
      </c>
      <c r="V45" s="84">
        <v>224343</v>
      </c>
      <c r="W45" s="84">
        <v>222831</v>
      </c>
      <c r="X45" s="84">
        <v>213213</v>
      </c>
      <c r="Y45" s="84">
        <v>190386</v>
      </c>
      <c r="Z45" s="84">
        <v>196980</v>
      </c>
      <c r="AA45" s="84">
        <v>190113</v>
      </c>
      <c r="AB45" s="84">
        <v>238329</v>
      </c>
      <c r="AC45" s="84">
        <v>238539</v>
      </c>
      <c r="AD45" s="84">
        <v>263865</v>
      </c>
      <c r="AE45" s="85">
        <f t="shared" si="31"/>
        <v>66344.697520000002</v>
      </c>
      <c r="AF45" s="85">
        <f t="shared" si="32"/>
        <v>68710.069960000008</v>
      </c>
      <c r="AG45" s="85">
        <f t="shared" si="33"/>
        <v>74457.810720000009</v>
      </c>
      <c r="AH45" s="85">
        <f t="shared" si="34"/>
        <v>70149.861880000011</v>
      </c>
      <c r="AI45" s="85">
        <f t="shared" si="35"/>
        <v>59248.580200000004</v>
      </c>
      <c r="AJ45" s="85">
        <f t="shared" si="36"/>
        <v>68778.631480000011</v>
      </c>
      <c r="AK45" s="85">
        <f t="shared" si="37"/>
        <v>62830.919620000008</v>
      </c>
      <c r="AL45" s="85">
        <f t="shared" si="38"/>
        <v>57163.167300000001</v>
      </c>
      <c r="AM45" s="85">
        <f t="shared" si="39"/>
        <v>61231.150820000003</v>
      </c>
      <c r="AN45" s="85">
        <f t="shared" si="40"/>
        <v>50961.206470000005</v>
      </c>
      <c r="AO45" s="85">
        <f t="shared" si="41"/>
        <v>65827.629390000002</v>
      </c>
      <c r="AP45" s="85">
        <f t="shared" si="42"/>
        <v>70564.087729999999</v>
      </c>
      <c r="AQ45" s="85">
        <f t="shared" si="43"/>
        <v>72698.065040000001</v>
      </c>
      <c r="AR45" s="86">
        <f t="shared" si="44"/>
        <v>118511.67552</v>
      </c>
      <c r="AS45" s="86">
        <f t="shared" si="45"/>
        <v>108201.34080000001</v>
      </c>
      <c r="AT45" s="86">
        <f t="shared" si="46"/>
        <v>115176.53952000001</v>
      </c>
      <c r="AU45" s="86">
        <f t="shared" si="47"/>
        <v>115252.7712</v>
      </c>
      <c r="AV45" s="86">
        <f t="shared" si="48"/>
        <v>101797.87968</v>
      </c>
      <c r="AW45" s="86">
        <f t="shared" si="49"/>
        <v>101111.79455999999</v>
      </c>
      <c r="AX45" s="86">
        <f t="shared" si="50"/>
        <v>96747.530880000006</v>
      </c>
      <c r="AY45" s="86">
        <f t="shared" si="51"/>
        <v>86389.551359999998</v>
      </c>
      <c r="AZ45" s="86">
        <f t="shared" si="52"/>
        <v>89381.644799999995</v>
      </c>
      <c r="BA45" s="86">
        <f t="shared" si="53"/>
        <v>86265.674880000006</v>
      </c>
      <c r="BB45" s="86">
        <f t="shared" si="54"/>
        <v>108144.16704</v>
      </c>
      <c r="BC45" s="86">
        <f t="shared" si="55"/>
        <v>108239.45664</v>
      </c>
      <c r="BD45" s="86">
        <f t="shared" si="56"/>
        <v>119731.3824</v>
      </c>
    </row>
    <row r="46" spans="1:56" ht="15.75" customHeight="1">
      <c r="A46" s="10"/>
      <c r="B46" s="10"/>
      <c r="C46" s="10"/>
      <c r="D46" s="10"/>
      <c r="E46" s="83">
        <v>17479.560000000001</v>
      </c>
      <c r="F46" s="83">
        <v>18203.43</v>
      </c>
      <c r="G46" s="83">
        <v>19392.87</v>
      </c>
      <c r="H46" s="83">
        <v>17568.810000000001</v>
      </c>
      <c r="I46" s="83">
        <v>15260.91</v>
      </c>
      <c r="J46" s="83">
        <v>17226.09</v>
      </c>
      <c r="K46" s="83">
        <v>15440.88</v>
      </c>
      <c r="L46" s="83">
        <v>14131.74</v>
      </c>
      <c r="M46" s="83">
        <v>15322.23</v>
      </c>
      <c r="N46" s="83">
        <v>14759.43</v>
      </c>
      <c r="O46" s="83">
        <v>17830.47</v>
      </c>
      <c r="P46" s="83">
        <v>18836.580000000002</v>
      </c>
      <c r="Q46" s="83">
        <v>19126.59</v>
      </c>
      <c r="R46" s="84">
        <v>201306</v>
      </c>
      <c r="S46" s="84">
        <v>189588</v>
      </c>
      <c r="T46" s="84">
        <v>198387</v>
      </c>
      <c r="U46" s="84">
        <v>192339</v>
      </c>
      <c r="V46" s="84">
        <v>176547</v>
      </c>
      <c r="W46" s="84">
        <v>168840</v>
      </c>
      <c r="X46" s="84">
        <v>163569</v>
      </c>
      <c r="Y46" s="84">
        <v>142653</v>
      </c>
      <c r="Z46" s="84">
        <v>147945</v>
      </c>
      <c r="AA46" s="84">
        <v>157563</v>
      </c>
      <c r="AB46" s="84">
        <v>186627</v>
      </c>
      <c r="AC46" s="84">
        <v>185724</v>
      </c>
      <c r="AD46" s="84">
        <v>204855</v>
      </c>
      <c r="AE46" s="85">
        <f t="shared" si="31"/>
        <v>49934.38343880001</v>
      </c>
      <c r="AF46" s="85">
        <f t="shared" si="32"/>
        <v>52002.284583900007</v>
      </c>
      <c r="AG46" s="85">
        <f t="shared" si="33"/>
        <v>55400.1935151</v>
      </c>
      <c r="AH46" s="85">
        <f t="shared" si="34"/>
        <v>50189.346591300011</v>
      </c>
      <c r="AI46" s="85">
        <f t="shared" si="35"/>
        <v>43596.299424299999</v>
      </c>
      <c r="AJ46" s="85">
        <f t="shared" si="36"/>
        <v>49210.288085700005</v>
      </c>
      <c r="AK46" s="85">
        <f t="shared" si="37"/>
        <v>44110.425122400004</v>
      </c>
      <c r="AL46" s="85">
        <f t="shared" si="38"/>
        <v>40370.565610199999</v>
      </c>
      <c r="AM46" s="85">
        <f t="shared" si="39"/>
        <v>43771.474107900001</v>
      </c>
      <c r="AN46" s="85">
        <f t="shared" si="40"/>
        <v>42163.706463900002</v>
      </c>
      <c r="AO46" s="85">
        <f t="shared" si="41"/>
        <v>50936.838563100006</v>
      </c>
      <c r="AP46" s="85">
        <f t="shared" si="42"/>
        <v>53811.023183400008</v>
      </c>
      <c r="AQ46" s="85">
        <f t="shared" si="43"/>
        <v>54639.503450700002</v>
      </c>
      <c r="AR46" s="86">
        <f t="shared" si="44"/>
        <v>91344.610560000001</v>
      </c>
      <c r="AS46" s="86">
        <f t="shared" si="45"/>
        <v>86027.450880000004</v>
      </c>
      <c r="AT46" s="86">
        <f t="shared" si="46"/>
        <v>90020.085120000003</v>
      </c>
      <c r="AU46" s="86">
        <f t="shared" si="47"/>
        <v>87275.744640000004</v>
      </c>
      <c r="AV46" s="86">
        <f t="shared" si="48"/>
        <v>80109.966719999997</v>
      </c>
      <c r="AW46" s="86">
        <f t="shared" si="49"/>
        <v>76612.838399999993</v>
      </c>
      <c r="AX46" s="86">
        <f t="shared" si="50"/>
        <v>74221.069440000007</v>
      </c>
      <c r="AY46" s="86">
        <f t="shared" si="51"/>
        <v>64730.225279999999</v>
      </c>
      <c r="AZ46" s="86">
        <f t="shared" si="52"/>
        <v>67131.523199999996</v>
      </c>
      <c r="BA46" s="86">
        <f t="shared" si="53"/>
        <v>71495.78688</v>
      </c>
      <c r="BB46" s="86">
        <f t="shared" si="54"/>
        <v>84683.86752</v>
      </c>
      <c r="BC46" s="86">
        <f t="shared" si="55"/>
        <v>84274.122239999997</v>
      </c>
      <c r="BD46" s="86">
        <f t="shared" si="56"/>
        <v>92955.004799999995</v>
      </c>
    </row>
    <row r="47" spans="1:56" ht="15.75" customHeight="1">
      <c r="A47" s="10"/>
      <c r="B47" s="10"/>
      <c r="C47" s="10"/>
      <c r="D47" s="10"/>
      <c r="E47" s="83">
        <v>5078.6400000000003</v>
      </c>
      <c r="F47" s="83">
        <v>5662.44</v>
      </c>
      <c r="G47" s="83">
        <v>5670.84</v>
      </c>
      <c r="H47" s="83">
        <v>5170.2</v>
      </c>
      <c r="I47" s="83">
        <v>4143.72</v>
      </c>
      <c r="J47" s="83">
        <v>4569.6000000000004</v>
      </c>
      <c r="K47" s="83">
        <v>4174.8</v>
      </c>
      <c r="L47" s="83">
        <v>3599.4</v>
      </c>
      <c r="M47" s="83">
        <v>3811.92</v>
      </c>
      <c r="N47" s="83">
        <v>3603.6</v>
      </c>
      <c r="O47" s="83">
        <v>4535.16</v>
      </c>
      <c r="P47" s="83">
        <v>5102.16</v>
      </c>
      <c r="Q47" s="83">
        <v>4919.04</v>
      </c>
      <c r="R47" s="84">
        <v>57204</v>
      </c>
      <c r="S47" s="84">
        <v>59472</v>
      </c>
      <c r="T47" s="84">
        <v>57288</v>
      </c>
      <c r="U47" s="84">
        <v>54600</v>
      </c>
      <c r="V47" s="84">
        <v>45864</v>
      </c>
      <c r="W47" s="84">
        <v>42924</v>
      </c>
      <c r="X47" s="84">
        <v>42672</v>
      </c>
      <c r="Y47" s="84">
        <v>35196</v>
      </c>
      <c r="Z47" s="84">
        <v>34776</v>
      </c>
      <c r="AA47" s="84">
        <v>37884</v>
      </c>
      <c r="AB47" s="84">
        <v>47292</v>
      </c>
      <c r="AC47" s="84">
        <v>49728</v>
      </c>
      <c r="AD47" s="84">
        <v>52836</v>
      </c>
      <c r="AE47" s="85">
        <f t="shared" si="31"/>
        <v>14508.303247200001</v>
      </c>
      <c r="AF47" s="85">
        <f t="shared" si="32"/>
        <v>16176.0622212</v>
      </c>
      <c r="AG47" s="85">
        <f t="shared" si="33"/>
        <v>16200.058753200001</v>
      </c>
      <c r="AH47" s="85">
        <f t="shared" si="34"/>
        <v>14769.865446</v>
      </c>
      <c r="AI47" s="85">
        <f t="shared" si="35"/>
        <v>11837.489235600002</v>
      </c>
      <c r="AJ47" s="85">
        <f t="shared" si="36"/>
        <v>13054.113408000003</v>
      </c>
      <c r="AK47" s="85">
        <f t="shared" si="37"/>
        <v>11926.276404000002</v>
      </c>
      <c r="AL47" s="85">
        <f t="shared" si="38"/>
        <v>10282.513962000001</v>
      </c>
      <c r="AM47" s="85">
        <f t="shared" si="39"/>
        <v>10889.626221600001</v>
      </c>
      <c r="AN47" s="85">
        <f t="shared" si="40"/>
        <v>10294.512228000001</v>
      </c>
      <c r="AO47" s="85">
        <f t="shared" si="41"/>
        <v>12955.727626800001</v>
      </c>
      <c r="AP47" s="85">
        <f t="shared" si="42"/>
        <v>14575.493536800001</v>
      </c>
      <c r="AQ47" s="85">
        <f t="shared" si="43"/>
        <v>14052.3691392</v>
      </c>
      <c r="AR47" s="86">
        <f t="shared" si="44"/>
        <v>25956.887040000001</v>
      </c>
      <c r="AS47" s="86">
        <f t="shared" si="45"/>
        <v>26986.014719999999</v>
      </c>
      <c r="AT47" s="86">
        <f t="shared" si="46"/>
        <v>25995.00288</v>
      </c>
      <c r="AU47" s="86">
        <f t="shared" si="47"/>
        <v>24775.295999999998</v>
      </c>
      <c r="AV47" s="86">
        <f t="shared" si="48"/>
        <v>20811.248640000002</v>
      </c>
      <c r="AW47" s="86">
        <f t="shared" si="49"/>
        <v>19477.194240000001</v>
      </c>
      <c r="AX47" s="86">
        <f t="shared" si="50"/>
        <v>19362.846720000001</v>
      </c>
      <c r="AY47" s="86">
        <f t="shared" si="51"/>
        <v>15970.536959999999</v>
      </c>
      <c r="AZ47" s="86">
        <f t="shared" si="52"/>
        <v>15779.957759999999</v>
      </c>
      <c r="BA47" s="86">
        <f t="shared" si="53"/>
        <v>17190.243839999999</v>
      </c>
      <c r="BB47" s="86">
        <f t="shared" si="54"/>
        <v>21459.217919999999</v>
      </c>
      <c r="BC47" s="86">
        <f t="shared" si="55"/>
        <v>22564.577280000001</v>
      </c>
      <c r="BD47" s="86">
        <f t="shared" si="56"/>
        <v>23974.863359999999</v>
      </c>
    </row>
    <row r="48" spans="1:56" ht="15.75" customHeight="1">
      <c r="A48" s="10"/>
      <c r="B48" s="10"/>
      <c r="C48" s="10"/>
      <c r="D48" s="10"/>
      <c r="E48" s="83">
        <v>207.48</v>
      </c>
      <c r="F48" s="83">
        <v>224.28</v>
      </c>
      <c r="G48" s="83">
        <v>239.82</v>
      </c>
      <c r="H48" s="83">
        <v>233.1</v>
      </c>
      <c r="I48" s="83">
        <v>199.92</v>
      </c>
      <c r="J48" s="83">
        <v>243.18</v>
      </c>
      <c r="K48" s="83">
        <v>197.4</v>
      </c>
      <c r="L48" s="83">
        <v>158.76</v>
      </c>
      <c r="M48" s="83">
        <v>176.4</v>
      </c>
      <c r="N48" s="83">
        <v>148.68</v>
      </c>
      <c r="O48" s="83">
        <v>170.52</v>
      </c>
      <c r="P48" s="83">
        <v>181.86</v>
      </c>
      <c r="Q48" s="83">
        <v>213.36</v>
      </c>
      <c r="R48" s="84">
        <v>2142</v>
      </c>
      <c r="S48" s="84">
        <v>2016</v>
      </c>
      <c r="T48" s="84">
        <v>2142</v>
      </c>
      <c r="U48" s="84">
        <v>2142</v>
      </c>
      <c r="V48" s="84">
        <v>2016</v>
      </c>
      <c r="W48" s="84">
        <v>1932</v>
      </c>
      <c r="X48" s="84">
        <v>1848</v>
      </c>
      <c r="Y48" s="84">
        <v>1554</v>
      </c>
      <c r="Z48" s="84">
        <v>1638</v>
      </c>
      <c r="AA48" s="84">
        <v>1680</v>
      </c>
      <c r="AB48" s="84">
        <v>1848</v>
      </c>
      <c r="AC48" s="84">
        <v>1764</v>
      </c>
      <c r="AD48" s="84">
        <v>2100</v>
      </c>
      <c r="AE48" s="85">
        <f t="shared" si="31"/>
        <v>592.71434039999997</v>
      </c>
      <c r="AF48" s="85">
        <f t="shared" si="32"/>
        <v>640.70740440000009</v>
      </c>
      <c r="AG48" s="85">
        <f t="shared" si="33"/>
        <v>685.10098860000005</v>
      </c>
      <c r="AH48" s="85">
        <f t="shared" si="34"/>
        <v>665.90376300000003</v>
      </c>
      <c r="AI48" s="85">
        <f t="shared" si="35"/>
        <v>571.11746159999996</v>
      </c>
      <c r="AJ48" s="85">
        <f t="shared" si="36"/>
        <v>694.69960140000012</v>
      </c>
      <c r="AK48" s="85">
        <f t="shared" si="37"/>
        <v>563.9185020000001</v>
      </c>
      <c r="AL48" s="85">
        <f t="shared" si="38"/>
        <v>453.53445479999999</v>
      </c>
      <c r="AM48" s="85">
        <f t="shared" si="39"/>
        <v>503.92717200000004</v>
      </c>
      <c r="AN48" s="85">
        <f t="shared" si="40"/>
        <v>424.73861640000007</v>
      </c>
      <c r="AO48" s="85">
        <f t="shared" si="41"/>
        <v>487.12959960000006</v>
      </c>
      <c r="AP48" s="85">
        <f t="shared" si="42"/>
        <v>519.52491780000003</v>
      </c>
      <c r="AQ48" s="85">
        <f t="shared" si="43"/>
        <v>609.51191280000012</v>
      </c>
      <c r="AR48" s="86">
        <f t="shared" si="44"/>
        <v>971.95392000000004</v>
      </c>
      <c r="AS48" s="86">
        <f t="shared" si="45"/>
        <v>914.78016000000002</v>
      </c>
      <c r="AT48" s="86">
        <f t="shared" si="46"/>
        <v>971.95392000000004</v>
      </c>
      <c r="AU48" s="86">
        <f t="shared" si="47"/>
        <v>971.95392000000004</v>
      </c>
      <c r="AV48" s="86">
        <f t="shared" si="48"/>
        <v>914.78016000000002</v>
      </c>
      <c r="AW48" s="86">
        <f t="shared" si="49"/>
        <v>876.66431999999998</v>
      </c>
      <c r="AX48" s="86">
        <f t="shared" si="50"/>
        <v>838.54848000000004</v>
      </c>
      <c r="AY48" s="86">
        <f t="shared" si="51"/>
        <v>705.14304000000004</v>
      </c>
      <c r="AZ48" s="86">
        <f t="shared" si="52"/>
        <v>743.25887999999998</v>
      </c>
      <c r="BA48" s="86">
        <f t="shared" si="53"/>
        <v>762.31679999999994</v>
      </c>
      <c r="BB48" s="86">
        <f t="shared" si="54"/>
        <v>838.54848000000004</v>
      </c>
      <c r="BC48" s="86">
        <f t="shared" si="55"/>
        <v>800.43263999999999</v>
      </c>
      <c r="BD48" s="86">
        <f t="shared" si="56"/>
        <v>952.89599999999996</v>
      </c>
    </row>
    <row r="49" spans="1:56" ht="15.75" customHeight="1">
      <c r="A49" s="10"/>
      <c r="B49" s="10"/>
      <c r="C49" s="10"/>
      <c r="D49" s="10"/>
      <c r="E49" s="83">
        <v>133.13999999999999</v>
      </c>
      <c r="F49" s="83">
        <v>141.33000000000001</v>
      </c>
      <c r="G49" s="83">
        <v>155.19</v>
      </c>
      <c r="H49" s="83">
        <v>145.53</v>
      </c>
      <c r="I49" s="83">
        <v>128.1</v>
      </c>
      <c r="J49" s="83">
        <v>167.16</v>
      </c>
      <c r="K49" s="83">
        <v>161.28</v>
      </c>
      <c r="L49" s="83">
        <v>134.61000000000001</v>
      </c>
      <c r="M49" s="83">
        <v>141.33000000000001</v>
      </c>
      <c r="N49" s="83">
        <v>146.37</v>
      </c>
      <c r="O49" s="83">
        <v>295.47000000000003</v>
      </c>
      <c r="P49" s="83">
        <v>464.73</v>
      </c>
      <c r="Q49" s="83">
        <v>443.73</v>
      </c>
      <c r="R49" s="84">
        <v>2142</v>
      </c>
      <c r="S49" s="84">
        <v>2184</v>
      </c>
      <c r="T49" s="84">
        <v>2289</v>
      </c>
      <c r="U49" s="84">
        <v>2268</v>
      </c>
      <c r="V49" s="84">
        <v>1995</v>
      </c>
      <c r="W49" s="84">
        <v>2016</v>
      </c>
      <c r="X49" s="84">
        <v>1995</v>
      </c>
      <c r="Y49" s="84">
        <v>1617</v>
      </c>
      <c r="Z49" s="84">
        <v>1554</v>
      </c>
      <c r="AA49" s="84">
        <v>1785</v>
      </c>
      <c r="AB49" s="84">
        <v>3549</v>
      </c>
      <c r="AC49" s="84">
        <v>4809</v>
      </c>
      <c r="AD49" s="84">
        <v>5313</v>
      </c>
      <c r="AE49" s="85">
        <f t="shared" si="31"/>
        <v>380.34503219999999</v>
      </c>
      <c r="AF49" s="85">
        <f t="shared" si="32"/>
        <v>403.74165090000008</v>
      </c>
      <c r="AG49" s="85">
        <f t="shared" si="33"/>
        <v>443.33592870000001</v>
      </c>
      <c r="AH49" s="85">
        <f t="shared" si="34"/>
        <v>415.73991690000003</v>
      </c>
      <c r="AI49" s="85">
        <f t="shared" si="35"/>
        <v>365.947113</v>
      </c>
      <c r="AJ49" s="85">
        <f t="shared" si="36"/>
        <v>477.53098680000005</v>
      </c>
      <c r="AK49" s="85">
        <f t="shared" si="37"/>
        <v>460.73341440000002</v>
      </c>
      <c r="AL49" s="85">
        <f t="shared" si="38"/>
        <v>384.54442530000006</v>
      </c>
      <c r="AM49" s="85">
        <f t="shared" si="39"/>
        <v>403.74165090000008</v>
      </c>
      <c r="AN49" s="85">
        <f t="shared" si="40"/>
        <v>418.13957010000007</v>
      </c>
      <c r="AO49" s="85">
        <f t="shared" si="41"/>
        <v>844.07801310000013</v>
      </c>
      <c r="AP49" s="85">
        <f t="shared" si="42"/>
        <v>1327.6081329000001</v>
      </c>
      <c r="AQ49" s="85">
        <f t="shared" si="43"/>
        <v>1267.6168029</v>
      </c>
      <c r="AR49" s="86">
        <f t="shared" si="44"/>
        <v>971.95392000000004</v>
      </c>
      <c r="AS49" s="86">
        <f t="shared" si="45"/>
        <v>991.01184000000001</v>
      </c>
      <c r="AT49" s="86">
        <f t="shared" si="46"/>
        <v>1038.6566399999999</v>
      </c>
      <c r="AU49" s="86">
        <f t="shared" si="47"/>
        <v>1029.1276800000001</v>
      </c>
      <c r="AV49" s="86">
        <f t="shared" si="48"/>
        <v>905.25120000000004</v>
      </c>
      <c r="AW49" s="86">
        <f t="shared" si="49"/>
        <v>914.78016000000002</v>
      </c>
      <c r="AX49" s="86">
        <f t="shared" si="50"/>
        <v>905.25120000000004</v>
      </c>
      <c r="AY49" s="86">
        <f t="shared" si="51"/>
        <v>733.72991999999999</v>
      </c>
      <c r="AZ49" s="86">
        <f t="shared" si="52"/>
        <v>705.14304000000004</v>
      </c>
      <c r="BA49" s="86">
        <f t="shared" si="53"/>
        <v>809.96159999999998</v>
      </c>
      <c r="BB49" s="86">
        <f t="shared" si="54"/>
        <v>1610.3942400000001</v>
      </c>
      <c r="BC49" s="86">
        <f t="shared" si="55"/>
        <v>2182.13184</v>
      </c>
      <c r="BD49" s="86">
        <f t="shared" si="56"/>
        <v>2410.8268800000001</v>
      </c>
    </row>
    <row r="50" spans="1:56" ht="15.75" customHeight="1">
      <c r="A50" s="10"/>
      <c r="B50" s="10"/>
      <c r="C50" s="10"/>
      <c r="D50" s="10"/>
      <c r="E50" s="83">
        <v>23.02</v>
      </c>
      <c r="F50" s="83">
        <v>23.14</v>
      </c>
      <c r="G50" s="83">
        <v>25.45</v>
      </c>
      <c r="H50" s="83">
        <v>24.44</v>
      </c>
      <c r="I50" s="83">
        <v>21.88</v>
      </c>
      <c r="J50" s="83">
        <v>27.09</v>
      </c>
      <c r="K50" s="83">
        <v>24.78</v>
      </c>
      <c r="L50" s="83">
        <v>25.79</v>
      </c>
      <c r="M50" s="83">
        <v>27.85</v>
      </c>
      <c r="N50" s="83">
        <v>23.9</v>
      </c>
      <c r="O50" s="83">
        <v>26.08</v>
      </c>
      <c r="P50" s="83">
        <v>25.96</v>
      </c>
      <c r="Q50" s="83">
        <v>24.4</v>
      </c>
      <c r="R50" s="84">
        <v>268.8</v>
      </c>
      <c r="S50" s="84">
        <v>235.2</v>
      </c>
      <c r="T50" s="84">
        <v>268.8</v>
      </c>
      <c r="U50" s="84">
        <v>260.39999999999998</v>
      </c>
      <c r="V50" s="84">
        <v>256.2</v>
      </c>
      <c r="W50" s="84">
        <v>264.60000000000002</v>
      </c>
      <c r="X50" s="84">
        <v>260.39999999999998</v>
      </c>
      <c r="Y50" s="84">
        <v>264.60000000000002</v>
      </c>
      <c r="Z50" s="84">
        <v>264.60000000000002</v>
      </c>
      <c r="AA50" s="84">
        <v>260.39999999999998</v>
      </c>
      <c r="AB50" s="84">
        <v>264.60000000000002</v>
      </c>
      <c r="AC50" s="84">
        <v>252</v>
      </c>
      <c r="AD50" s="84">
        <v>264.60000000000002</v>
      </c>
      <c r="AE50" s="85">
        <f t="shared" si="31"/>
        <v>65.7619246</v>
      </c>
      <c r="AF50" s="85">
        <f t="shared" si="32"/>
        <v>66.104732200000001</v>
      </c>
      <c r="AG50" s="85">
        <f t="shared" si="33"/>
        <v>72.703778499999999</v>
      </c>
      <c r="AH50" s="85">
        <f t="shared" si="34"/>
        <v>69.818481200000008</v>
      </c>
      <c r="AI50" s="85">
        <f t="shared" si="35"/>
        <v>62.505252400000003</v>
      </c>
      <c r="AJ50" s="85">
        <f t="shared" si="36"/>
        <v>77.388815700000009</v>
      </c>
      <c r="AK50" s="85">
        <f t="shared" si="37"/>
        <v>70.789769400000012</v>
      </c>
      <c r="AL50" s="85">
        <f t="shared" si="38"/>
        <v>73.675066700000002</v>
      </c>
      <c r="AM50" s="85">
        <f t="shared" si="39"/>
        <v>79.559930500000007</v>
      </c>
      <c r="AN50" s="85">
        <f t="shared" si="40"/>
        <v>68.275846999999999</v>
      </c>
      <c r="AO50" s="85">
        <f t="shared" si="41"/>
        <v>74.503518400000004</v>
      </c>
      <c r="AP50" s="85">
        <f t="shared" si="42"/>
        <v>74.160710800000004</v>
      </c>
      <c r="AQ50" s="85">
        <f t="shared" si="43"/>
        <v>69.704211999999998</v>
      </c>
      <c r="AR50" s="86">
        <f t="shared" si="44"/>
        <v>121.97068800000001</v>
      </c>
      <c r="AS50" s="86">
        <f t="shared" si="45"/>
        <v>106.724352</v>
      </c>
      <c r="AT50" s="86">
        <f t="shared" si="46"/>
        <v>121.97068800000001</v>
      </c>
      <c r="AU50" s="86">
        <f t="shared" si="47"/>
        <v>118.15910399999999</v>
      </c>
      <c r="AV50" s="86">
        <f t="shared" si="48"/>
        <v>116.25331199999999</v>
      </c>
      <c r="AW50" s="86">
        <f t="shared" si="49"/>
        <v>120.064896</v>
      </c>
      <c r="AX50" s="86">
        <f t="shared" si="50"/>
        <v>118.15910399999999</v>
      </c>
      <c r="AY50" s="86">
        <f t="shared" si="51"/>
        <v>120.064896</v>
      </c>
      <c r="AZ50" s="86">
        <f t="shared" si="52"/>
        <v>120.064896</v>
      </c>
      <c r="BA50" s="86">
        <f t="shared" si="53"/>
        <v>118.15910399999999</v>
      </c>
      <c r="BB50" s="86">
        <f t="shared" si="54"/>
        <v>120.064896</v>
      </c>
      <c r="BC50" s="86">
        <f t="shared" si="55"/>
        <v>114.34752</v>
      </c>
      <c r="BD50" s="86">
        <f t="shared" si="56"/>
        <v>120.064896</v>
      </c>
    </row>
    <row r="51" spans="1:56" ht="15.75" customHeight="1">
      <c r="A51" s="10"/>
      <c r="B51" s="10"/>
      <c r="C51" s="10"/>
      <c r="D51" s="10"/>
      <c r="E51" s="83">
        <v>546.21</v>
      </c>
      <c r="F51" s="83">
        <v>220.71</v>
      </c>
      <c r="G51" s="83">
        <v>290.01</v>
      </c>
      <c r="H51" s="83">
        <v>223.44</v>
      </c>
      <c r="I51" s="83">
        <v>185.85</v>
      </c>
      <c r="J51" s="83">
        <v>203.49</v>
      </c>
      <c r="K51" s="83">
        <v>322.35000000000002</v>
      </c>
      <c r="L51" s="83">
        <v>474.18</v>
      </c>
      <c r="M51" s="83">
        <v>267.54000000000002</v>
      </c>
      <c r="N51" s="83">
        <v>345.03</v>
      </c>
      <c r="O51" s="83">
        <v>243.6</v>
      </c>
      <c r="P51" s="83">
        <v>194.25</v>
      </c>
      <c r="Q51" s="83">
        <v>299.88</v>
      </c>
      <c r="R51" s="84">
        <v>3717</v>
      </c>
      <c r="S51" s="84">
        <v>1344</v>
      </c>
      <c r="T51" s="84">
        <v>2415</v>
      </c>
      <c r="U51" s="84">
        <v>3192</v>
      </c>
      <c r="V51" s="84">
        <v>2331</v>
      </c>
      <c r="W51" s="84">
        <v>2121</v>
      </c>
      <c r="X51" s="84">
        <v>3570</v>
      </c>
      <c r="Y51" s="84">
        <v>5019</v>
      </c>
      <c r="Z51" s="84">
        <v>2562</v>
      </c>
      <c r="AA51" s="84">
        <v>3528</v>
      </c>
      <c r="AB51" s="84">
        <v>1617</v>
      </c>
      <c r="AC51" s="84">
        <v>2520</v>
      </c>
      <c r="AD51" s="84">
        <v>5250</v>
      </c>
      <c r="AE51" s="85">
        <f t="shared" si="31"/>
        <v>1560.3744933000003</v>
      </c>
      <c r="AF51" s="85">
        <f t="shared" si="32"/>
        <v>630.50887830000011</v>
      </c>
      <c r="AG51" s="85">
        <f t="shared" si="33"/>
        <v>828.48026730000004</v>
      </c>
      <c r="AH51" s="85">
        <f t="shared" si="34"/>
        <v>638.3077512000001</v>
      </c>
      <c r="AI51" s="85">
        <f t="shared" si="35"/>
        <v>530.92327050000006</v>
      </c>
      <c r="AJ51" s="85">
        <f t="shared" si="36"/>
        <v>581.31598770000005</v>
      </c>
      <c r="AK51" s="85">
        <f t="shared" si="37"/>
        <v>920.86691550000012</v>
      </c>
      <c r="AL51" s="85">
        <f t="shared" si="38"/>
        <v>1354.6042314000001</v>
      </c>
      <c r="AM51" s="85">
        <f t="shared" si="39"/>
        <v>764.28954420000014</v>
      </c>
      <c r="AN51" s="85">
        <f t="shared" si="40"/>
        <v>985.65755190000004</v>
      </c>
      <c r="AO51" s="85">
        <f t="shared" si="41"/>
        <v>695.89942800000006</v>
      </c>
      <c r="AP51" s="85">
        <f t="shared" si="42"/>
        <v>554.91980250000006</v>
      </c>
      <c r="AQ51" s="85">
        <f t="shared" si="43"/>
        <v>856.6761924000001</v>
      </c>
      <c r="AR51" s="86">
        <f t="shared" si="44"/>
        <v>1686.62592</v>
      </c>
      <c r="AS51" s="86">
        <f t="shared" si="45"/>
        <v>609.85343999999998</v>
      </c>
      <c r="AT51" s="86">
        <f t="shared" si="46"/>
        <v>1095.8304000000001</v>
      </c>
      <c r="AU51" s="86">
        <f t="shared" si="47"/>
        <v>1448.40192</v>
      </c>
      <c r="AV51" s="86">
        <f t="shared" si="48"/>
        <v>1057.7145599999999</v>
      </c>
      <c r="AW51" s="86">
        <f t="shared" si="49"/>
        <v>962.42495999999994</v>
      </c>
      <c r="AX51" s="86">
        <f t="shared" si="50"/>
        <v>1619.9232</v>
      </c>
      <c r="AY51" s="86">
        <f t="shared" si="51"/>
        <v>2277.4214400000001</v>
      </c>
      <c r="AZ51" s="86">
        <f t="shared" si="52"/>
        <v>1162.5331200000001</v>
      </c>
      <c r="BA51" s="86">
        <f t="shared" si="53"/>
        <v>1600.86528</v>
      </c>
      <c r="BB51" s="86">
        <f t="shared" si="54"/>
        <v>733.72991999999999</v>
      </c>
      <c r="BC51" s="86">
        <f t="shared" si="55"/>
        <v>1143.4752000000001</v>
      </c>
      <c r="BD51" s="86">
        <f t="shared" si="56"/>
        <v>2382.2399999999998</v>
      </c>
    </row>
    <row r="52" spans="1:56" ht="15.75" customHeight="1">
      <c r="A52" s="10"/>
      <c r="B52" s="10"/>
      <c r="C52" s="10"/>
      <c r="D52" s="10"/>
      <c r="E52" s="83">
        <v>328.23</v>
      </c>
      <c r="F52" s="83">
        <v>139.44</v>
      </c>
      <c r="G52" s="83">
        <v>373.8</v>
      </c>
      <c r="H52" s="83">
        <v>92.82</v>
      </c>
      <c r="I52" s="83">
        <v>438.69</v>
      </c>
      <c r="J52" s="83">
        <v>154.35</v>
      </c>
      <c r="K52" s="83"/>
      <c r="L52" s="83">
        <v>439.95</v>
      </c>
      <c r="M52" s="83">
        <v>841.68</v>
      </c>
      <c r="N52" s="83">
        <v>1109.43</v>
      </c>
      <c r="O52" s="83">
        <v>1120.56</v>
      </c>
      <c r="P52" s="83">
        <v>458.22</v>
      </c>
      <c r="Q52" s="83">
        <v>331.8</v>
      </c>
      <c r="R52" s="84">
        <v>2520</v>
      </c>
      <c r="S52" s="84">
        <v>1386</v>
      </c>
      <c r="T52" s="84">
        <v>3024</v>
      </c>
      <c r="U52" s="84">
        <v>1344</v>
      </c>
      <c r="V52" s="84">
        <v>4473</v>
      </c>
      <c r="W52" s="84">
        <v>3108</v>
      </c>
      <c r="X52" s="84"/>
      <c r="Y52" s="84">
        <v>4767</v>
      </c>
      <c r="Z52" s="84">
        <v>8820</v>
      </c>
      <c r="AA52" s="84">
        <v>12054</v>
      </c>
      <c r="AB52" s="84">
        <v>11235</v>
      </c>
      <c r="AC52" s="84">
        <v>4242</v>
      </c>
      <c r="AD52" s="84">
        <v>6762</v>
      </c>
      <c r="AE52" s="85">
        <f t="shared" si="31"/>
        <v>937.66448790000015</v>
      </c>
      <c r="AF52" s="85">
        <f t="shared" si="32"/>
        <v>398.34243120000002</v>
      </c>
      <c r="AG52" s="85">
        <f t="shared" si="33"/>
        <v>1067.8456740000001</v>
      </c>
      <c r="AH52" s="85">
        <f t="shared" si="34"/>
        <v>265.16167860000002</v>
      </c>
      <c r="AI52" s="85">
        <f t="shared" si="35"/>
        <v>1253.2188837000001</v>
      </c>
      <c r="AJ52" s="85">
        <f t="shared" si="36"/>
        <v>440.93627550000002</v>
      </c>
      <c r="AK52" s="85">
        <f t="shared" si="37"/>
        <v>0</v>
      </c>
      <c r="AL52" s="85">
        <f t="shared" si="38"/>
        <v>1256.8183635</v>
      </c>
      <c r="AM52" s="85">
        <f t="shared" si="39"/>
        <v>2404.4525063999999</v>
      </c>
      <c r="AN52" s="85">
        <f t="shared" si="40"/>
        <v>3169.3419639000003</v>
      </c>
      <c r="AO52" s="85">
        <f t="shared" si="41"/>
        <v>3201.1373687999999</v>
      </c>
      <c r="AP52" s="85">
        <f t="shared" si="42"/>
        <v>1309.0108206000002</v>
      </c>
      <c r="AQ52" s="85">
        <f t="shared" si="43"/>
        <v>947.86301400000013</v>
      </c>
      <c r="AR52" s="86">
        <f t="shared" si="44"/>
        <v>1143.4752000000001</v>
      </c>
      <c r="AS52" s="86">
        <f t="shared" si="45"/>
        <v>628.91135999999995</v>
      </c>
      <c r="AT52" s="86">
        <f t="shared" si="46"/>
        <v>1372.1702399999999</v>
      </c>
      <c r="AU52" s="86">
        <f t="shared" si="47"/>
        <v>609.85343999999998</v>
      </c>
      <c r="AV52" s="86">
        <f t="shared" si="48"/>
        <v>2029.66848</v>
      </c>
      <c r="AW52" s="86">
        <f t="shared" si="49"/>
        <v>1410.2860800000001</v>
      </c>
      <c r="AX52" s="86">
        <f t="shared" si="50"/>
        <v>0</v>
      </c>
      <c r="AY52" s="86">
        <f t="shared" si="51"/>
        <v>2163.0739199999998</v>
      </c>
      <c r="AZ52" s="86">
        <f t="shared" si="52"/>
        <v>4002.1632</v>
      </c>
      <c r="BA52" s="86">
        <f t="shared" si="53"/>
        <v>5469.6230400000004</v>
      </c>
      <c r="BB52" s="86">
        <f t="shared" si="54"/>
        <v>5097.9935999999998</v>
      </c>
      <c r="BC52" s="86">
        <f t="shared" si="55"/>
        <v>1924.8499199999999</v>
      </c>
      <c r="BD52" s="86">
        <f t="shared" si="56"/>
        <v>3068.32512</v>
      </c>
    </row>
    <row r="53" spans="1:56" ht="15.75" customHeight="1">
      <c r="A53" s="10"/>
      <c r="B53" s="10"/>
      <c r="C53" s="10"/>
      <c r="D53" s="10"/>
      <c r="E53" s="83">
        <v>1150.3</v>
      </c>
      <c r="F53" s="83">
        <v>1296.71</v>
      </c>
      <c r="G53" s="83">
        <v>1224.3</v>
      </c>
      <c r="H53" s="83">
        <v>1116.8599999999999</v>
      </c>
      <c r="I53" s="83">
        <v>926.44</v>
      </c>
      <c r="J53" s="83">
        <v>1000.78</v>
      </c>
      <c r="K53" s="83">
        <v>952.31</v>
      </c>
      <c r="L53" s="83">
        <v>788.42</v>
      </c>
      <c r="M53" s="83">
        <v>911.65</v>
      </c>
      <c r="N53" s="83">
        <v>842.86</v>
      </c>
      <c r="O53" s="83">
        <v>1101.58</v>
      </c>
      <c r="P53" s="83">
        <v>1153.74</v>
      </c>
      <c r="Q53" s="83">
        <v>1098.3</v>
      </c>
      <c r="R53" s="84">
        <v>13692</v>
      </c>
      <c r="S53" s="84">
        <v>14481.6</v>
      </c>
      <c r="T53" s="84">
        <v>13532.4</v>
      </c>
      <c r="U53" s="84">
        <v>12843.6</v>
      </c>
      <c r="V53" s="84">
        <v>10894.8</v>
      </c>
      <c r="W53" s="84">
        <v>10441.200000000001</v>
      </c>
      <c r="X53" s="84">
        <v>10374</v>
      </c>
      <c r="Y53" s="84">
        <v>7719.6</v>
      </c>
      <c r="Z53" s="84">
        <v>8904</v>
      </c>
      <c r="AA53" s="84">
        <v>9366</v>
      </c>
      <c r="AB53" s="84">
        <v>12188.4</v>
      </c>
      <c r="AC53" s="84">
        <v>12507.6</v>
      </c>
      <c r="AD53" s="84">
        <v>13347.6</v>
      </c>
      <c r="AE53" s="85">
        <f t="shared" si="31"/>
        <v>3286.0965190000002</v>
      </c>
      <c r="AF53" s="85">
        <f t="shared" si="32"/>
        <v>3704.3503583000006</v>
      </c>
      <c r="AG53" s="85">
        <f t="shared" si="33"/>
        <v>3497.4945390000003</v>
      </c>
      <c r="AH53" s="85">
        <f t="shared" si="34"/>
        <v>3190.5674678</v>
      </c>
      <c r="AI53" s="85">
        <f t="shared" si="35"/>
        <v>2646.5889412000001</v>
      </c>
      <c r="AJ53" s="85">
        <f t="shared" si="36"/>
        <v>2858.9582494000001</v>
      </c>
      <c r="AK53" s="85">
        <f t="shared" si="37"/>
        <v>2720.4925463</v>
      </c>
      <c r="AL53" s="85">
        <f t="shared" si="38"/>
        <v>2252.3030666</v>
      </c>
      <c r="AM53" s="85">
        <f t="shared" si="39"/>
        <v>2604.3379045000001</v>
      </c>
      <c r="AN53" s="85">
        <f t="shared" si="40"/>
        <v>2407.8234478000004</v>
      </c>
      <c r="AO53" s="85">
        <f t="shared" si="41"/>
        <v>3146.9166334000001</v>
      </c>
      <c r="AP53" s="85">
        <f t="shared" si="42"/>
        <v>3295.9236702000003</v>
      </c>
      <c r="AQ53" s="85">
        <f t="shared" si="43"/>
        <v>3137.5465589999999</v>
      </c>
      <c r="AR53" s="86">
        <f t="shared" si="44"/>
        <v>6212.8819199999998</v>
      </c>
      <c r="AS53" s="86">
        <f t="shared" si="45"/>
        <v>6571.1708159999998</v>
      </c>
      <c r="AT53" s="86">
        <f t="shared" si="46"/>
        <v>6140.461824</v>
      </c>
      <c r="AU53" s="86">
        <f t="shared" si="47"/>
        <v>5827.9119360000004</v>
      </c>
      <c r="AV53" s="86">
        <f t="shared" si="48"/>
        <v>4943.6244479999996</v>
      </c>
      <c r="AW53" s="86">
        <f t="shared" si="49"/>
        <v>4737.7989120000002</v>
      </c>
      <c r="AX53" s="86">
        <f t="shared" si="50"/>
        <v>4707.3062399999999</v>
      </c>
      <c r="AY53" s="86">
        <f t="shared" si="51"/>
        <v>3502.8456960000003</v>
      </c>
      <c r="AZ53" s="86">
        <f t="shared" si="52"/>
        <v>4040.2790399999999</v>
      </c>
      <c r="BA53" s="86">
        <f t="shared" si="53"/>
        <v>4249.9161599999998</v>
      </c>
      <c r="BB53" s="86">
        <f t="shared" si="54"/>
        <v>5530.6083840000001</v>
      </c>
      <c r="BC53" s="86">
        <f t="shared" si="55"/>
        <v>5675.4485759999998</v>
      </c>
      <c r="BD53" s="86">
        <f t="shared" si="56"/>
        <v>6056.606976</v>
      </c>
    </row>
    <row r="54" spans="1:56" ht="15.75" customHeight="1">
      <c r="A54" s="10"/>
      <c r="B54" s="10"/>
      <c r="C54" s="10"/>
      <c r="D54" s="10"/>
      <c r="E54" s="83">
        <v>486.19</v>
      </c>
      <c r="F54" s="83">
        <v>580.19000000000005</v>
      </c>
      <c r="G54" s="83">
        <v>632.17999999999995</v>
      </c>
      <c r="H54" s="83">
        <v>581.11</v>
      </c>
      <c r="I54" s="83">
        <v>449.65</v>
      </c>
      <c r="J54" s="83">
        <v>503.33</v>
      </c>
      <c r="K54" s="83">
        <v>399.59</v>
      </c>
      <c r="L54" s="83">
        <v>365.15</v>
      </c>
      <c r="M54" s="83">
        <v>365.32</v>
      </c>
      <c r="N54" s="83">
        <v>348.18</v>
      </c>
      <c r="O54" s="83">
        <v>454.19</v>
      </c>
      <c r="P54" s="83">
        <v>560.36</v>
      </c>
      <c r="Q54" s="83">
        <v>666.46</v>
      </c>
      <c r="R54" s="84">
        <v>4057.2</v>
      </c>
      <c r="S54" s="84">
        <v>4536</v>
      </c>
      <c r="T54" s="84">
        <v>4771.2</v>
      </c>
      <c r="U54" s="84">
        <v>4544.3999999999996</v>
      </c>
      <c r="V54" s="84">
        <v>3931.2</v>
      </c>
      <c r="W54" s="84">
        <v>3494.4</v>
      </c>
      <c r="X54" s="84">
        <v>3208.8</v>
      </c>
      <c r="Y54" s="84">
        <v>2704.8</v>
      </c>
      <c r="Z54" s="84">
        <v>2797.2</v>
      </c>
      <c r="AA54" s="84">
        <v>3108</v>
      </c>
      <c r="AB54" s="84">
        <v>4233.6000000000004</v>
      </c>
      <c r="AC54" s="84">
        <v>4393.2</v>
      </c>
      <c r="AD54" s="84">
        <v>5695.2</v>
      </c>
      <c r="AE54" s="85">
        <f t="shared" si="31"/>
        <v>1388.9135587000001</v>
      </c>
      <c r="AF54" s="85">
        <f t="shared" si="32"/>
        <v>1657.4461787000002</v>
      </c>
      <c r="AG54" s="85">
        <f t="shared" si="33"/>
        <v>1805.9675714</v>
      </c>
      <c r="AH54" s="85">
        <f t="shared" si="34"/>
        <v>1660.0743703000001</v>
      </c>
      <c r="AI54" s="85">
        <f t="shared" si="35"/>
        <v>1284.5286444999999</v>
      </c>
      <c r="AJ54" s="85">
        <f t="shared" si="36"/>
        <v>1437.8779109</v>
      </c>
      <c r="AK54" s="85">
        <f t="shared" si="37"/>
        <v>1141.5207407</v>
      </c>
      <c r="AL54" s="85">
        <f t="shared" si="38"/>
        <v>1043.1349594999999</v>
      </c>
      <c r="AM54" s="85">
        <f t="shared" si="39"/>
        <v>1043.6206036000001</v>
      </c>
      <c r="AN54" s="85">
        <f t="shared" si="40"/>
        <v>994.65625140000009</v>
      </c>
      <c r="AO54" s="85">
        <f t="shared" si="41"/>
        <v>1297.4981987000001</v>
      </c>
      <c r="AP54" s="85">
        <f t="shared" si="42"/>
        <v>1600.7972228000001</v>
      </c>
      <c r="AQ54" s="85">
        <f t="shared" si="43"/>
        <v>1903.8962758000002</v>
      </c>
      <c r="AR54" s="86">
        <f t="shared" si="44"/>
        <v>1840.9950719999999</v>
      </c>
      <c r="AS54" s="86">
        <f t="shared" si="45"/>
        <v>2058.2553600000001</v>
      </c>
      <c r="AT54" s="86">
        <f t="shared" si="46"/>
        <v>2164.9797119999998</v>
      </c>
      <c r="AU54" s="86">
        <f t="shared" si="47"/>
        <v>2062.0669439999997</v>
      </c>
      <c r="AV54" s="86">
        <f t="shared" si="48"/>
        <v>1783.8213119999998</v>
      </c>
      <c r="AW54" s="86">
        <f t="shared" si="49"/>
        <v>1585.6189440000001</v>
      </c>
      <c r="AX54" s="86">
        <f t="shared" si="50"/>
        <v>1456.0250880000001</v>
      </c>
      <c r="AY54" s="86">
        <f t="shared" si="51"/>
        <v>1227.330048</v>
      </c>
      <c r="AZ54" s="86">
        <f t="shared" si="52"/>
        <v>1269.257472</v>
      </c>
      <c r="BA54" s="86">
        <f t="shared" si="53"/>
        <v>1410.2860800000001</v>
      </c>
      <c r="BB54" s="86">
        <f t="shared" si="54"/>
        <v>1921.0383360000001</v>
      </c>
      <c r="BC54" s="86">
        <f t="shared" si="55"/>
        <v>1993.4584319999999</v>
      </c>
      <c r="BD54" s="86">
        <f t="shared" si="56"/>
        <v>2584.253952</v>
      </c>
    </row>
    <row r="55" spans="1:56" ht="15.75" customHeight="1">
      <c r="A55" s="10"/>
      <c r="B55" s="10"/>
      <c r="C55" s="10"/>
      <c r="D55" s="10"/>
      <c r="E55" s="83">
        <v>354.65</v>
      </c>
      <c r="F55" s="83">
        <v>400.6</v>
      </c>
      <c r="G55" s="83">
        <v>192.19</v>
      </c>
      <c r="H55" s="83">
        <v>1367.02</v>
      </c>
      <c r="I55" s="83">
        <v>327.26</v>
      </c>
      <c r="J55" s="83">
        <v>714.34</v>
      </c>
      <c r="K55" s="83">
        <v>803.71</v>
      </c>
      <c r="L55" s="83">
        <v>645.71</v>
      </c>
      <c r="M55" s="83">
        <v>1511.83</v>
      </c>
      <c r="N55" s="83">
        <v>2036.5</v>
      </c>
      <c r="O55" s="83">
        <v>1010.69</v>
      </c>
      <c r="P55" s="83">
        <v>2584.34</v>
      </c>
      <c r="Q55" s="83">
        <v>2817.53</v>
      </c>
      <c r="R55" s="84">
        <v>9483.6</v>
      </c>
      <c r="S55" s="84">
        <v>11256</v>
      </c>
      <c r="T55" s="84">
        <v>4166.3999999999996</v>
      </c>
      <c r="U55" s="84">
        <v>12633.6</v>
      </c>
      <c r="V55" s="84">
        <v>10626</v>
      </c>
      <c r="W55" s="84">
        <v>12079</v>
      </c>
      <c r="X55" s="84">
        <v>12885.6</v>
      </c>
      <c r="Y55" s="84">
        <v>9097.2000000000007</v>
      </c>
      <c r="Z55" s="84">
        <v>9584.4</v>
      </c>
      <c r="AA55" s="84">
        <v>9996</v>
      </c>
      <c r="AB55" s="84">
        <v>13818</v>
      </c>
      <c r="AC55" s="84">
        <v>15590.4</v>
      </c>
      <c r="AD55" s="84">
        <v>13078.8</v>
      </c>
      <c r="AE55" s="85">
        <f t="shared" si="31"/>
        <v>1013.1392945</v>
      </c>
      <c r="AF55" s="85">
        <f t="shared" si="32"/>
        <v>1144.4060380000001</v>
      </c>
      <c r="AG55" s="85">
        <f t="shared" si="33"/>
        <v>549.0349387</v>
      </c>
      <c r="AH55" s="85">
        <f t="shared" si="34"/>
        <v>3905.2070446000002</v>
      </c>
      <c r="AI55" s="85">
        <f t="shared" si="35"/>
        <v>934.89345980000007</v>
      </c>
      <c r="AJ55" s="85">
        <f t="shared" si="36"/>
        <v>2040.6765082000002</v>
      </c>
      <c r="AK55" s="85">
        <f t="shared" si="37"/>
        <v>2295.9824683000002</v>
      </c>
      <c r="AL55" s="85">
        <f t="shared" si="38"/>
        <v>1844.6191283000003</v>
      </c>
      <c r="AM55" s="85">
        <f t="shared" si="39"/>
        <v>4318.8901158999997</v>
      </c>
      <c r="AN55" s="85">
        <f t="shared" si="40"/>
        <v>5817.7306450000005</v>
      </c>
      <c r="AO55" s="85">
        <f t="shared" si="41"/>
        <v>2887.2684437000003</v>
      </c>
      <c r="AP55" s="85">
        <f t="shared" si="42"/>
        <v>7382.7616082000013</v>
      </c>
      <c r="AQ55" s="85">
        <f t="shared" si="43"/>
        <v>8048.9224769000011</v>
      </c>
      <c r="AR55" s="86">
        <f t="shared" si="44"/>
        <v>4303.2783360000003</v>
      </c>
      <c r="AS55" s="86">
        <f t="shared" si="45"/>
        <v>5107.5225600000003</v>
      </c>
      <c r="AT55" s="86">
        <f t="shared" si="46"/>
        <v>1890.5456639999998</v>
      </c>
      <c r="AU55" s="86">
        <f t="shared" si="47"/>
        <v>5732.6223360000004</v>
      </c>
      <c r="AV55" s="86">
        <f t="shared" si="48"/>
        <v>4821.6537600000001</v>
      </c>
      <c r="AW55" s="86">
        <f t="shared" si="49"/>
        <v>5480.9670399999995</v>
      </c>
      <c r="AX55" s="86">
        <f t="shared" si="50"/>
        <v>5846.9698559999997</v>
      </c>
      <c r="AY55" s="86">
        <f t="shared" si="51"/>
        <v>4127.9454720000003</v>
      </c>
      <c r="AZ55" s="86">
        <f t="shared" si="52"/>
        <v>4349.0173439999999</v>
      </c>
      <c r="BA55" s="86">
        <f t="shared" si="53"/>
        <v>4535.78496</v>
      </c>
      <c r="BB55" s="86">
        <f t="shared" si="54"/>
        <v>6270.0556800000004</v>
      </c>
      <c r="BC55" s="86">
        <f t="shared" si="55"/>
        <v>7074.2999039999995</v>
      </c>
      <c r="BD55" s="86">
        <f t="shared" si="56"/>
        <v>5934.6362879999997</v>
      </c>
    </row>
    <row r="56" spans="1:56" ht="15.75" customHeight="1">
      <c r="A56" s="10"/>
      <c r="B56" s="10"/>
      <c r="C56" s="10"/>
      <c r="D56" s="10"/>
      <c r="E56" s="83">
        <v>116.05</v>
      </c>
      <c r="F56" s="83">
        <v>110.44</v>
      </c>
      <c r="G56" s="83">
        <v>117.43</v>
      </c>
      <c r="H56" s="83">
        <v>113.59</v>
      </c>
      <c r="I56" s="83">
        <v>102.12</v>
      </c>
      <c r="J56" s="83">
        <v>129.28</v>
      </c>
      <c r="K56" s="83">
        <v>127.2</v>
      </c>
      <c r="L56" s="83">
        <v>122.85</v>
      </c>
      <c r="M56" s="83">
        <v>126.63</v>
      </c>
      <c r="N56" s="83">
        <v>120.71</v>
      </c>
      <c r="O56" s="83">
        <v>135.58000000000001</v>
      </c>
      <c r="P56" s="83">
        <v>146.1</v>
      </c>
      <c r="Q56" s="83">
        <v>153.91</v>
      </c>
      <c r="R56" s="84">
        <v>3074.4</v>
      </c>
      <c r="S56" s="84">
        <v>3320.1</v>
      </c>
      <c r="T56" s="84">
        <v>2961</v>
      </c>
      <c r="U56" s="84">
        <v>3049.2</v>
      </c>
      <c r="V56" s="84">
        <v>2891.7</v>
      </c>
      <c r="W56" s="84">
        <v>3099.6</v>
      </c>
      <c r="X56" s="84">
        <v>2709</v>
      </c>
      <c r="Y56" s="84">
        <v>2110.5</v>
      </c>
      <c r="Z56" s="84">
        <v>2633.4</v>
      </c>
      <c r="AA56" s="84">
        <v>2696.4</v>
      </c>
      <c r="AB56" s="84">
        <v>3364.2</v>
      </c>
      <c r="AC56" s="84">
        <v>3509.1</v>
      </c>
      <c r="AD56" s="84">
        <v>3906</v>
      </c>
      <c r="AE56" s="85">
        <f t="shared" si="31"/>
        <v>331.52351650000003</v>
      </c>
      <c r="AF56" s="85">
        <f t="shared" si="32"/>
        <v>315.49726120000003</v>
      </c>
      <c r="AG56" s="85">
        <f t="shared" si="33"/>
        <v>335.46580390000003</v>
      </c>
      <c r="AH56" s="85">
        <f t="shared" si="34"/>
        <v>324.49596070000001</v>
      </c>
      <c r="AI56" s="85">
        <f t="shared" si="35"/>
        <v>291.72926760000001</v>
      </c>
      <c r="AJ56" s="85">
        <f t="shared" si="36"/>
        <v>369.31805440000005</v>
      </c>
      <c r="AK56" s="85">
        <f t="shared" si="37"/>
        <v>363.37605600000006</v>
      </c>
      <c r="AL56" s="85">
        <f t="shared" si="38"/>
        <v>350.94928049999999</v>
      </c>
      <c r="AM56" s="85">
        <f t="shared" si="39"/>
        <v>361.74771989999999</v>
      </c>
      <c r="AN56" s="85">
        <f t="shared" si="40"/>
        <v>344.83587829999999</v>
      </c>
      <c r="AO56" s="85">
        <f t="shared" si="41"/>
        <v>387.31545340000008</v>
      </c>
      <c r="AP56" s="85">
        <f t="shared" si="42"/>
        <v>417.36825300000004</v>
      </c>
      <c r="AQ56" s="85">
        <f t="shared" si="43"/>
        <v>439.67931430000004</v>
      </c>
      <c r="AR56" s="86">
        <f t="shared" si="44"/>
        <v>1395.0397439999999</v>
      </c>
      <c r="AS56" s="86">
        <f t="shared" si="45"/>
        <v>1506.5285759999999</v>
      </c>
      <c r="AT56" s="86">
        <f t="shared" si="46"/>
        <v>1343.5833600000001</v>
      </c>
      <c r="AU56" s="86">
        <f t="shared" si="47"/>
        <v>1383.6049919999998</v>
      </c>
      <c r="AV56" s="86">
        <f t="shared" si="48"/>
        <v>1312.137792</v>
      </c>
      <c r="AW56" s="86">
        <f t="shared" si="49"/>
        <v>1406.474496</v>
      </c>
      <c r="AX56" s="86">
        <f t="shared" si="50"/>
        <v>1229.2358400000001</v>
      </c>
      <c r="AY56" s="86">
        <f t="shared" si="51"/>
        <v>957.66048000000001</v>
      </c>
      <c r="AZ56" s="86">
        <f t="shared" si="52"/>
        <v>1194.9315839999999</v>
      </c>
      <c r="BA56" s="86">
        <f t="shared" si="53"/>
        <v>1223.518464</v>
      </c>
      <c r="BB56" s="86">
        <f t="shared" si="54"/>
        <v>1526.5393919999999</v>
      </c>
      <c r="BC56" s="86">
        <f t="shared" si="55"/>
        <v>1592.2892159999999</v>
      </c>
      <c r="BD56" s="86">
        <f t="shared" si="56"/>
        <v>1772.3865599999999</v>
      </c>
    </row>
    <row r="57" spans="1:56" ht="15.75" customHeight="1">
      <c r="A57" s="10"/>
      <c r="B57" s="10"/>
      <c r="C57" s="10"/>
      <c r="D57" s="10"/>
      <c r="E57" s="83">
        <v>2459.1</v>
      </c>
      <c r="F57" s="83">
        <v>2420.88</v>
      </c>
      <c r="G57" s="83">
        <v>3028.2</v>
      </c>
      <c r="H57" s="83">
        <v>2521.6799999999998</v>
      </c>
      <c r="I57" s="83">
        <v>1357.02</v>
      </c>
      <c r="J57" s="83">
        <v>1569.54</v>
      </c>
      <c r="K57" s="83">
        <v>807.66</v>
      </c>
      <c r="L57" s="83">
        <v>809.76</v>
      </c>
      <c r="M57" s="83">
        <v>824.04</v>
      </c>
      <c r="N57" s="83">
        <v>844.62</v>
      </c>
      <c r="O57" s="83">
        <v>875.7</v>
      </c>
      <c r="P57" s="83">
        <v>918.12</v>
      </c>
      <c r="Q57" s="83">
        <v>861.42</v>
      </c>
      <c r="R57" s="84">
        <v>23142</v>
      </c>
      <c r="S57" s="84">
        <v>23058</v>
      </c>
      <c r="T57" s="84">
        <v>27468</v>
      </c>
      <c r="U57" s="84">
        <v>22260</v>
      </c>
      <c r="V57" s="84">
        <v>24024</v>
      </c>
      <c r="W57" s="84">
        <v>24948</v>
      </c>
      <c r="X57" s="84">
        <v>21168</v>
      </c>
      <c r="Y57" s="84">
        <v>18732</v>
      </c>
      <c r="Z57" s="84">
        <v>17388</v>
      </c>
      <c r="AA57" s="84">
        <v>21168</v>
      </c>
      <c r="AB57" s="84">
        <v>23058</v>
      </c>
      <c r="AC57" s="84">
        <v>25536</v>
      </c>
      <c r="AD57" s="84">
        <v>22176</v>
      </c>
      <c r="AE57" s="85">
        <f t="shared" si="31"/>
        <v>7024.984743</v>
      </c>
      <c r="AF57" s="85">
        <f t="shared" si="32"/>
        <v>6915.8005224000008</v>
      </c>
      <c r="AG57" s="85">
        <f t="shared" si="33"/>
        <v>8650.7497860000003</v>
      </c>
      <c r="AH57" s="85">
        <f t="shared" si="34"/>
        <v>7203.7589064000003</v>
      </c>
      <c r="AI57" s="85">
        <f t="shared" si="35"/>
        <v>3876.6397446000001</v>
      </c>
      <c r="AJ57" s="85">
        <f t="shared" si="36"/>
        <v>4483.7520042000006</v>
      </c>
      <c r="AK57" s="85">
        <f t="shared" si="37"/>
        <v>2307.2665517999999</v>
      </c>
      <c r="AL57" s="85">
        <f t="shared" si="38"/>
        <v>2313.2656848000001</v>
      </c>
      <c r="AM57" s="85">
        <f t="shared" si="39"/>
        <v>2354.0597892000001</v>
      </c>
      <c r="AN57" s="85">
        <f t="shared" si="40"/>
        <v>2412.8512926000003</v>
      </c>
      <c r="AO57" s="85">
        <f t="shared" si="41"/>
        <v>2501.6384610000005</v>
      </c>
      <c r="AP57" s="85">
        <f t="shared" si="42"/>
        <v>2622.8209476000002</v>
      </c>
      <c r="AQ57" s="85">
        <f t="shared" si="43"/>
        <v>2460.8443566000001</v>
      </c>
      <c r="AR57" s="86">
        <f t="shared" si="44"/>
        <v>10500.913919999999</v>
      </c>
      <c r="AS57" s="86">
        <f t="shared" si="45"/>
        <v>10462.79808</v>
      </c>
      <c r="AT57" s="86">
        <f t="shared" si="46"/>
        <v>12463.87968</v>
      </c>
      <c r="AU57" s="86">
        <f t="shared" si="47"/>
        <v>10100.6976</v>
      </c>
      <c r="AV57" s="86">
        <f t="shared" si="48"/>
        <v>10901.13024</v>
      </c>
      <c r="AW57" s="86">
        <f t="shared" si="49"/>
        <v>11320.404479999999</v>
      </c>
      <c r="AX57" s="86">
        <f t="shared" si="50"/>
        <v>9605.1916799999999</v>
      </c>
      <c r="AY57" s="86">
        <f t="shared" si="51"/>
        <v>8499.8323199999995</v>
      </c>
      <c r="AZ57" s="86">
        <f t="shared" si="52"/>
        <v>7889.9788799999997</v>
      </c>
      <c r="BA57" s="86">
        <f t="shared" si="53"/>
        <v>9605.1916799999999</v>
      </c>
      <c r="BB57" s="86">
        <f t="shared" si="54"/>
        <v>10462.79808</v>
      </c>
      <c r="BC57" s="86">
        <f t="shared" si="55"/>
        <v>11587.21536</v>
      </c>
      <c r="BD57" s="86">
        <f t="shared" si="56"/>
        <v>10062.581759999999</v>
      </c>
    </row>
    <row r="58" spans="1:56" ht="15.75" customHeight="1">
      <c r="A58" s="10"/>
      <c r="B58" s="10"/>
      <c r="C58" s="10"/>
      <c r="D58" s="10"/>
      <c r="E58" s="83">
        <v>2653.14</v>
      </c>
      <c r="F58" s="83">
        <v>871.92</v>
      </c>
      <c r="G58" s="83">
        <v>970.62</v>
      </c>
      <c r="H58" s="83">
        <v>8227.3799999999992</v>
      </c>
      <c r="I58" s="83">
        <v>5989.62</v>
      </c>
      <c r="J58" s="83">
        <v>2467.92</v>
      </c>
      <c r="K58" s="83">
        <v>2334.36</v>
      </c>
      <c r="L58" s="83">
        <v>4844.7</v>
      </c>
      <c r="M58" s="83">
        <v>3367.98</v>
      </c>
      <c r="N58" s="83">
        <v>2355.9899999999998</v>
      </c>
      <c r="O58" s="83">
        <v>5668.95</v>
      </c>
      <c r="P58" s="83">
        <v>1069.1099999999999</v>
      </c>
      <c r="Q58" s="83">
        <v>809.55</v>
      </c>
      <c r="R58" s="84">
        <v>19803</v>
      </c>
      <c r="S58" s="84">
        <v>10248</v>
      </c>
      <c r="T58" s="84">
        <v>10395</v>
      </c>
      <c r="U58" s="84">
        <v>30618</v>
      </c>
      <c r="V58" s="84">
        <v>23016</v>
      </c>
      <c r="W58" s="84">
        <v>21000</v>
      </c>
      <c r="X58" s="84">
        <v>22407</v>
      </c>
      <c r="Y58" s="84">
        <v>17808</v>
      </c>
      <c r="Z58" s="84">
        <v>20622</v>
      </c>
      <c r="AA58" s="84">
        <v>16086</v>
      </c>
      <c r="AB58" s="84">
        <v>23394</v>
      </c>
      <c r="AC58" s="84">
        <v>10437</v>
      </c>
      <c r="AD58" s="84">
        <v>10227</v>
      </c>
      <c r="AE58" s="85">
        <f t="shared" si="31"/>
        <v>7579.3046322</v>
      </c>
      <c r="AF58" s="85">
        <f t="shared" si="32"/>
        <v>2490.8400216</v>
      </c>
      <c r="AG58" s="85">
        <f t="shared" si="33"/>
        <v>2772.7992726000002</v>
      </c>
      <c r="AH58" s="85">
        <f t="shared" si="34"/>
        <v>23503.403267400001</v>
      </c>
      <c r="AI58" s="85">
        <f t="shared" si="35"/>
        <v>17110.727142600001</v>
      </c>
      <c r="AJ58" s="85">
        <f t="shared" si="36"/>
        <v>7050.1811016000011</v>
      </c>
      <c r="AK58" s="85">
        <f t="shared" si="37"/>
        <v>6668.6362428000011</v>
      </c>
      <c r="AL58" s="85">
        <f t="shared" si="38"/>
        <v>13839.999831000001</v>
      </c>
      <c r="AM58" s="85">
        <f t="shared" si="39"/>
        <v>9621.4095054000009</v>
      </c>
      <c r="AN58" s="85">
        <f t="shared" si="40"/>
        <v>6730.4273126999997</v>
      </c>
      <c r="AO58" s="85">
        <f t="shared" si="41"/>
        <v>16194.6595335</v>
      </c>
      <c r="AP58" s="85">
        <f t="shared" si="42"/>
        <v>3054.1586103</v>
      </c>
      <c r="AQ58" s="85">
        <f t="shared" si="43"/>
        <v>2312.6657715000001</v>
      </c>
      <c r="AR58" s="86">
        <f t="shared" si="44"/>
        <v>8985.8092799999995</v>
      </c>
      <c r="AS58" s="86">
        <f t="shared" si="45"/>
        <v>4650.1324800000002</v>
      </c>
      <c r="AT58" s="86">
        <f t="shared" si="46"/>
        <v>4716.8351999999995</v>
      </c>
      <c r="AU58" s="86">
        <f t="shared" si="47"/>
        <v>13893.223679999999</v>
      </c>
      <c r="AV58" s="86">
        <f t="shared" si="48"/>
        <v>10443.740159999999</v>
      </c>
      <c r="AW58" s="86">
        <f t="shared" si="49"/>
        <v>9528.9599999999991</v>
      </c>
      <c r="AX58" s="86">
        <f t="shared" si="50"/>
        <v>10167.400320000001</v>
      </c>
      <c r="AY58" s="86">
        <f t="shared" si="51"/>
        <v>8080.5580799999998</v>
      </c>
      <c r="AZ58" s="86">
        <f t="shared" si="52"/>
        <v>9357.4387200000001</v>
      </c>
      <c r="BA58" s="86">
        <f t="shared" si="53"/>
        <v>7299.18336</v>
      </c>
      <c r="BB58" s="86">
        <f t="shared" si="54"/>
        <v>10615.26144</v>
      </c>
      <c r="BC58" s="86">
        <f t="shared" si="55"/>
        <v>4735.8931199999997</v>
      </c>
      <c r="BD58" s="86">
        <f t="shared" si="56"/>
        <v>4640.6035199999997</v>
      </c>
    </row>
    <row r="59" spans="1:56" ht="15.75" customHeight="1">
      <c r="A59" s="10"/>
      <c r="B59" s="10"/>
      <c r="C59" s="10"/>
      <c r="D59" s="10"/>
      <c r="E59" s="83">
        <v>446.04</v>
      </c>
      <c r="F59" s="83">
        <v>402.36</v>
      </c>
      <c r="G59" s="83">
        <v>367</v>
      </c>
      <c r="H59" s="83">
        <v>444.61</v>
      </c>
      <c r="I59" s="83">
        <v>322.64</v>
      </c>
      <c r="J59" s="83">
        <v>338.6</v>
      </c>
      <c r="K59" s="83">
        <v>272.41000000000003</v>
      </c>
      <c r="L59" s="83">
        <v>305.17</v>
      </c>
      <c r="M59" s="83">
        <v>292.32</v>
      </c>
      <c r="N59" s="83">
        <v>247.97</v>
      </c>
      <c r="O59" s="83">
        <v>318.27999999999997</v>
      </c>
      <c r="P59" s="83">
        <v>297.11</v>
      </c>
      <c r="Q59" s="83">
        <v>448.14</v>
      </c>
      <c r="R59" s="84">
        <v>4544.3999999999996</v>
      </c>
      <c r="S59" s="84">
        <v>3805.2</v>
      </c>
      <c r="T59" s="84">
        <v>3889.2</v>
      </c>
      <c r="U59" s="84">
        <v>4418.3999999999996</v>
      </c>
      <c r="V59" s="84">
        <v>2940</v>
      </c>
      <c r="W59" s="84">
        <v>2730</v>
      </c>
      <c r="X59" s="84">
        <v>2562</v>
      </c>
      <c r="Y59" s="84">
        <v>2704.8</v>
      </c>
      <c r="Z59" s="84">
        <v>2469.6</v>
      </c>
      <c r="AA59" s="84">
        <v>2041.2</v>
      </c>
      <c r="AB59" s="84">
        <v>2679.6</v>
      </c>
      <c r="AC59" s="84">
        <v>2822.4</v>
      </c>
      <c r="AD59" s="84">
        <v>4989.6000000000004</v>
      </c>
      <c r="AE59" s="85">
        <f t="shared" si="31"/>
        <v>1274.2158492000001</v>
      </c>
      <c r="AF59" s="85">
        <f t="shared" si="32"/>
        <v>1149.4338828000002</v>
      </c>
      <c r="AG59" s="85">
        <f t="shared" si="33"/>
        <v>1048.4199100000001</v>
      </c>
      <c r="AH59" s="85">
        <f t="shared" si="34"/>
        <v>1270.1307253000002</v>
      </c>
      <c r="AI59" s="85">
        <f t="shared" si="35"/>
        <v>921.69536720000008</v>
      </c>
      <c r="AJ59" s="85">
        <f t="shared" si="36"/>
        <v>967.28877800000009</v>
      </c>
      <c r="AK59" s="85">
        <f t="shared" si="37"/>
        <v>778.20181930000012</v>
      </c>
      <c r="AL59" s="85">
        <f t="shared" si="38"/>
        <v>871.78829410000014</v>
      </c>
      <c r="AM59" s="85">
        <f t="shared" si="39"/>
        <v>835.07931360000009</v>
      </c>
      <c r="AN59" s="85">
        <f t="shared" si="40"/>
        <v>708.38333810000006</v>
      </c>
      <c r="AO59" s="85">
        <f t="shared" si="41"/>
        <v>909.24002440000004</v>
      </c>
      <c r="AP59" s="85">
        <f t="shared" si="42"/>
        <v>848.76305030000015</v>
      </c>
      <c r="AQ59" s="85">
        <f t="shared" si="43"/>
        <v>1280.2149822000001</v>
      </c>
      <c r="AR59" s="86">
        <f t="shared" si="44"/>
        <v>2062.0669439999997</v>
      </c>
      <c r="AS59" s="86">
        <f t="shared" si="45"/>
        <v>1726.6475519999999</v>
      </c>
      <c r="AT59" s="86">
        <f t="shared" si="46"/>
        <v>1764.7633919999998</v>
      </c>
      <c r="AU59" s="86">
        <f t="shared" si="47"/>
        <v>2004.8931839999998</v>
      </c>
      <c r="AV59" s="86">
        <f t="shared" si="48"/>
        <v>1334.0544</v>
      </c>
      <c r="AW59" s="86">
        <f t="shared" si="49"/>
        <v>1238.7647999999999</v>
      </c>
      <c r="AX59" s="86">
        <f t="shared" si="50"/>
        <v>1162.5331200000001</v>
      </c>
      <c r="AY59" s="86">
        <f t="shared" si="51"/>
        <v>1227.330048</v>
      </c>
      <c r="AZ59" s="86">
        <f t="shared" si="52"/>
        <v>1120.6056959999999</v>
      </c>
      <c r="BA59" s="86">
        <f t="shared" si="53"/>
        <v>926.21491200000003</v>
      </c>
      <c r="BB59" s="86">
        <f t="shared" si="54"/>
        <v>1215.8952959999999</v>
      </c>
      <c r="BC59" s="86">
        <f t="shared" si="55"/>
        <v>1280.6922240000001</v>
      </c>
      <c r="BD59" s="86">
        <f t="shared" si="56"/>
        <v>2264.0808959999999</v>
      </c>
    </row>
    <row r="60" spans="1:56" ht="15.75" customHeight="1">
      <c r="A60" s="10"/>
      <c r="B60" s="10"/>
      <c r="C60" s="10"/>
      <c r="D60" s="10"/>
      <c r="E60" s="83">
        <v>68.25</v>
      </c>
      <c r="F60" s="83">
        <v>76.44</v>
      </c>
      <c r="G60" s="83">
        <v>110.88</v>
      </c>
      <c r="H60" s="83">
        <v>176.61</v>
      </c>
      <c r="I60" s="83">
        <v>92.19</v>
      </c>
      <c r="J60" s="83">
        <v>90.3</v>
      </c>
      <c r="K60" s="83">
        <v>86.73</v>
      </c>
      <c r="L60" s="83">
        <v>86.73</v>
      </c>
      <c r="M60" s="83">
        <v>81.48</v>
      </c>
      <c r="N60" s="83">
        <v>70.56</v>
      </c>
      <c r="O60" s="83">
        <v>89.04</v>
      </c>
      <c r="P60" s="83">
        <v>76.02</v>
      </c>
      <c r="Q60" s="83">
        <v>75.81</v>
      </c>
      <c r="R60" s="84">
        <v>756</v>
      </c>
      <c r="S60" s="84">
        <v>882</v>
      </c>
      <c r="T60" s="84">
        <v>1071</v>
      </c>
      <c r="U60" s="84">
        <v>1869</v>
      </c>
      <c r="V60" s="84">
        <v>1365</v>
      </c>
      <c r="W60" s="84">
        <v>1134</v>
      </c>
      <c r="X60" s="84">
        <v>861</v>
      </c>
      <c r="Y60" s="84">
        <v>693</v>
      </c>
      <c r="Z60" s="84">
        <v>651</v>
      </c>
      <c r="AA60" s="84">
        <v>567</v>
      </c>
      <c r="AB60" s="84">
        <v>651</v>
      </c>
      <c r="AC60" s="84">
        <v>609</v>
      </c>
      <c r="AD60" s="84">
        <v>588</v>
      </c>
      <c r="AE60" s="85">
        <f t="shared" si="31"/>
        <v>194.9718225</v>
      </c>
      <c r="AF60" s="85">
        <f t="shared" si="32"/>
        <v>218.36844120000001</v>
      </c>
      <c r="AG60" s="85">
        <f t="shared" si="33"/>
        <v>316.7542224</v>
      </c>
      <c r="AH60" s="85">
        <f t="shared" si="34"/>
        <v>504.52708530000007</v>
      </c>
      <c r="AI60" s="85">
        <f t="shared" si="35"/>
        <v>263.3619387</v>
      </c>
      <c r="AJ60" s="85">
        <f t="shared" si="36"/>
        <v>257.96271899999999</v>
      </c>
      <c r="AK60" s="85">
        <f t="shared" si="37"/>
        <v>247.76419290000004</v>
      </c>
      <c r="AL60" s="85">
        <f t="shared" si="38"/>
        <v>247.76419290000004</v>
      </c>
      <c r="AM60" s="85">
        <f t="shared" si="39"/>
        <v>232.76636040000002</v>
      </c>
      <c r="AN60" s="85">
        <f t="shared" si="40"/>
        <v>201.57086880000003</v>
      </c>
      <c r="AO60" s="85">
        <f t="shared" si="41"/>
        <v>254.36323920000004</v>
      </c>
      <c r="AP60" s="85">
        <f t="shared" si="42"/>
        <v>217.16861460000001</v>
      </c>
      <c r="AQ60" s="85">
        <f t="shared" si="43"/>
        <v>216.56870130000001</v>
      </c>
      <c r="AR60" s="86">
        <f t="shared" si="44"/>
        <v>343.04255999999998</v>
      </c>
      <c r="AS60" s="86">
        <f t="shared" si="45"/>
        <v>400.21632</v>
      </c>
      <c r="AT60" s="86">
        <f t="shared" si="46"/>
        <v>485.97696000000002</v>
      </c>
      <c r="AU60" s="86">
        <f t="shared" si="47"/>
        <v>848.07744000000002</v>
      </c>
      <c r="AV60" s="86">
        <f t="shared" si="48"/>
        <v>619.38239999999996</v>
      </c>
      <c r="AW60" s="86">
        <f t="shared" si="49"/>
        <v>514.56384000000003</v>
      </c>
      <c r="AX60" s="86">
        <f t="shared" si="50"/>
        <v>390.68736000000001</v>
      </c>
      <c r="AY60" s="86">
        <f t="shared" si="51"/>
        <v>314.45567999999997</v>
      </c>
      <c r="AZ60" s="86">
        <f t="shared" si="52"/>
        <v>295.39776000000001</v>
      </c>
      <c r="BA60" s="86">
        <f t="shared" si="53"/>
        <v>257.28192000000001</v>
      </c>
      <c r="BB60" s="86">
        <f t="shared" si="54"/>
        <v>295.39776000000001</v>
      </c>
      <c r="BC60" s="86">
        <f t="shared" si="55"/>
        <v>276.33983999999998</v>
      </c>
      <c r="BD60" s="86">
        <f t="shared" si="56"/>
        <v>266.81088</v>
      </c>
    </row>
    <row r="61" spans="1:56" ht="15.75" customHeight="1">
      <c r="A61" s="10"/>
      <c r="B61" s="10"/>
      <c r="C61" s="10"/>
      <c r="D61" s="10"/>
      <c r="E61" s="83">
        <v>1639.01</v>
      </c>
      <c r="F61" s="83">
        <v>2064.9699999999998</v>
      </c>
      <c r="G61" s="83">
        <v>1667.48</v>
      </c>
      <c r="H61" s="83">
        <v>1663.54</v>
      </c>
      <c r="I61" s="83">
        <v>1451.94</v>
      </c>
      <c r="J61" s="83">
        <v>1540.31</v>
      </c>
      <c r="K61" s="83">
        <v>1440.35</v>
      </c>
      <c r="L61" s="83">
        <v>1284.7</v>
      </c>
      <c r="M61" s="83">
        <v>1449.76</v>
      </c>
      <c r="N61" s="83">
        <v>1287.47</v>
      </c>
      <c r="O61" s="83">
        <v>1710.24</v>
      </c>
      <c r="P61" s="83">
        <v>1867.24</v>
      </c>
      <c r="Q61" s="83">
        <v>1936.87</v>
      </c>
      <c r="R61" s="84">
        <v>34624.800000000003</v>
      </c>
      <c r="S61" s="84">
        <v>41756.400000000001</v>
      </c>
      <c r="T61" s="84">
        <v>38724</v>
      </c>
      <c r="U61" s="84">
        <v>36019.199999999997</v>
      </c>
      <c r="V61" s="84">
        <v>31844.400000000001</v>
      </c>
      <c r="W61" s="84">
        <v>31861.200000000001</v>
      </c>
      <c r="X61" s="84">
        <v>31399.200000000001</v>
      </c>
      <c r="Y61" s="84">
        <v>22722</v>
      </c>
      <c r="Z61" s="84">
        <v>27190.799999999999</v>
      </c>
      <c r="AA61" s="84">
        <v>26922</v>
      </c>
      <c r="AB61" s="84">
        <v>36145.199999999997</v>
      </c>
      <c r="AC61" s="84">
        <v>37405.199999999997</v>
      </c>
      <c r="AD61" s="84">
        <v>39723.599999999999</v>
      </c>
      <c r="AE61" s="85">
        <f t="shared" si="31"/>
        <v>4682.2090373000001</v>
      </c>
      <c r="AF61" s="85">
        <f t="shared" si="32"/>
        <v>5899.0617480999999</v>
      </c>
      <c r="AG61" s="85">
        <f t="shared" si="33"/>
        <v>4763.5401404000004</v>
      </c>
      <c r="AH61" s="85">
        <f t="shared" si="34"/>
        <v>4752.2846242000005</v>
      </c>
      <c r="AI61" s="85">
        <f t="shared" si="35"/>
        <v>4147.8005562000008</v>
      </c>
      <c r="AJ61" s="85">
        <f t="shared" si="36"/>
        <v>4400.2497862999999</v>
      </c>
      <c r="AK61" s="85">
        <f t="shared" si="37"/>
        <v>4114.6910555000004</v>
      </c>
      <c r="AL61" s="85">
        <f t="shared" si="38"/>
        <v>3670.0410310000002</v>
      </c>
      <c r="AM61" s="85">
        <f t="shared" si="39"/>
        <v>4141.5728847999999</v>
      </c>
      <c r="AN61" s="85">
        <f t="shared" si="40"/>
        <v>3677.9541731000004</v>
      </c>
      <c r="AO61" s="85">
        <f t="shared" si="41"/>
        <v>4885.6939152000004</v>
      </c>
      <c r="AP61" s="85">
        <f t="shared" si="42"/>
        <v>5334.2005252000008</v>
      </c>
      <c r="AQ61" s="85">
        <f t="shared" si="43"/>
        <v>5533.1146350999998</v>
      </c>
      <c r="AR61" s="86">
        <f t="shared" si="44"/>
        <v>15711.349248</v>
      </c>
      <c r="AS61" s="86">
        <f t="shared" si="45"/>
        <v>18947.384064000002</v>
      </c>
      <c r="AT61" s="86">
        <f t="shared" si="46"/>
        <v>17571.402239999999</v>
      </c>
      <c r="AU61" s="86">
        <f t="shared" si="47"/>
        <v>16344.072191999998</v>
      </c>
      <c r="AV61" s="86">
        <f t="shared" si="48"/>
        <v>14449.714944000001</v>
      </c>
      <c r="AW61" s="86">
        <f t="shared" si="49"/>
        <v>14457.338111999999</v>
      </c>
      <c r="AX61" s="86">
        <f t="shared" si="50"/>
        <v>14247.700992</v>
      </c>
      <c r="AY61" s="86">
        <f t="shared" si="51"/>
        <v>10310.334720000001</v>
      </c>
      <c r="AZ61" s="86">
        <f t="shared" si="52"/>
        <v>12338.097408</v>
      </c>
      <c r="BA61" s="86">
        <f t="shared" si="53"/>
        <v>12216.12672</v>
      </c>
      <c r="BB61" s="86">
        <f t="shared" si="54"/>
        <v>16401.245951999997</v>
      </c>
      <c r="BC61" s="86">
        <f t="shared" si="55"/>
        <v>16972.983551999998</v>
      </c>
      <c r="BD61" s="86">
        <f t="shared" si="56"/>
        <v>18024.980735999998</v>
      </c>
    </row>
    <row r="62" spans="1:56" ht="15.75" customHeight="1">
      <c r="A62" s="10"/>
      <c r="B62" s="10"/>
      <c r="C62" s="10"/>
      <c r="D62" s="10"/>
      <c r="E62" s="83">
        <v>290.22000000000003</v>
      </c>
      <c r="F62" s="83">
        <v>267.37</v>
      </c>
      <c r="G62" s="83">
        <v>302.99</v>
      </c>
      <c r="H62" s="83">
        <v>250.49</v>
      </c>
      <c r="I62" s="83">
        <v>237.55</v>
      </c>
      <c r="J62" s="83">
        <v>301.64</v>
      </c>
      <c r="K62" s="83">
        <v>244.78</v>
      </c>
      <c r="L62" s="83">
        <v>278.70999999999998</v>
      </c>
      <c r="M62" s="83">
        <v>319.62</v>
      </c>
      <c r="N62" s="83">
        <v>296.60000000000002</v>
      </c>
      <c r="O62" s="83">
        <v>337.76</v>
      </c>
      <c r="P62" s="83">
        <v>330.29</v>
      </c>
      <c r="Q62" s="83">
        <v>292.66000000000003</v>
      </c>
      <c r="R62" s="84">
        <v>4393.2</v>
      </c>
      <c r="S62" s="84">
        <v>4317.6000000000004</v>
      </c>
      <c r="T62" s="84">
        <v>3964.8</v>
      </c>
      <c r="U62" s="84">
        <v>4032</v>
      </c>
      <c r="V62" s="84">
        <v>3822</v>
      </c>
      <c r="W62" s="84">
        <v>4174.8</v>
      </c>
      <c r="X62" s="84">
        <v>3872.4</v>
      </c>
      <c r="Y62" s="84">
        <v>3712.8</v>
      </c>
      <c r="Z62" s="84">
        <v>4200</v>
      </c>
      <c r="AA62" s="84">
        <v>4527.6000000000004</v>
      </c>
      <c r="AB62" s="84">
        <v>4830</v>
      </c>
      <c r="AC62" s="84">
        <v>4796.3999999999996</v>
      </c>
      <c r="AD62" s="84">
        <v>4418.3999999999996</v>
      </c>
      <c r="AE62" s="85">
        <f t="shared" si="31"/>
        <v>829.08018060000018</v>
      </c>
      <c r="AF62" s="85">
        <f t="shared" si="32"/>
        <v>763.80390010000008</v>
      </c>
      <c r="AG62" s="85">
        <f t="shared" si="33"/>
        <v>865.56062270000007</v>
      </c>
      <c r="AH62" s="85">
        <f t="shared" si="34"/>
        <v>715.58229770000003</v>
      </c>
      <c r="AI62" s="85">
        <f t="shared" si="35"/>
        <v>678.61621150000008</v>
      </c>
      <c r="AJ62" s="85">
        <f t="shared" si="36"/>
        <v>861.70403720000002</v>
      </c>
      <c r="AK62" s="85">
        <f t="shared" si="37"/>
        <v>699.27036940000005</v>
      </c>
      <c r="AL62" s="85">
        <f t="shared" si="38"/>
        <v>796.19921829999998</v>
      </c>
      <c r="AM62" s="85">
        <f t="shared" si="39"/>
        <v>913.06804260000013</v>
      </c>
      <c r="AN62" s="85">
        <f t="shared" si="40"/>
        <v>847.30611800000008</v>
      </c>
      <c r="AO62" s="85">
        <f t="shared" si="41"/>
        <v>964.88912479999999</v>
      </c>
      <c r="AP62" s="85">
        <f t="shared" si="42"/>
        <v>943.5493517000001</v>
      </c>
      <c r="AQ62" s="85">
        <f t="shared" si="43"/>
        <v>836.05060180000009</v>
      </c>
      <c r="AR62" s="86">
        <f t="shared" si="44"/>
        <v>1993.4584319999999</v>
      </c>
      <c r="AS62" s="86">
        <f t="shared" si="45"/>
        <v>1959.1541760000002</v>
      </c>
      <c r="AT62" s="86">
        <f t="shared" si="46"/>
        <v>1799.067648</v>
      </c>
      <c r="AU62" s="86">
        <f t="shared" si="47"/>
        <v>1829.56032</v>
      </c>
      <c r="AV62" s="86">
        <f t="shared" si="48"/>
        <v>1734.27072</v>
      </c>
      <c r="AW62" s="86">
        <f t="shared" si="49"/>
        <v>1894.357248</v>
      </c>
      <c r="AX62" s="86">
        <f t="shared" si="50"/>
        <v>1757.140224</v>
      </c>
      <c r="AY62" s="86">
        <f t="shared" si="51"/>
        <v>1684.7201280000002</v>
      </c>
      <c r="AZ62" s="86">
        <f t="shared" si="52"/>
        <v>1905.7919999999999</v>
      </c>
      <c r="BA62" s="86">
        <f t="shared" si="53"/>
        <v>2054.4437760000001</v>
      </c>
      <c r="BB62" s="86">
        <f t="shared" si="54"/>
        <v>2191.6608000000001</v>
      </c>
      <c r="BC62" s="86">
        <f t="shared" si="55"/>
        <v>2176.414464</v>
      </c>
      <c r="BD62" s="86">
        <f t="shared" si="56"/>
        <v>2004.8931839999998</v>
      </c>
    </row>
    <row r="63" spans="1:56" ht="15.75" customHeight="1">
      <c r="A63" s="10"/>
      <c r="B63" s="10"/>
      <c r="C63" s="10"/>
      <c r="D63" s="10"/>
      <c r="E63" s="83">
        <v>2400.7199999999998</v>
      </c>
      <c r="F63" s="83">
        <v>2917.11</v>
      </c>
      <c r="G63" s="83">
        <v>2706.48</v>
      </c>
      <c r="H63" s="83">
        <v>2218.86</v>
      </c>
      <c r="I63" s="83">
        <v>1914.57</v>
      </c>
      <c r="J63" s="83">
        <v>2294.88</v>
      </c>
      <c r="K63" s="83">
        <v>1936.62</v>
      </c>
      <c r="L63" s="83">
        <v>1920.66</v>
      </c>
      <c r="M63" s="83">
        <v>2187.15</v>
      </c>
      <c r="N63" s="83">
        <v>2088.0300000000002</v>
      </c>
      <c r="O63" s="83">
        <v>2648.52</v>
      </c>
      <c r="P63" s="83">
        <v>2720.97</v>
      </c>
      <c r="Q63" s="83">
        <v>2900.31</v>
      </c>
      <c r="R63" s="84">
        <v>37506</v>
      </c>
      <c r="S63" s="84">
        <v>42651</v>
      </c>
      <c r="T63" s="84">
        <v>41328</v>
      </c>
      <c r="U63" s="84">
        <v>38073</v>
      </c>
      <c r="V63" s="84">
        <v>33327</v>
      </c>
      <c r="W63" s="84">
        <v>35091</v>
      </c>
      <c r="X63" s="84">
        <v>33243</v>
      </c>
      <c r="Y63" s="84">
        <v>27825</v>
      </c>
      <c r="Z63" s="84">
        <v>30954</v>
      </c>
      <c r="AA63" s="84">
        <v>31878</v>
      </c>
      <c r="AB63" s="84">
        <v>39123</v>
      </c>
      <c r="AC63" s="84">
        <v>40320</v>
      </c>
      <c r="AD63" s="84">
        <v>40908</v>
      </c>
      <c r="AE63" s="85">
        <f t="shared" si="31"/>
        <v>6858.2088456000001</v>
      </c>
      <c r="AF63" s="85">
        <f t="shared" si="32"/>
        <v>8333.3956503000009</v>
      </c>
      <c r="AG63" s="85">
        <f t="shared" si="33"/>
        <v>7731.6826104000011</v>
      </c>
      <c r="AH63" s="85">
        <f t="shared" si="34"/>
        <v>6338.6839278000007</v>
      </c>
      <c r="AI63" s="85">
        <f t="shared" si="35"/>
        <v>5469.4095561000004</v>
      </c>
      <c r="AJ63" s="85">
        <f t="shared" si="36"/>
        <v>6555.8525424000009</v>
      </c>
      <c r="AK63" s="85">
        <f t="shared" si="37"/>
        <v>5532.4004525999999</v>
      </c>
      <c r="AL63" s="85">
        <f t="shared" si="38"/>
        <v>5486.8070418000007</v>
      </c>
      <c r="AM63" s="85">
        <f t="shared" si="39"/>
        <v>6248.0970195000009</v>
      </c>
      <c r="AN63" s="85">
        <f t="shared" si="40"/>
        <v>5964.9379419000006</v>
      </c>
      <c r="AO63" s="85">
        <f t="shared" si="41"/>
        <v>7566.1065396000004</v>
      </c>
      <c r="AP63" s="85">
        <f t="shared" si="42"/>
        <v>7773.0766280999997</v>
      </c>
      <c r="AQ63" s="85">
        <f t="shared" si="43"/>
        <v>8285.4025863000006</v>
      </c>
      <c r="AR63" s="86">
        <f t="shared" si="44"/>
        <v>17018.722559999998</v>
      </c>
      <c r="AS63" s="86">
        <f t="shared" si="45"/>
        <v>19353.317759999998</v>
      </c>
      <c r="AT63" s="86">
        <f t="shared" si="46"/>
        <v>18752.993279999999</v>
      </c>
      <c r="AU63" s="86">
        <f t="shared" si="47"/>
        <v>17276.00448</v>
      </c>
      <c r="AV63" s="86">
        <f t="shared" si="48"/>
        <v>15122.45952</v>
      </c>
      <c r="AW63" s="86">
        <f t="shared" si="49"/>
        <v>15922.892159999999</v>
      </c>
      <c r="AX63" s="86">
        <f t="shared" si="50"/>
        <v>15084.34368</v>
      </c>
      <c r="AY63" s="86">
        <f t="shared" si="51"/>
        <v>12625.871999999999</v>
      </c>
      <c r="AZ63" s="86">
        <f t="shared" si="52"/>
        <v>14045.687040000001</v>
      </c>
      <c r="BA63" s="86">
        <f t="shared" si="53"/>
        <v>14464.96128</v>
      </c>
      <c r="BB63" s="86">
        <f t="shared" si="54"/>
        <v>17752.45248</v>
      </c>
      <c r="BC63" s="86">
        <f t="shared" si="55"/>
        <v>18295.603200000001</v>
      </c>
      <c r="BD63" s="86">
        <f t="shared" si="56"/>
        <v>18562.414079999999</v>
      </c>
    </row>
    <row r="64" spans="1:56" ht="15.75" customHeight="1">
      <c r="A64" s="10"/>
      <c r="B64" s="10"/>
      <c r="C64" s="10"/>
      <c r="D64" s="10"/>
      <c r="E64" s="83">
        <v>193.28</v>
      </c>
      <c r="F64" s="83">
        <v>206.14</v>
      </c>
      <c r="G64" s="83">
        <v>130.12</v>
      </c>
      <c r="H64" s="83">
        <v>167.58</v>
      </c>
      <c r="I64" s="83">
        <v>157.08000000000001</v>
      </c>
      <c r="J64" s="83">
        <v>197.23</v>
      </c>
      <c r="K64" s="83">
        <v>179.68</v>
      </c>
      <c r="L64" s="83">
        <v>177.07</v>
      </c>
      <c r="M64" s="83">
        <v>171.7</v>
      </c>
      <c r="N64" s="83">
        <v>178.25</v>
      </c>
      <c r="O64" s="83">
        <v>199</v>
      </c>
      <c r="P64" s="83">
        <v>183.29</v>
      </c>
      <c r="Q64" s="83">
        <v>187.91</v>
      </c>
      <c r="R64" s="84">
        <v>4418.3999999999996</v>
      </c>
      <c r="S64" s="84">
        <v>4645.2</v>
      </c>
      <c r="T64" s="84">
        <v>1461.6</v>
      </c>
      <c r="U64" s="84">
        <v>2772</v>
      </c>
      <c r="V64" s="84">
        <v>4032</v>
      </c>
      <c r="W64" s="84">
        <v>3670.8</v>
      </c>
      <c r="X64" s="84">
        <v>3553.2</v>
      </c>
      <c r="Y64" s="84">
        <v>2797.2</v>
      </c>
      <c r="Z64" s="84">
        <v>2007.6</v>
      </c>
      <c r="AA64" s="84">
        <v>3158.4</v>
      </c>
      <c r="AB64" s="84">
        <v>4057.2</v>
      </c>
      <c r="AC64" s="84">
        <v>4275.6000000000004</v>
      </c>
      <c r="AD64" s="84">
        <v>4527.6000000000004</v>
      </c>
      <c r="AE64" s="85">
        <f t="shared" si="31"/>
        <v>552.14877440000009</v>
      </c>
      <c r="AF64" s="85">
        <f t="shared" si="32"/>
        <v>588.8863222</v>
      </c>
      <c r="AG64" s="85">
        <f t="shared" si="33"/>
        <v>371.71770760000004</v>
      </c>
      <c r="AH64" s="85">
        <f t="shared" si="34"/>
        <v>478.73081340000005</v>
      </c>
      <c r="AI64" s="85">
        <f t="shared" si="35"/>
        <v>448.73514840000007</v>
      </c>
      <c r="AJ64" s="85">
        <f t="shared" si="36"/>
        <v>563.43285790000004</v>
      </c>
      <c r="AK64" s="85">
        <f t="shared" si="37"/>
        <v>513.29724640000006</v>
      </c>
      <c r="AL64" s="85">
        <f t="shared" si="38"/>
        <v>505.84118110000003</v>
      </c>
      <c r="AM64" s="85">
        <f t="shared" si="39"/>
        <v>490.500541</v>
      </c>
      <c r="AN64" s="85">
        <f t="shared" si="40"/>
        <v>509.21212250000002</v>
      </c>
      <c r="AO64" s="85">
        <f t="shared" si="41"/>
        <v>568.48927000000003</v>
      </c>
      <c r="AP64" s="85">
        <f t="shared" si="42"/>
        <v>523.61004170000001</v>
      </c>
      <c r="AQ64" s="85">
        <f t="shared" si="43"/>
        <v>536.80813430000001</v>
      </c>
      <c r="AR64" s="86">
        <f t="shared" si="44"/>
        <v>2004.8931839999998</v>
      </c>
      <c r="AS64" s="86">
        <f t="shared" si="45"/>
        <v>2107.8059519999997</v>
      </c>
      <c r="AT64" s="86">
        <f t="shared" si="46"/>
        <v>663.21561599999995</v>
      </c>
      <c r="AU64" s="86">
        <f t="shared" si="47"/>
        <v>1257.8227199999999</v>
      </c>
      <c r="AV64" s="86">
        <f t="shared" si="48"/>
        <v>1829.56032</v>
      </c>
      <c r="AW64" s="86">
        <f t="shared" si="49"/>
        <v>1665.662208</v>
      </c>
      <c r="AX64" s="86">
        <f t="shared" si="50"/>
        <v>1612.3000319999999</v>
      </c>
      <c r="AY64" s="86">
        <f t="shared" si="51"/>
        <v>1269.257472</v>
      </c>
      <c r="AZ64" s="86">
        <f t="shared" si="52"/>
        <v>910.96857599999998</v>
      </c>
      <c r="BA64" s="86">
        <f t="shared" si="53"/>
        <v>1433.1555840000001</v>
      </c>
      <c r="BB64" s="86">
        <f t="shared" si="54"/>
        <v>1840.9950719999999</v>
      </c>
      <c r="BC64" s="86">
        <f t="shared" si="55"/>
        <v>1940.096256</v>
      </c>
      <c r="BD64" s="86">
        <f t="shared" si="56"/>
        <v>2054.4437760000001</v>
      </c>
    </row>
    <row r="65" spans="1:56" ht="15.75" customHeight="1">
      <c r="A65" s="10"/>
      <c r="B65" s="10"/>
      <c r="C65" s="10"/>
      <c r="D65" s="10"/>
      <c r="E65" s="83">
        <v>237.26</v>
      </c>
      <c r="F65" s="83">
        <v>236.59</v>
      </c>
      <c r="G65" s="83">
        <v>112.43</v>
      </c>
      <c r="H65" s="83">
        <v>174.05</v>
      </c>
      <c r="I65" s="83">
        <v>216.97</v>
      </c>
      <c r="J65" s="83">
        <v>252.46</v>
      </c>
      <c r="K65" s="83">
        <v>248.39</v>
      </c>
      <c r="L65" s="83">
        <v>241.04</v>
      </c>
      <c r="M65" s="83">
        <v>227.14</v>
      </c>
      <c r="N65" s="83">
        <v>229.07</v>
      </c>
      <c r="O65" s="83">
        <v>287.7</v>
      </c>
      <c r="P65" s="83">
        <v>300.97000000000003</v>
      </c>
      <c r="Q65" s="83">
        <v>312.23</v>
      </c>
      <c r="R65" s="84">
        <v>4531.8</v>
      </c>
      <c r="S65" s="84">
        <v>4510.8</v>
      </c>
      <c r="T65" s="84">
        <v>1457.4</v>
      </c>
      <c r="U65" s="84">
        <v>2944.2</v>
      </c>
      <c r="V65" s="84">
        <v>3838.8</v>
      </c>
      <c r="W65" s="84">
        <v>3935.4</v>
      </c>
      <c r="X65" s="84">
        <v>3893.4</v>
      </c>
      <c r="Y65" s="84">
        <v>2982</v>
      </c>
      <c r="Z65" s="84">
        <v>2570.4</v>
      </c>
      <c r="AA65" s="84">
        <v>3334.8</v>
      </c>
      <c r="AB65" s="84">
        <v>3792.6</v>
      </c>
      <c r="AC65" s="84">
        <v>4086.6</v>
      </c>
      <c r="AD65" s="84">
        <v>4305</v>
      </c>
      <c r="AE65" s="85">
        <f t="shared" si="31"/>
        <v>677.7877598</v>
      </c>
      <c r="AF65" s="85">
        <f t="shared" si="32"/>
        <v>675.87375070000007</v>
      </c>
      <c r="AG65" s="85">
        <f t="shared" si="33"/>
        <v>321.18215390000006</v>
      </c>
      <c r="AH65" s="85">
        <f t="shared" si="34"/>
        <v>497.21385650000008</v>
      </c>
      <c r="AI65" s="85">
        <f t="shared" si="35"/>
        <v>619.82470810000007</v>
      </c>
      <c r="AJ65" s="85">
        <f t="shared" si="36"/>
        <v>721.21005580000008</v>
      </c>
      <c r="AK65" s="85">
        <f t="shared" si="37"/>
        <v>709.5831647</v>
      </c>
      <c r="AL65" s="85">
        <f t="shared" si="38"/>
        <v>688.58619920000001</v>
      </c>
      <c r="AM65" s="85">
        <f t="shared" si="39"/>
        <v>648.87765220000006</v>
      </c>
      <c r="AN65" s="85">
        <f t="shared" si="40"/>
        <v>654.39114110000003</v>
      </c>
      <c r="AO65" s="85">
        <f t="shared" si="41"/>
        <v>821.88122099999998</v>
      </c>
      <c r="AP65" s="85">
        <f t="shared" si="42"/>
        <v>859.79002810000009</v>
      </c>
      <c r="AQ65" s="85">
        <f t="shared" si="43"/>
        <v>891.95680790000017</v>
      </c>
      <c r="AR65" s="86">
        <f t="shared" si="44"/>
        <v>2056.3495680000001</v>
      </c>
      <c r="AS65" s="86">
        <f t="shared" si="45"/>
        <v>2046.820608</v>
      </c>
      <c r="AT65" s="86">
        <f t="shared" si="46"/>
        <v>661.30982400000005</v>
      </c>
      <c r="AU65" s="86">
        <f t="shared" si="47"/>
        <v>1335.960192</v>
      </c>
      <c r="AV65" s="86">
        <f t="shared" si="48"/>
        <v>1741.8938880000001</v>
      </c>
      <c r="AW65" s="86">
        <f t="shared" si="49"/>
        <v>1785.7271040000001</v>
      </c>
      <c r="AX65" s="86">
        <f t="shared" si="50"/>
        <v>1766.6691840000001</v>
      </c>
      <c r="AY65" s="86">
        <f t="shared" si="51"/>
        <v>1353.11232</v>
      </c>
      <c r="AZ65" s="86">
        <f t="shared" si="52"/>
        <v>1166.3447040000001</v>
      </c>
      <c r="BA65" s="86">
        <f t="shared" si="53"/>
        <v>1513.198848</v>
      </c>
      <c r="BB65" s="86">
        <f t="shared" si="54"/>
        <v>1720.9301759999998</v>
      </c>
      <c r="BC65" s="86">
        <f t="shared" si="55"/>
        <v>1854.3356159999998</v>
      </c>
      <c r="BD65" s="86">
        <f t="shared" si="56"/>
        <v>1953.4367999999999</v>
      </c>
    </row>
    <row r="66" spans="1:56" ht="15.75" customHeight="1">
      <c r="A66" s="10"/>
      <c r="B66" s="10"/>
      <c r="C66" s="10"/>
      <c r="D66" s="10"/>
      <c r="E66" s="83">
        <v>764.15</v>
      </c>
      <c r="F66" s="83">
        <v>611.94000000000005</v>
      </c>
      <c r="G66" s="83">
        <v>554.4</v>
      </c>
      <c r="H66" s="83">
        <v>565.99</v>
      </c>
      <c r="I66" s="83">
        <v>584.39</v>
      </c>
      <c r="J66" s="83">
        <v>728.87</v>
      </c>
      <c r="K66" s="83">
        <v>666.12</v>
      </c>
      <c r="L66" s="83">
        <v>678.89</v>
      </c>
      <c r="M66" s="83">
        <v>709.3</v>
      </c>
      <c r="N66" s="83">
        <v>679.06</v>
      </c>
      <c r="O66" s="83">
        <v>869.74</v>
      </c>
      <c r="P66" s="83">
        <v>745.08</v>
      </c>
      <c r="Q66" s="83">
        <v>754.53</v>
      </c>
      <c r="R66" s="84">
        <v>7770</v>
      </c>
      <c r="S66" s="84">
        <v>6249.6</v>
      </c>
      <c r="T66" s="84">
        <v>5728.8</v>
      </c>
      <c r="U66" s="84">
        <v>6182.4</v>
      </c>
      <c r="V66" s="84">
        <v>7039.2</v>
      </c>
      <c r="W66" s="84">
        <v>6972</v>
      </c>
      <c r="X66" s="84">
        <v>6913.2</v>
      </c>
      <c r="Y66" s="84">
        <v>7022.4</v>
      </c>
      <c r="Z66" s="84">
        <v>6854.4</v>
      </c>
      <c r="AA66" s="84">
        <v>7383.6</v>
      </c>
      <c r="AB66" s="84">
        <v>7778.4</v>
      </c>
      <c r="AC66" s="84">
        <v>7896</v>
      </c>
      <c r="AD66" s="84">
        <v>7938</v>
      </c>
      <c r="AE66" s="85">
        <f t="shared" si="31"/>
        <v>2182.9702295000002</v>
      </c>
      <c r="AF66" s="85">
        <f t="shared" si="32"/>
        <v>1748.1473562000003</v>
      </c>
      <c r="AG66" s="85">
        <f t="shared" si="33"/>
        <v>1583.7711120000001</v>
      </c>
      <c r="AH66" s="85">
        <f t="shared" si="34"/>
        <v>1616.8806127000003</v>
      </c>
      <c r="AI66" s="85">
        <f t="shared" si="35"/>
        <v>1669.4444447000001</v>
      </c>
      <c r="AJ66" s="85">
        <f t="shared" si="36"/>
        <v>2082.1847951</v>
      </c>
      <c r="AK66" s="85">
        <f t="shared" si="37"/>
        <v>1902.9249876000001</v>
      </c>
      <c r="AL66" s="85">
        <f t="shared" si="38"/>
        <v>1939.4054297</v>
      </c>
      <c r="AM66" s="85">
        <f t="shared" si="39"/>
        <v>2026.278589</v>
      </c>
      <c r="AN66" s="85">
        <f t="shared" si="40"/>
        <v>1939.8910738</v>
      </c>
      <c r="AO66" s="85">
        <f t="shared" si="41"/>
        <v>2484.6123502</v>
      </c>
      <c r="AP66" s="85">
        <f t="shared" si="42"/>
        <v>2128.4923884000004</v>
      </c>
      <c r="AQ66" s="85">
        <f t="shared" si="43"/>
        <v>2155.4884869000002</v>
      </c>
      <c r="AR66" s="86">
        <f t="shared" si="44"/>
        <v>3525.7152000000001</v>
      </c>
      <c r="AS66" s="86">
        <f t="shared" si="45"/>
        <v>2835.8184960000003</v>
      </c>
      <c r="AT66" s="86">
        <f t="shared" si="46"/>
        <v>2599.5002880000002</v>
      </c>
      <c r="AU66" s="86">
        <f t="shared" si="47"/>
        <v>2805.325824</v>
      </c>
      <c r="AV66" s="86">
        <f t="shared" si="48"/>
        <v>3194.1073919999999</v>
      </c>
      <c r="AW66" s="86">
        <f t="shared" si="49"/>
        <v>3163.61472</v>
      </c>
      <c r="AX66" s="86">
        <f t="shared" si="50"/>
        <v>3136.9336319999998</v>
      </c>
      <c r="AY66" s="86">
        <f t="shared" si="51"/>
        <v>3186.4842239999998</v>
      </c>
      <c r="AZ66" s="86">
        <f t="shared" si="52"/>
        <v>3110.2525439999999</v>
      </c>
      <c r="BA66" s="86">
        <f t="shared" si="53"/>
        <v>3350.3823360000001</v>
      </c>
      <c r="BB66" s="86">
        <f t="shared" si="54"/>
        <v>3529.5267839999997</v>
      </c>
      <c r="BC66" s="86">
        <f t="shared" si="55"/>
        <v>3582.8889599999998</v>
      </c>
      <c r="BD66" s="86">
        <f t="shared" si="56"/>
        <v>3601.94688</v>
      </c>
    </row>
    <row r="67" spans="1:56" ht="15.75" customHeight="1">
      <c r="A67" s="10"/>
      <c r="B67" s="10"/>
      <c r="C67" s="10"/>
      <c r="D67" s="10"/>
      <c r="E67" s="83">
        <v>348.35</v>
      </c>
      <c r="F67" s="83">
        <v>290.39</v>
      </c>
      <c r="G67" s="83">
        <v>284.42</v>
      </c>
      <c r="H67" s="83">
        <v>320.12</v>
      </c>
      <c r="I67" s="83">
        <v>308.87</v>
      </c>
      <c r="J67" s="83">
        <v>398.58</v>
      </c>
      <c r="K67" s="83">
        <v>365.23</v>
      </c>
      <c r="L67" s="83">
        <v>188.37</v>
      </c>
      <c r="M67" s="83">
        <v>186.69</v>
      </c>
      <c r="N67" s="83">
        <v>186.48</v>
      </c>
      <c r="O67" s="83">
        <v>190.05</v>
      </c>
      <c r="P67" s="83">
        <v>196.98</v>
      </c>
      <c r="Q67" s="83" t="s">
        <v>2082</v>
      </c>
      <c r="R67" s="84">
        <v>5350.8</v>
      </c>
      <c r="S67" s="84">
        <v>3444</v>
      </c>
      <c r="T67" s="84">
        <v>3519.6</v>
      </c>
      <c r="U67" s="84">
        <v>4410</v>
      </c>
      <c r="V67" s="84">
        <v>5014.8</v>
      </c>
      <c r="W67" s="84">
        <v>5342.4</v>
      </c>
      <c r="X67" s="84">
        <v>5140.8</v>
      </c>
      <c r="Y67" s="84">
        <v>4074</v>
      </c>
      <c r="Z67" s="84">
        <v>3948</v>
      </c>
      <c r="AA67" s="84">
        <v>3864</v>
      </c>
      <c r="AB67" s="84">
        <v>3822</v>
      </c>
      <c r="AC67" s="84">
        <v>3885</v>
      </c>
      <c r="AD67" s="84">
        <v>8337</v>
      </c>
      <c r="AE67" s="85">
        <f t="shared" ref="AE67:AP74" si="57">E67*($AF$41+2.60673)</f>
        <v>995.14189550000015</v>
      </c>
      <c r="AF67" s="85">
        <f t="shared" si="57"/>
        <v>829.56582470000001</v>
      </c>
      <c r="AG67" s="85">
        <f t="shared" si="57"/>
        <v>812.51114660000007</v>
      </c>
      <c r="AH67" s="85">
        <f t="shared" si="57"/>
        <v>914.49640760000011</v>
      </c>
      <c r="AI67" s="85">
        <f t="shared" si="57"/>
        <v>882.3581951000001</v>
      </c>
      <c r="AJ67" s="85">
        <f t="shared" si="57"/>
        <v>1138.6354434</v>
      </c>
      <c r="AK67" s="85">
        <f t="shared" si="57"/>
        <v>1043.3634979000001</v>
      </c>
      <c r="AL67" s="85">
        <f t="shared" si="57"/>
        <v>538.12223010000002</v>
      </c>
      <c r="AM67" s="85">
        <f t="shared" si="57"/>
        <v>533.32292370000005</v>
      </c>
      <c r="AN67" s="85">
        <f t="shared" si="57"/>
        <v>532.72301040000002</v>
      </c>
      <c r="AO67" s="85">
        <f t="shared" si="57"/>
        <v>542.92153650000012</v>
      </c>
      <c r="AP67" s="85">
        <f t="shared" si="57"/>
        <v>562.71867540000005</v>
      </c>
      <c r="AQ67" s="85"/>
      <c r="AR67" s="86">
        <f t="shared" si="44"/>
        <v>2427.9790080000002</v>
      </c>
      <c r="AS67" s="86">
        <f t="shared" si="45"/>
        <v>1562.74944</v>
      </c>
      <c r="AT67" s="86">
        <f t="shared" si="46"/>
        <v>1597.0536959999999</v>
      </c>
      <c r="AU67" s="86">
        <f t="shared" si="47"/>
        <v>2001.0816</v>
      </c>
      <c r="AV67" s="86">
        <f t="shared" si="48"/>
        <v>2275.5156480000001</v>
      </c>
      <c r="AW67" s="86">
        <f t="shared" si="49"/>
        <v>2424.1674239999998</v>
      </c>
      <c r="AX67" s="86">
        <f t="shared" si="50"/>
        <v>2332.6894080000002</v>
      </c>
      <c r="AY67" s="86">
        <f t="shared" si="51"/>
        <v>1848.61824</v>
      </c>
      <c r="AZ67" s="86">
        <f t="shared" si="52"/>
        <v>1791.4444799999999</v>
      </c>
      <c r="BA67" s="86">
        <f t="shared" si="53"/>
        <v>1753.32864</v>
      </c>
      <c r="BB67" s="86">
        <f t="shared" si="54"/>
        <v>1734.27072</v>
      </c>
      <c r="BC67" s="86">
        <f t="shared" si="55"/>
        <v>1762.8576</v>
      </c>
      <c r="BD67" s="86">
        <f t="shared" si="56"/>
        <v>3782.99712</v>
      </c>
    </row>
    <row r="68" spans="1:56" ht="15.75" customHeight="1">
      <c r="A68" s="10"/>
      <c r="B68" s="10"/>
      <c r="C68" s="10"/>
      <c r="D68" s="10"/>
      <c r="E68" s="83">
        <v>314.58</v>
      </c>
      <c r="F68" s="83">
        <v>296.31</v>
      </c>
      <c r="G68" s="83">
        <v>339.15</v>
      </c>
      <c r="H68" s="83">
        <v>259.35000000000002</v>
      </c>
      <c r="I68" s="83">
        <v>146.16</v>
      </c>
      <c r="J68" s="83">
        <v>224.91</v>
      </c>
      <c r="K68" s="83">
        <v>316.47000000000003</v>
      </c>
      <c r="L68" s="83">
        <v>326.33999999999997</v>
      </c>
      <c r="M68" s="83">
        <v>335.16</v>
      </c>
      <c r="N68" s="83">
        <v>202.02</v>
      </c>
      <c r="O68" s="83">
        <v>141.54</v>
      </c>
      <c r="P68" s="83">
        <v>136.08000000000001</v>
      </c>
      <c r="Q68" s="83">
        <v>139.02000000000001</v>
      </c>
      <c r="R68" s="84">
        <v>3486</v>
      </c>
      <c r="S68" s="84">
        <v>3003</v>
      </c>
      <c r="T68" s="84">
        <v>3360</v>
      </c>
      <c r="U68" s="84">
        <v>2709</v>
      </c>
      <c r="V68" s="84">
        <v>1638</v>
      </c>
      <c r="W68" s="84">
        <v>2394</v>
      </c>
      <c r="X68" s="84">
        <v>3276</v>
      </c>
      <c r="Y68" s="84">
        <v>3360</v>
      </c>
      <c r="Z68" s="84">
        <v>3276</v>
      </c>
      <c r="AA68" s="84">
        <v>2184</v>
      </c>
      <c r="AB68" s="84">
        <v>1512</v>
      </c>
      <c r="AC68" s="84">
        <v>1491</v>
      </c>
      <c r="AD68" s="84">
        <v>1533</v>
      </c>
      <c r="AE68" s="85">
        <f t="shared" si="57"/>
        <v>898.67012339999997</v>
      </c>
      <c r="AF68" s="85">
        <f t="shared" si="57"/>
        <v>846.47766630000012</v>
      </c>
      <c r="AG68" s="85">
        <f t="shared" si="57"/>
        <v>968.85997950000001</v>
      </c>
      <c r="AH68" s="85">
        <f t="shared" si="57"/>
        <v>740.89292550000016</v>
      </c>
      <c r="AI68" s="85">
        <f t="shared" si="57"/>
        <v>417.53965680000005</v>
      </c>
      <c r="AJ68" s="85">
        <f t="shared" si="57"/>
        <v>642.50714430000005</v>
      </c>
      <c r="AK68" s="85">
        <f t="shared" si="57"/>
        <v>904.0693431000002</v>
      </c>
      <c r="AL68" s="85">
        <f t="shared" si="57"/>
        <v>932.26526820000004</v>
      </c>
      <c r="AM68" s="85">
        <f t="shared" si="57"/>
        <v>957.46162680000009</v>
      </c>
      <c r="AN68" s="85">
        <f t="shared" si="57"/>
        <v>577.1165946000001</v>
      </c>
      <c r="AO68" s="85">
        <f t="shared" si="57"/>
        <v>404.34156419999999</v>
      </c>
      <c r="AP68" s="85">
        <f t="shared" si="57"/>
        <v>388.74381840000007</v>
      </c>
      <c r="AQ68" s="85">
        <f t="shared" ref="AQ68:AQ74" si="58">Q68*($AF$41+2.60673)</f>
        <v>397.14260460000008</v>
      </c>
      <c r="AR68" s="86">
        <f t="shared" si="44"/>
        <v>1581.80736</v>
      </c>
      <c r="AS68" s="86">
        <f t="shared" si="45"/>
        <v>1362.6412800000001</v>
      </c>
      <c r="AT68" s="86">
        <f t="shared" si="46"/>
        <v>1524.6335999999999</v>
      </c>
      <c r="AU68" s="86">
        <f t="shared" si="47"/>
        <v>1229.2358400000001</v>
      </c>
      <c r="AV68" s="86">
        <f t="shared" si="48"/>
        <v>743.25887999999998</v>
      </c>
      <c r="AW68" s="86">
        <f t="shared" si="49"/>
        <v>1086.30144</v>
      </c>
      <c r="AX68" s="86">
        <f t="shared" si="50"/>
        <v>1486.51776</v>
      </c>
      <c r="AY68" s="86">
        <f t="shared" si="51"/>
        <v>1524.6335999999999</v>
      </c>
      <c r="AZ68" s="86">
        <f t="shared" si="52"/>
        <v>1486.51776</v>
      </c>
      <c r="BA68" s="86">
        <f t="shared" si="53"/>
        <v>991.01184000000001</v>
      </c>
      <c r="BB68" s="86">
        <f t="shared" si="54"/>
        <v>686.08511999999996</v>
      </c>
      <c r="BC68" s="86">
        <f t="shared" si="55"/>
        <v>676.55615999999998</v>
      </c>
      <c r="BD68" s="86">
        <f t="shared" si="56"/>
        <v>695.61407999999994</v>
      </c>
    </row>
    <row r="69" spans="1:56" ht="15.75" customHeight="1">
      <c r="A69" s="10"/>
      <c r="B69" s="10"/>
      <c r="C69" s="10"/>
      <c r="D69" s="10"/>
      <c r="E69" s="83">
        <v>1819.61</v>
      </c>
      <c r="F69" s="83">
        <v>1833.3</v>
      </c>
      <c r="G69" s="83">
        <v>725.34</v>
      </c>
      <c r="H69" s="83">
        <v>2068.92</v>
      </c>
      <c r="I69" s="83">
        <v>1123.58</v>
      </c>
      <c r="J69" s="83">
        <v>1250.42</v>
      </c>
      <c r="K69" s="83">
        <v>889.56</v>
      </c>
      <c r="L69" s="83">
        <v>603.29</v>
      </c>
      <c r="M69" s="83">
        <v>674.1</v>
      </c>
      <c r="N69" s="83">
        <v>1687.31</v>
      </c>
      <c r="O69" s="83">
        <v>1339.46</v>
      </c>
      <c r="P69" s="83">
        <v>997</v>
      </c>
      <c r="Q69" s="83">
        <v>909.55</v>
      </c>
      <c r="R69" s="84">
        <v>10063.200000000001</v>
      </c>
      <c r="S69" s="84">
        <v>9441.6</v>
      </c>
      <c r="T69" s="84">
        <v>5157.6000000000004</v>
      </c>
      <c r="U69" s="84">
        <v>8794.7999999999993</v>
      </c>
      <c r="V69" s="84">
        <v>7560</v>
      </c>
      <c r="W69" s="84">
        <v>6132</v>
      </c>
      <c r="X69" s="84">
        <v>7106.4</v>
      </c>
      <c r="Y69" s="84">
        <v>4645.2</v>
      </c>
      <c r="Z69" s="84">
        <v>4132.8</v>
      </c>
      <c r="AA69" s="84">
        <v>7383.6</v>
      </c>
      <c r="AB69" s="84">
        <v>9063.6</v>
      </c>
      <c r="AC69" s="84">
        <v>9164.4</v>
      </c>
      <c r="AD69" s="84">
        <v>9660</v>
      </c>
      <c r="AE69" s="85">
        <f t="shared" si="57"/>
        <v>5198.1344753000003</v>
      </c>
      <c r="AF69" s="85">
        <f t="shared" si="57"/>
        <v>5237.243109</v>
      </c>
      <c r="AG69" s="85">
        <f t="shared" si="57"/>
        <v>2072.1005382000003</v>
      </c>
      <c r="AH69" s="85">
        <f t="shared" si="57"/>
        <v>5910.3458316000006</v>
      </c>
      <c r="AI69" s="85">
        <f t="shared" si="57"/>
        <v>3209.7646933999999</v>
      </c>
      <c r="AJ69" s="85">
        <f t="shared" si="57"/>
        <v>3572.1123266000004</v>
      </c>
      <c r="AK69" s="85">
        <f t="shared" si="57"/>
        <v>2541.2327387999999</v>
      </c>
      <c r="AL69" s="85">
        <f t="shared" si="57"/>
        <v>1723.4366417000001</v>
      </c>
      <c r="AM69" s="85">
        <f t="shared" si="57"/>
        <v>1925.7216930000002</v>
      </c>
      <c r="AN69" s="85">
        <f t="shared" si="57"/>
        <v>4820.1890963000005</v>
      </c>
      <c r="AO69" s="85">
        <f t="shared" si="57"/>
        <v>3826.4755658000004</v>
      </c>
      <c r="AP69" s="85">
        <f t="shared" si="57"/>
        <v>2848.1598100000001</v>
      </c>
      <c r="AQ69" s="85">
        <f t="shared" si="58"/>
        <v>2598.3387714999999</v>
      </c>
      <c r="AR69" s="86">
        <f t="shared" si="44"/>
        <v>4566.2776320000003</v>
      </c>
      <c r="AS69" s="86">
        <f t="shared" si="45"/>
        <v>4284.2204160000001</v>
      </c>
      <c r="AT69" s="86">
        <f t="shared" si="46"/>
        <v>2340.3125760000003</v>
      </c>
      <c r="AU69" s="86">
        <f t="shared" si="47"/>
        <v>3990.7284479999998</v>
      </c>
      <c r="AV69" s="86">
        <f t="shared" si="48"/>
        <v>3430.4256</v>
      </c>
      <c r="AW69" s="86">
        <f t="shared" si="49"/>
        <v>2782.4563199999998</v>
      </c>
      <c r="AX69" s="86">
        <f t="shared" si="50"/>
        <v>3224.6000639999997</v>
      </c>
      <c r="AY69" s="86">
        <f t="shared" si="51"/>
        <v>2107.8059519999997</v>
      </c>
      <c r="AZ69" s="86">
        <f t="shared" si="52"/>
        <v>1875.2993280000001</v>
      </c>
      <c r="BA69" s="86">
        <f t="shared" si="53"/>
        <v>3350.3823360000001</v>
      </c>
      <c r="BB69" s="86">
        <f t="shared" si="54"/>
        <v>4112.6991360000002</v>
      </c>
      <c r="BC69" s="86">
        <f t="shared" si="55"/>
        <v>4158.4381439999997</v>
      </c>
      <c r="BD69" s="86">
        <f t="shared" si="56"/>
        <v>4383.3216000000002</v>
      </c>
    </row>
    <row r="70" spans="1:56" ht="15.75" customHeight="1">
      <c r="A70" s="10"/>
      <c r="B70" s="10"/>
      <c r="C70" s="10"/>
      <c r="D70" s="10"/>
      <c r="E70" s="83">
        <v>417.5</v>
      </c>
      <c r="F70" s="83">
        <v>531.03</v>
      </c>
      <c r="G70" s="83">
        <v>444.4</v>
      </c>
      <c r="H70" s="83">
        <v>451.21</v>
      </c>
      <c r="I70" s="83">
        <v>368.3</v>
      </c>
      <c r="J70" s="83">
        <v>388.96</v>
      </c>
      <c r="K70" s="83">
        <v>357.71</v>
      </c>
      <c r="L70" s="83">
        <v>283.63</v>
      </c>
      <c r="M70" s="83">
        <v>362.75</v>
      </c>
      <c r="N70" s="83">
        <v>380.52</v>
      </c>
      <c r="O70" s="83">
        <v>517.29</v>
      </c>
      <c r="P70" s="83">
        <v>490.52</v>
      </c>
      <c r="Q70" s="83">
        <v>541.04</v>
      </c>
      <c r="R70" s="84">
        <v>7049.7</v>
      </c>
      <c r="S70" s="84">
        <v>7150.5</v>
      </c>
      <c r="T70" s="84">
        <v>4674.6000000000004</v>
      </c>
      <c r="U70" s="84">
        <v>5556.6</v>
      </c>
      <c r="V70" s="84">
        <v>5518.8</v>
      </c>
      <c r="W70" s="84">
        <v>5229</v>
      </c>
      <c r="X70" s="84">
        <v>4844.7</v>
      </c>
      <c r="Y70" s="84">
        <v>4145.3999999999996</v>
      </c>
      <c r="Z70" s="84">
        <v>4221</v>
      </c>
      <c r="AA70" s="84">
        <v>4945.5</v>
      </c>
      <c r="AB70" s="84">
        <v>6350.4</v>
      </c>
      <c r="AC70" s="84">
        <v>6111</v>
      </c>
      <c r="AD70" s="84">
        <v>7238.7</v>
      </c>
      <c r="AE70" s="85">
        <f t="shared" si="57"/>
        <v>1192.6847750000002</v>
      </c>
      <c r="AF70" s="85">
        <f t="shared" si="57"/>
        <v>1517.0093319</v>
      </c>
      <c r="AG70" s="85">
        <f t="shared" si="57"/>
        <v>1269.530812</v>
      </c>
      <c r="AH70" s="85">
        <f t="shared" si="57"/>
        <v>1288.9851433000001</v>
      </c>
      <c r="AI70" s="85">
        <f t="shared" si="57"/>
        <v>1052.1336590000001</v>
      </c>
      <c r="AJ70" s="85">
        <f t="shared" si="57"/>
        <v>1111.1537008</v>
      </c>
      <c r="AK70" s="85">
        <f t="shared" si="57"/>
        <v>1021.8808883</v>
      </c>
      <c r="AL70" s="85">
        <f t="shared" si="57"/>
        <v>810.25432990000002</v>
      </c>
      <c r="AM70" s="85">
        <f t="shared" si="57"/>
        <v>1036.2788075000001</v>
      </c>
      <c r="AN70" s="85">
        <f t="shared" si="57"/>
        <v>1087.0428996000001</v>
      </c>
      <c r="AO70" s="85">
        <f t="shared" si="57"/>
        <v>1477.7578616999999</v>
      </c>
      <c r="AP70" s="85">
        <f t="shared" si="57"/>
        <v>1401.2831996</v>
      </c>
      <c r="AQ70" s="85">
        <f t="shared" si="58"/>
        <v>1545.6051992</v>
      </c>
      <c r="AR70" s="86">
        <f t="shared" si="44"/>
        <v>3198.8718719999997</v>
      </c>
      <c r="AS70" s="86">
        <f t="shared" si="45"/>
        <v>3244.6108800000002</v>
      </c>
      <c r="AT70" s="86">
        <f t="shared" si="46"/>
        <v>2121.1464960000003</v>
      </c>
      <c r="AU70" s="86">
        <f t="shared" si="47"/>
        <v>2521.3628160000003</v>
      </c>
      <c r="AV70" s="86">
        <f t="shared" si="48"/>
        <v>2504.2106880000001</v>
      </c>
      <c r="AW70" s="86">
        <f t="shared" si="49"/>
        <v>2372.7110400000001</v>
      </c>
      <c r="AX70" s="86">
        <f t="shared" si="50"/>
        <v>2198.3310719999999</v>
      </c>
      <c r="AY70" s="86">
        <f t="shared" si="51"/>
        <v>1881.0167039999999</v>
      </c>
      <c r="AZ70" s="86">
        <f t="shared" si="52"/>
        <v>1915.32096</v>
      </c>
      <c r="BA70" s="86">
        <f t="shared" si="53"/>
        <v>2244.07008</v>
      </c>
      <c r="BB70" s="86">
        <f t="shared" si="54"/>
        <v>2881.5575039999999</v>
      </c>
      <c r="BC70" s="86">
        <f t="shared" si="55"/>
        <v>2772.9273600000001</v>
      </c>
      <c r="BD70" s="86">
        <f t="shared" si="56"/>
        <v>3284.6325119999997</v>
      </c>
    </row>
    <row r="71" spans="1:56" ht="15.75" customHeight="1">
      <c r="A71" s="10"/>
      <c r="B71" s="10"/>
      <c r="C71" s="10"/>
      <c r="D71" s="10"/>
      <c r="E71" s="83">
        <v>1155.92</v>
      </c>
      <c r="F71" s="83">
        <v>1161.3800000000001</v>
      </c>
      <c r="G71" s="83">
        <v>1232.2</v>
      </c>
      <c r="H71" s="83">
        <v>1158.95</v>
      </c>
      <c r="I71" s="83">
        <v>1112.24</v>
      </c>
      <c r="J71" s="83">
        <v>1360.46</v>
      </c>
      <c r="K71" s="83">
        <v>1302.8399999999999</v>
      </c>
      <c r="L71" s="83">
        <v>1059.6600000000001</v>
      </c>
      <c r="M71" s="83">
        <v>1059.8699999999999</v>
      </c>
      <c r="N71" s="83">
        <v>1067.43</v>
      </c>
      <c r="O71" s="83">
        <v>1072.68</v>
      </c>
      <c r="P71" s="83">
        <v>1065.75</v>
      </c>
      <c r="Q71" s="83">
        <v>1010.73</v>
      </c>
      <c r="R71" s="84">
        <v>13960.8</v>
      </c>
      <c r="S71" s="84">
        <v>13196.4</v>
      </c>
      <c r="T71" s="84">
        <v>12667.2</v>
      </c>
      <c r="U71" s="84">
        <v>13246.8</v>
      </c>
      <c r="V71" s="84">
        <v>14246.4</v>
      </c>
      <c r="W71" s="84">
        <v>14221.2</v>
      </c>
      <c r="X71" s="84">
        <v>14154</v>
      </c>
      <c r="Y71" s="84">
        <v>11193</v>
      </c>
      <c r="Z71" s="84">
        <v>11214</v>
      </c>
      <c r="AA71" s="84">
        <v>11193</v>
      </c>
      <c r="AB71" s="84">
        <v>11172</v>
      </c>
      <c r="AC71" s="84">
        <v>11151</v>
      </c>
      <c r="AD71" s="84">
        <v>12558</v>
      </c>
      <c r="AE71" s="85">
        <f t="shared" si="57"/>
        <v>3302.1513416000003</v>
      </c>
      <c r="AF71" s="85">
        <f t="shared" si="57"/>
        <v>3317.7490874000005</v>
      </c>
      <c r="AG71" s="85">
        <f t="shared" si="57"/>
        <v>3520.0627060000006</v>
      </c>
      <c r="AH71" s="85">
        <f t="shared" si="57"/>
        <v>3310.8072335000002</v>
      </c>
      <c r="AI71" s="85">
        <f t="shared" si="57"/>
        <v>3177.3693752000004</v>
      </c>
      <c r="AJ71" s="85">
        <f t="shared" si="57"/>
        <v>3886.4668958000002</v>
      </c>
      <c r="AK71" s="85">
        <f t="shared" si="57"/>
        <v>3721.8621131999998</v>
      </c>
      <c r="AL71" s="85">
        <f t="shared" si="57"/>
        <v>3027.1625118000006</v>
      </c>
      <c r="AM71" s="85">
        <f t="shared" si="57"/>
        <v>3027.7624250999997</v>
      </c>
      <c r="AN71" s="85">
        <f t="shared" si="57"/>
        <v>3049.3593039000002</v>
      </c>
      <c r="AO71" s="85">
        <f t="shared" si="57"/>
        <v>3064.3571364000004</v>
      </c>
      <c r="AP71" s="85">
        <f t="shared" si="57"/>
        <v>3044.5599975</v>
      </c>
      <c r="AQ71" s="85">
        <f t="shared" si="58"/>
        <v>2887.3827129000001</v>
      </c>
      <c r="AR71" s="86">
        <f t="shared" si="44"/>
        <v>6334.8526079999992</v>
      </c>
      <c r="AS71" s="86">
        <f t="shared" si="45"/>
        <v>5987.9984640000002</v>
      </c>
      <c r="AT71" s="86">
        <f t="shared" si="46"/>
        <v>5747.8686720000005</v>
      </c>
      <c r="AU71" s="86">
        <f t="shared" si="47"/>
        <v>6010.8679679999996</v>
      </c>
      <c r="AV71" s="86">
        <f t="shared" si="48"/>
        <v>6464.4464639999997</v>
      </c>
      <c r="AW71" s="86">
        <f t="shared" si="49"/>
        <v>6453.0117120000004</v>
      </c>
      <c r="AX71" s="86">
        <f t="shared" si="50"/>
        <v>6422.5190400000001</v>
      </c>
      <c r="AY71" s="86">
        <f t="shared" si="51"/>
        <v>5078.9356799999996</v>
      </c>
      <c r="AZ71" s="86">
        <f t="shared" si="52"/>
        <v>5088.4646400000001</v>
      </c>
      <c r="BA71" s="86">
        <f t="shared" si="53"/>
        <v>5078.9356799999996</v>
      </c>
      <c r="BB71" s="86">
        <f t="shared" si="54"/>
        <v>5069.40672</v>
      </c>
      <c r="BC71" s="86">
        <f t="shared" si="55"/>
        <v>5059.8777600000003</v>
      </c>
      <c r="BD71" s="86">
        <f t="shared" si="56"/>
        <v>5698.31808</v>
      </c>
    </row>
    <row r="72" spans="1:56" ht="15.75" customHeight="1">
      <c r="A72" s="10"/>
      <c r="B72" s="10"/>
      <c r="C72" s="10"/>
      <c r="D72" s="10"/>
      <c r="E72" s="83">
        <v>597.42999999999995</v>
      </c>
      <c r="F72" s="83">
        <v>632.71</v>
      </c>
      <c r="G72" s="83">
        <v>452.4</v>
      </c>
      <c r="H72" s="83">
        <v>338.94</v>
      </c>
      <c r="I72" s="83">
        <v>290.56</v>
      </c>
      <c r="J72" s="83">
        <v>352.67</v>
      </c>
      <c r="K72" s="83">
        <v>334.78</v>
      </c>
      <c r="L72" s="83">
        <v>310.33999999999997</v>
      </c>
      <c r="M72" s="83">
        <v>320.23</v>
      </c>
      <c r="N72" s="83">
        <v>306.43</v>
      </c>
      <c r="O72" s="83">
        <v>374.22</v>
      </c>
      <c r="P72" s="83">
        <v>427.52</v>
      </c>
      <c r="Q72" s="83">
        <v>470.48</v>
      </c>
      <c r="R72" s="84">
        <v>15372</v>
      </c>
      <c r="S72" s="84">
        <v>18629.099999999999</v>
      </c>
      <c r="T72" s="84">
        <v>15718.5</v>
      </c>
      <c r="U72" s="84">
        <v>14949.9</v>
      </c>
      <c r="V72" s="84">
        <v>12757.5</v>
      </c>
      <c r="W72" s="84">
        <v>11718</v>
      </c>
      <c r="X72" s="84">
        <v>11661.3</v>
      </c>
      <c r="Y72" s="84">
        <v>8095.5</v>
      </c>
      <c r="Z72" s="84">
        <v>9053.1</v>
      </c>
      <c r="AA72" s="84">
        <v>10187.1</v>
      </c>
      <c r="AB72" s="84">
        <v>13778.1</v>
      </c>
      <c r="AC72" s="84">
        <v>14962.5</v>
      </c>
      <c r="AD72" s="84">
        <v>15567.3</v>
      </c>
      <c r="AE72" s="85">
        <f t="shared" si="57"/>
        <v>1706.6962039</v>
      </c>
      <c r="AF72" s="85">
        <f t="shared" si="57"/>
        <v>1807.4816383000002</v>
      </c>
      <c r="AG72" s="85">
        <f t="shared" si="57"/>
        <v>1292.384652</v>
      </c>
      <c r="AH72" s="85">
        <f t="shared" si="57"/>
        <v>968.2600662000001</v>
      </c>
      <c r="AI72" s="85">
        <f t="shared" si="57"/>
        <v>830.05146880000007</v>
      </c>
      <c r="AJ72" s="85">
        <f t="shared" si="57"/>
        <v>1007.4829691000001</v>
      </c>
      <c r="AK72" s="85">
        <f t="shared" si="57"/>
        <v>956.37606940000001</v>
      </c>
      <c r="AL72" s="85">
        <f t="shared" si="57"/>
        <v>886.55758819999994</v>
      </c>
      <c r="AM72" s="85">
        <f t="shared" si="57"/>
        <v>914.81064790000016</v>
      </c>
      <c r="AN72" s="85">
        <f t="shared" si="57"/>
        <v>875.38777390000007</v>
      </c>
      <c r="AO72" s="85">
        <f t="shared" si="57"/>
        <v>1069.0455006000002</v>
      </c>
      <c r="AP72" s="85">
        <f t="shared" si="57"/>
        <v>1221.3092096</v>
      </c>
      <c r="AQ72" s="85">
        <f t="shared" si="58"/>
        <v>1344.0343304</v>
      </c>
      <c r="AR72" s="86">
        <f t="shared" si="44"/>
        <v>6975.1987200000003</v>
      </c>
      <c r="AS72" s="86">
        <f t="shared" si="45"/>
        <v>8453.1404160000002</v>
      </c>
      <c r="AT72" s="86">
        <f t="shared" si="46"/>
        <v>7132.4265599999999</v>
      </c>
      <c r="AU72" s="86">
        <f t="shared" si="47"/>
        <v>6783.6666239999995</v>
      </c>
      <c r="AV72" s="86">
        <f t="shared" si="48"/>
        <v>5788.8432000000003</v>
      </c>
      <c r="AW72" s="86">
        <f t="shared" si="49"/>
        <v>5317.1596799999998</v>
      </c>
      <c r="AX72" s="86">
        <f t="shared" si="50"/>
        <v>5291.4314879999993</v>
      </c>
      <c r="AY72" s="86">
        <f t="shared" si="51"/>
        <v>3673.41408</v>
      </c>
      <c r="AZ72" s="86">
        <f t="shared" si="52"/>
        <v>4107.9346560000004</v>
      </c>
      <c r="BA72" s="86">
        <f t="shared" si="53"/>
        <v>4622.4984960000002</v>
      </c>
      <c r="BB72" s="86">
        <f t="shared" si="54"/>
        <v>6251.950656</v>
      </c>
      <c r="BC72" s="86">
        <f t="shared" si="55"/>
        <v>6789.384</v>
      </c>
      <c r="BD72" s="86">
        <f t="shared" si="56"/>
        <v>7063.8180479999992</v>
      </c>
    </row>
    <row r="73" spans="1:56" ht="15.75" customHeight="1">
      <c r="A73" s="10"/>
      <c r="B73" s="10"/>
      <c r="C73" s="10"/>
      <c r="D73" s="10"/>
      <c r="E73" s="83">
        <v>533.23</v>
      </c>
      <c r="F73" s="83">
        <v>452.84</v>
      </c>
      <c r="G73" s="83">
        <v>499.3</v>
      </c>
      <c r="H73" s="83">
        <v>584.64</v>
      </c>
      <c r="I73" s="83">
        <v>481.4</v>
      </c>
      <c r="J73" s="83">
        <v>564.73</v>
      </c>
      <c r="K73" s="83">
        <v>555.83000000000004</v>
      </c>
      <c r="L73" s="83">
        <v>453.6</v>
      </c>
      <c r="M73" s="83">
        <v>688.97</v>
      </c>
      <c r="N73" s="83">
        <v>766.25</v>
      </c>
      <c r="O73" s="83">
        <v>686.11</v>
      </c>
      <c r="P73" s="83">
        <v>649.91</v>
      </c>
      <c r="Q73" s="83">
        <v>641.92999999999995</v>
      </c>
      <c r="R73" s="84">
        <v>6585.6</v>
      </c>
      <c r="S73" s="84">
        <v>5896.8</v>
      </c>
      <c r="T73" s="84">
        <v>6484.8</v>
      </c>
      <c r="U73" s="84">
        <v>6619.2</v>
      </c>
      <c r="V73" s="84">
        <v>6123.6</v>
      </c>
      <c r="W73" s="84">
        <v>5997.6</v>
      </c>
      <c r="X73" s="84">
        <v>6820.8</v>
      </c>
      <c r="Y73" s="84">
        <v>5216.3999999999996</v>
      </c>
      <c r="Z73" s="84">
        <v>7425.6</v>
      </c>
      <c r="AA73" s="84">
        <v>8240.4</v>
      </c>
      <c r="AB73" s="84">
        <v>8257.2000000000007</v>
      </c>
      <c r="AC73" s="84">
        <v>7702.8</v>
      </c>
      <c r="AD73" s="84">
        <v>8290.7999999999993</v>
      </c>
      <c r="AE73" s="85">
        <f t="shared" si="57"/>
        <v>1523.2941379000001</v>
      </c>
      <c r="AF73" s="85">
        <f t="shared" si="57"/>
        <v>1293.6416131999999</v>
      </c>
      <c r="AG73" s="85">
        <f t="shared" si="57"/>
        <v>1426.3652890000001</v>
      </c>
      <c r="AH73" s="85">
        <f t="shared" si="57"/>
        <v>1670.1586272000002</v>
      </c>
      <c r="AI73" s="85">
        <f t="shared" si="57"/>
        <v>1375.229822</v>
      </c>
      <c r="AJ73" s="85">
        <f t="shared" si="57"/>
        <v>1613.2811329000001</v>
      </c>
      <c r="AK73" s="85">
        <f t="shared" si="57"/>
        <v>1587.8562359000002</v>
      </c>
      <c r="AL73" s="85">
        <f t="shared" si="57"/>
        <v>1295.8127280000001</v>
      </c>
      <c r="AM73" s="85">
        <f t="shared" si="57"/>
        <v>1968.2012681000003</v>
      </c>
      <c r="AN73" s="85">
        <f t="shared" si="57"/>
        <v>2188.9693625</v>
      </c>
      <c r="AO73" s="85">
        <f t="shared" si="57"/>
        <v>1960.0310203000001</v>
      </c>
      <c r="AP73" s="85">
        <f t="shared" si="57"/>
        <v>1856.6173943000001</v>
      </c>
      <c r="AQ73" s="85">
        <f t="shared" si="58"/>
        <v>1833.8206889000001</v>
      </c>
      <c r="AR73" s="86">
        <f t="shared" si="44"/>
        <v>2988.2818560000001</v>
      </c>
      <c r="AS73" s="86">
        <f t="shared" si="45"/>
        <v>2675.7319680000001</v>
      </c>
      <c r="AT73" s="86">
        <f t="shared" si="46"/>
        <v>2942.542848</v>
      </c>
      <c r="AU73" s="86">
        <f t="shared" si="47"/>
        <v>3003.5281919999998</v>
      </c>
      <c r="AV73" s="86">
        <f t="shared" si="48"/>
        <v>2778.6447360000002</v>
      </c>
      <c r="AW73" s="86">
        <f t="shared" si="49"/>
        <v>2721.4709760000001</v>
      </c>
      <c r="AX73" s="86">
        <f t="shared" si="50"/>
        <v>3095.0062080000002</v>
      </c>
      <c r="AY73" s="86">
        <f t="shared" si="51"/>
        <v>2366.9936639999996</v>
      </c>
      <c r="AZ73" s="86">
        <f t="shared" si="52"/>
        <v>3369.4402560000003</v>
      </c>
      <c r="BA73" s="86">
        <f t="shared" si="53"/>
        <v>3739.163904</v>
      </c>
      <c r="BB73" s="86">
        <f t="shared" si="54"/>
        <v>3746.7870720000001</v>
      </c>
      <c r="BC73" s="86">
        <f t="shared" si="55"/>
        <v>3495.2225280000002</v>
      </c>
      <c r="BD73" s="86">
        <f t="shared" si="56"/>
        <v>3762.0334079999998</v>
      </c>
    </row>
    <row r="74" spans="1:56" ht="15.75" customHeight="1">
      <c r="A74" s="10"/>
      <c r="B74" s="10"/>
      <c r="C74" s="10"/>
      <c r="D74" s="10"/>
      <c r="E74" s="83">
        <v>538.36</v>
      </c>
      <c r="F74" s="83">
        <v>587.33000000000004</v>
      </c>
      <c r="G74" s="83">
        <v>580.05999999999995</v>
      </c>
      <c r="H74" s="83">
        <v>463.64</v>
      </c>
      <c r="I74" s="83">
        <v>486.19</v>
      </c>
      <c r="J74" s="83">
        <v>439.4</v>
      </c>
      <c r="K74" s="83">
        <v>452</v>
      </c>
      <c r="L74" s="83">
        <v>622.78</v>
      </c>
      <c r="M74" s="83">
        <v>433.94</v>
      </c>
      <c r="N74" s="83">
        <v>526.34</v>
      </c>
      <c r="O74" s="83">
        <v>549.11</v>
      </c>
      <c r="P74" s="83">
        <v>547.47</v>
      </c>
      <c r="Q74" s="83">
        <v>577.37</v>
      </c>
      <c r="R74" s="84">
        <v>17904.599999999999</v>
      </c>
      <c r="S74" s="84">
        <v>17488.8</v>
      </c>
      <c r="T74" s="84">
        <v>15913.8</v>
      </c>
      <c r="U74" s="84">
        <v>13696.2</v>
      </c>
      <c r="V74" s="84">
        <v>12730.2</v>
      </c>
      <c r="W74" s="84">
        <v>12574.8</v>
      </c>
      <c r="X74" s="84">
        <v>10117.799999999999</v>
      </c>
      <c r="Y74" s="84">
        <v>12104.4</v>
      </c>
      <c r="Z74" s="84">
        <v>12339.6</v>
      </c>
      <c r="AA74" s="84">
        <v>14926.8</v>
      </c>
      <c r="AB74" s="84">
        <v>15447.6</v>
      </c>
      <c r="AC74" s="84">
        <v>16304.4</v>
      </c>
      <c r="AD74" s="84">
        <v>15262.8</v>
      </c>
      <c r="AE74" s="85">
        <f t="shared" si="57"/>
        <v>1537.9491628000001</v>
      </c>
      <c r="AF74" s="85">
        <f t="shared" si="57"/>
        <v>1677.8432309000002</v>
      </c>
      <c r="AG74" s="85">
        <f t="shared" si="57"/>
        <v>1657.0748037999999</v>
      </c>
      <c r="AH74" s="85">
        <f t="shared" si="57"/>
        <v>1324.4942972000001</v>
      </c>
      <c r="AI74" s="85">
        <f t="shared" si="57"/>
        <v>1388.9135587000001</v>
      </c>
      <c r="AJ74" s="85">
        <f t="shared" si="57"/>
        <v>1255.2471620000001</v>
      </c>
      <c r="AK74" s="85">
        <f t="shared" si="57"/>
        <v>1291.2419600000001</v>
      </c>
      <c r="AL74" s="85">
        <f t="shared" si="57"/>
        <v>1779.1143094000001</v>
      </c>
      <c r="AM74" s="85">
        <f t="shared" si="57"/>
        <v>1239.6494162000001</v>
      </c>
      <c r="AN74" s="85">
        <f t="shared" si="57"/>
        <v>1503.6112682000003</v>
      </c>
      <c r="AO74" s="85">
        <f t="shared" si="57"/>
        <v>1568.6590103000001</v>
      </c>
      <c r="AP74" s="85">
        <f t="shared" si="57"/>
        <v>1563.9739731000002</v>
      </c>
      <c r="AQ74" s="85">
        <f t="shared" si="58"/>
        <v>1649.3902001000001</v>
      </c>
      <c r="AR74" s="86">
        <f t="shared" si="44"/>
        <v>8124.3912959999989</v>
      </c>
      <c r="AS74" s="86">
        <f t="shared" si="45"/>
        <v>7935.7178879999992</v>
      </c>
      <c r="AT74" s="86">
        <f t="shared" si="46"/>
        <v>7221.0458879999996</v>
      </c>
      <c r="AU74" s="86">
        <f t="shared" si="47"/>
        <v>6214.7877120000003</v>
      </c>
      <c r="AV74" s="86">
        <f t="shared" si="48"/>
        <v>5776.4555520000004</v>
      </c>
      <c r="AW74" s="86">
        <f t="shared" si="49"/>
        <v>5705.9412479999992</v>
      </c>
      <c r="AX74" s="86">
        <f t="shared" si="50"/>
        <v>4591.0529280000001</v>
      </c>
      <c r="AY74" s="86">
        <f t="shared" si="51"/>
        <v>5492.4925439999997</v>
      </c>
      <c r="AZ74" s="86">
        <f t="shared" si="52"/>
        <v>5599.2168959999999</v>
      </c>
      <c r="BA74" s="86">
        <f t="shared" si="53"/>
        <v>6773.1847679999992</v>
      </c>
      <c r="BB74" s="86">
        <f t="shared" si="54"/>
        <v>7009.5029759999998</v>
      </c>
      <c r="BC74" s="86">
        <f t="shared" si="55"/>
        <v>7398.2845440000001</v>
      </c>
      <c r="BD74" s="86">
        <f t="shared" si="56"/>
        <v>6925.6481279999998</v>
      </c>
    </row>
    <row r="75" spans="1:5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5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5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5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5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5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 t="s">
        <v>2088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5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201306</v>
      </c>
      <c r="Q81" s="10">
        <f>0.37426+0.20376</f>
        <v>0.57801999999999998</v>
      </c>
      <c r="R81" s="93">
        <f>P81*Q81</f>
        <v>116358.89412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5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17479</v>
      </c>
      <c r="Q82" s="10">
        <f>0.58799+2.60674</f>
        <v>3.1947299999999998</v>
      </c>
      <c r="R82" s="93">
        <f>P82*Q82</f>
        <v>55840.685669999999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5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462</v>
      </c>
      <c r="Q83" s="10">
        <v>50.467059999999996</v>
      </c>
      <c r="R83" s="93">
        <f>P83*Q83</f>
        <v>23315.781719999999</v>
      </c>
      <c r="S83" s="93">
        <f>SUM(R81:R83)</f>
        <v>195515.36150999999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5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5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 t="s">
        <v>2089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5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201306</v>
      </c>
      <c r="Q86" s="10">
        <f>0.37426+0.20376</f>
        <v>0.57801999999999998</v>
      </c>
      <c r="R86" s="93">
        <f>P86*Q86</f>
        <v>116358.89412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</row>
    <row r="87" spans="1:5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17479</v>
      </c>
      <c r="Q87" s="10">
        <f>0.58799+0.20376</f>
        <v>0.79174999999999995</v>
      </c>
      <c r="R87" s="93">
        <f>P87*Q87</f>
        <v>13838.998249999999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462</v>
      </c>
      <c r="Q88" s="10">
        <v>50.467059999999996</v>
      </c>
      <c r="R88" s="93">
        <f>P88*Q88</f>
        <v>23315.781719999999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</row>
    <row r="89" spans="1:5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342</v>
      </c>
      <c r="Q89" s="10">
        <v>99.018090000000001</v>
      </c>
      <c r="R89" s="93">
        <f>P89*Q89</f>
        <v>33864.186780000004</v>
      </c>
      <c r="S89" s="93">
        <f>SUM(R86:R89)</f>
        <v>187377.86086999997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</row>
    <row r="90" spans="1:5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</row>
    <row r="92" spans="1:5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</row>
    <row r="93" spans="1:5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</row>
    <row r="95" spans="1:5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</row>
    <row r="96" spans="1:5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</row>
    <row r="98" spans="1:5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</row>
    <row r="99" spans="1:5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</row>
    <row r="101" spans="1:5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</row>
    <row r="102" spans="1:5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</row>
    <row r="104" spans="1:5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</row>
    <row r="105" spans="1:5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</row>
    <row r="107" spans="1:5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</row>
    <row r="108" spans="1:5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</row>
    <row r="110" spans="1:5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</row>
    <row r="111" spans="1:5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</row>
    <row r="113" spans="1:5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</row>
    <row r="114" spans="1:5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</row>
    <row r="117" spans="1:5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</row>
    <row r="118" spans="1:5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</row>
    <row r="119" spans="1:5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</row>
    <row r="120" spans="1:5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</row>
    <row r="121" spans="1:5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</row>
    <row r="122" spans="1:5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</row>
    <row r="123" spans="1:5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</row>
    <row r="124" spans="1:5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</row>
    <row r="125" spans="1:5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</row>
    <row r="126" spans="1:5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</row>
    <row r="127" spans="1:5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</row>
    <row r="128" spans="1:5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</row>
    <row r="129" spans="1:5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</row>
    <row r="130" spans="1:5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</row>
    <row r="131" spans="1:5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</row>
    <row r="132" spans="1:5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</row>
    <row r="133" spans="1:5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</row>
    <row r="134" spans="1:5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</row>
    <row r="135" spans="1:5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</row>
    <row r="136" spans="1:5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</row>
    <row r="137" spans="1:5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</row>
    <row r="138" spans="1:5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</row>
    <row r="139" spans="1:5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</row>
    <row r="140" spans="1:5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</row>
    <row r="141" spans="1:5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</row>
    <row r="142" spans="1:5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</row>
    <row r="143" spans="1:5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</row>
    <row r="144" spans="1:5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</row>
    <row r="145" spans="1:5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</row>
    <row r="146" spans="1:5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</row>
    <row r="147" spans="1:5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</row>
    <row r="148" spans="1:5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</row>
    <row r="149" spans="1:5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</row>
    <row r="150" spans="1:5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</row>
    <row r="151" spans="1:5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</row>
    <row r="152" spans="1:5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</row>
    <row r="153" spans="1:5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</row>
    <row r="154" spans="1:5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</row>
    <row r="155" spans="1:5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</row>
    <row r="156" spans="1: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</row>
    <row r="157" spans="1:5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</row>
    <row r="158" spans="1:5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</row>
    <row r="159" spans="1:5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</row>
    <row r="160" spans="1:5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</row>
    <row r="161" spans="1:5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</row>
    <row r="162" spans="1:5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</row>
    <row r="163" spans="1:5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</row>
    <row r="164" spans="1:5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</row>
    <row r="165" spans="1:5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</row>
    <row r="166" spans="1:5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</row>
    <row r="167" spans="1:5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</row>
    <row r="168" spans="1:5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</row>
    <row r="169" spans="1:5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</row>
    <row r="170" spans="1:5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</row>
    <row r="171" spans="1:5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</row>
    <row r="172" spans="1:5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</row>
    <row r="173" spans="1:5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</row>
    <row r="174" spans="1:5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</row>
    <row r="175" spans="1:5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</row>
    <row r="176" spans="1:5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</row>
    <row r="177" spans="1:5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</row>
    <row r="178" spans="1:5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</row>
    <row r="179" spans="1:5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</row>
    <row r="180" spans="1:5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</row>
    <row r="181" spans="1:5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</row>
    <row r="182" spans="1:5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</row>
    <row r="183" spans="1:5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</row>
    <row r="184" spans="1:5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</row>
    <row r="185" spans="1:5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</row>
    <row r="186" spans="1:5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</row>
    <row r="187" spans="1:5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</row>
    <row r="188" spans="1:5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</row>
    <row r="189" spans="1:5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</row>
    <row r="190" spans="1:5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</row>
    <row r="191" spans="1:5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</row>
    <row r="192" spans="1:5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</row>
    <row r="193" spans="1:5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</row>
    <row r="194" spans="1:5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</row>
    <row r="195" spans="1:5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</row>
    <row r="196" spans="1:5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</row>
    <row r="197" spans="1:5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</row>
    <row r="198" spans="1:5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</row>
    <row r="199" spans="1:5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</row>
    <row r="200" spans="1:5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</row>
    <row r="201" spans="1:5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</row>
    <row r="202" spans="1:5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</row>
    <row r="203" spans="1:5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</row>
    <row r="204" spans="1:5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</row>
    <row r="205" spans="1:5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</row>
    <row r="206" spans="1:5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</row>
    <row r="207" spans="1:5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</row>
    <row r="208" spans="1:5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</row>
    <row r="209" spans="1:5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</row>
    <row r="210" spans="1:5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</row>
    <row r="211" spans="1:5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</row>
    <row r="212" spans="1:5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</row>
    <row r="213" spans="1:5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</row>
    <row r="214" spans="1:5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</row>
    <row r="215" spans="1:5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</row>
    <row r="216" spans="1:5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</row>
    <row r="217" spans="1:5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</row>
    <row r="218" spans="1:5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</row>
    <row r="219" spans="1:5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</row>
    <row r="220" spans="1:5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</row>
    <row r="221" spans="1:5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</row>
    <row r="222" spans="1:5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</row>
    <row r="223" spans="1:5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</row>
    <row r="224" spans="1:5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</row>
    <row r="225" spans="1:5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</row>
    <row r="226" spans="1:5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</row>
    <row r="227" spans="1:5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</row>
    <row r="228" spans="1:5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</row>
    <row r="229" spans="1:5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</row>
    <row r="230" spans="1:5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</row>
    <row r="231" spans="1:5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</row>
    <row r="232" spans="1:5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</row>
    <row r="233" spans="1:5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</row>
    <row r="234" spans="1:5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</row>
    <row r="235" spans="1:5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</row>
    <row r="236" spans="1:5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</row>
    <row r="237" spans="1:5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</row>
    <row r="238" spans="1:5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</row>
    <row r="239" spans="1:5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</row>
    <row r="240" spans="1:5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</row>
    <row r="241" spans="1:5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</row>
    <row r="242" spans="1:5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</row>
    <row r="243" spans="1:5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</row>
    <row r="244" spans="1:5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</row>
    <row r="245" spans="1:5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</row>
    <row r="246" spans="1:5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</row>
    <row r="247" spans="1:5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</row>
    <row r="248" spans="1:5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</row>
    <row r="249" spans="1:5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</row>
    <row r="250" spans="1:5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</row>
    <row r="251" spans="1:5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</row>
    <row r="252" spans="1:5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</row>
    <row r="253" spans="1:5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</row>
    <row r="254" spans="1:5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</row>
    <row r="255" spans="1:5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</row>
    <row r="256" spans="1: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</row>
    <row r="257" spans="1:5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</row>
    <row r="258" spans="1:5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</row>
    <row r="259" spans="1:5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</row>
    <row r="260" spans="1:5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</row>
    <row r="261" spans="1:5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</row>
    <row r="262" spans="1:5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</row>
    <row r="263" spans="1:5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</row>
    <row r="264" spans="1:5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</row>
    <row r="265" spans="1:5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</row>
    <row r="266" spans="1:5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</row>
    <row r="267" spans="1:5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</row>
    <row r="268" spans="1:5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</row>
    <row r="269" spans="1:5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</row>
    <row r="270" spans="1:5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</row>
    <row r="271" spans="1:5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</row>
    <row r="272" spans="1:5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</row>
    <row r="273" spans="1:5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</row>
    <row r="274" spans="1:5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</row>
    <row r="275" spans="1:5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</row>
    <row r="276" spans="1:5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</row>
    <row r="277" spans="1:5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</row>
    <row r="278" spans="1:5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</row>
    <row r="279" spans="1:5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</row>
    <row r="280" spans="1:5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</row>
    <row r="281" spans="1:5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</row>
    <row r="282" spans="1:5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</row>
    <row r="283" spans="1:5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</row>
    <row r="284" spans="1:5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</row>
    <row r="285" spans="1:5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</row>
    <row r="286" spans="1:5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</row>
    <row r="287" spans="1:5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</row>
    <row r="288" spans="1:5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</row>
    <row r="289" spans="1:5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</row>
    <row r="290" spans="1:5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</row>
    <row r="291" spans="1:5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</row>
    <row r="292" spans="1:5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</row>
    <row r="293" spans="1:5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</row>
    <row r="294" spans="1:5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</row>
    <row r="295" spans="1:5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</row>
    <row r="296" spans="1:5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</row>
    <row r="297" spans="1:5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</row>
    <row r="298" spans="1:5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</row>
    <row r="299" spans="1:5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</row>
    <row r="300" spans="1:5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</row>
    <row r="301" spans="1:5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</row>
    <row r="302" spans="1:5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</row>
    <row r="303" spans="1:5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</row>
    <row r="304" spans="1:5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</row>
    <row r="305" spans="1:5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</row>
    <row r="306" spans="1:5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</row>
    <row r="307" spans="1:5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</row>
    <row r="308" spans="1:5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</row>
    <row r="309" spans="1:5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</row>
    <row r="310" spans="1:5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</row>
    <row r="311" spans="1:5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</row>
    <row r="312" spans="1:5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</row>
    <row r="313" spans="1:5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</row>
    <row r="314" spans="1:5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</row>
    <row r="315" spans="1:5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</row>
    <row r="316" spans="1:5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</row>
    <row r="317" spans="1:5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</row>
    <row r="318" spans="1:5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</row>
    <row r="319" spans="1:5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</row>
    <row r="320" spans="1:5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</row>
    <row r="321" spans="1:5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</row>
    <row r="322" spans="1:5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</row>
    <row r="323" spans="1:5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</row>
    <row r="324" spans="1:5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</row>
    <row r="325" spans="1:5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</row>
    <row r="326" spans="1:5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</row>
    <row r="327" spans="1:5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</row>
    <row r="328" spans="1:5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</row>
    <row r="329" spans="1:5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</row>
    <row r="330" spans="1:5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</row>
    <row r="331" spans="1:5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</row>
    <row r="332" spans="1:5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</row>
    <row r="333" spans="1:5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</row>
    <row r="334" spans="1:5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</row>
    <row r="335" spans="1:5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</row>
    <row r="336" spans="1:5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</row>
    <row r="337" spans="1:5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</row>
    <row r="338" spans="1:5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</row>
    <row r="339" spans="1:5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</row>
    <row r="340" spans="1:5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</row>
    <row r="341" spans="1:5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</row>
    <row r="342" spans="1:5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</row>
    <row r="343" spans="1:5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</row>
    <row r="344" spans="1:5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</row>
    <row r="345" spans="1:5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</row>
    <row r="346" spans="1:5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</row>
    <row r="347" spans="1:5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</row>
    <row r="348" spans="1:5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</row>
    <row r="349" spans="1:5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</row>
    <row r="350" spans="1:5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</row>
    <row r="351" spans="1:5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</row>
    <row r="352" spans="1:5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</row>
    <row r="353" spans="1:5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</row>
    <row r="354" spans="1:5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</row>
    <row r="355" spans="1:5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</row>
    <row r="356" spans="1: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</row>
    <row r="357" spans="1:5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</row>
    <row r="358" spans="1:5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</row>
    <row r="359" spans="1:5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</row>
    <row r="360" spans="1:5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</row>
    <row r="361" spans="1:5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</row>
    <row r="362" spans="1:5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</row>
    <row r="363" spans="1:5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</row>
    <row r="364" spans="1:5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</row>
    <row r="365" spans="1:5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</row>
    <row r="366" spans="1:5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</row>
    <row r="367" spans="1:5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</row>
    <row r="368" spans="1:5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</row>
    <row r="369" spans="1:5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</row>
    <row r="370" spans="1:5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</row>
    <row r="371" spans="1:5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</row>
    <row r="372" spans="1:5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</row>
    <row r="373" spans="1:5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</row>
    <row r="374" spans="1:5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</row>
    <row r="375" spans="1:5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</row>
    <row r="376" spans="1:5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</row>
    <row r="377" spans="1:5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</row>
    <row r="378" spans="1:5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</row>
    <row r="379" spans="1:5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</row>
    <row r="380" spans="1:5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</row>
    <row r="381" spans="1:5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</row>
    <row r="382" spans="1:5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</row>
    <row r="383" spans="1:5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</row>
    <row r="384" spans="1:5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</row>
    <row r="385" spans="1:5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</row>
    <row r="386" spans="1:5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</row>
    <row r="387" spans="1:5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</row>
    <row r="388" spans="1:5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</row>
    <row r="389" spans="1:5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</row>
    <row r="390" spans="1:5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</row>
    <row r="391" spans="1:5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</row>
    <row r="392" spans="1:5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</row>
    <row r="393" spans="1:5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</row>
    <row r="394" spans="1:5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</row>
    <row r="395" spans="1:5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</row>
    <row r="396" spans="1:5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</row>
    <row r="397" spans="1:5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</row>
    <row r="398" spans="1:5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</row>
    <row r="399" spans="1:5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</row>
    <row r="400" spans="1:5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</row>
    <row r="401" spans="1:5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</row>
    <row r="402" spans="1:5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</row>
    <row r="403" spans="1:5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</row>
    <row r="404" spans="1:5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</row>
    <row r="405" spans="1:5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</row>
    <row r="406" spans="1:5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</row>
    <row r="407" spans="1:5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</row>
  </sheetData>
  <mergeCells count="13">
    <mergeCell ref="AR3:BD3"/>
    <mergeCell ref="E42:Q42"/>
    <mergeCell ref="R42:AD42"/>
    <mergeCell ref="AE42:AQ42"/>
    <mergeCell ref="AR42:BD42"/>
    <mergeCell ref="A1:AE2"/>
    <mergeCell ref="A3:A4"/>
    <mergeCell ref="B3:B4"/>
    <mergeCell ref="C3:C4"/>
    <mergeCell ref="D3:D4"/>
    <mergeCell ref="E3:Q3"/>
    <mergeCell ref="R3:AD3"/>
    <mergeCell ref="AE3:AQ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H979"/>
  <sheetViews>
    <sheetView showGridLines="0" zoomScaleNormal="100" workbookViewId="0"/>
  </sheetViews>
  <sheetFormatPr defaultColWidth="14.42578125" defaultRowHeight="15"/>
  <cols>
    <col min="1" max="1" width="43.85546875" customWidth="1"/>
    <col min="2" max="2" width="80.140625" customWidth="1"/>
    <col min="3" max="3" width="13.42578125" customWidth="1"/>
    <col min="4" max="4" width="17.5703125" customWidth="1"/>
    <col min="5" max="5" width="28.5703125" customWidth="1"/>
    <col min="6" max="6" width="17.28515625" customWidth="1"/>
    <col min="7" max="7" width="15" customWidth="1"/>
    <col min="8" max="8" width="17.28515625" customWidth="1"/>
    <col min="9" max="9" width="13.42578125" customWidth="1"/>
    <col min="10" max="21" width="7" customWidth="1"/>
    <col min="23" max="34" width="7" customWidth="1"/>
    <col min="35" max="35" width="19.7109375" customWidth="1"/>
    <col min="36" max="46" width="9.140625" customWidth="1"/>
    <col min="47" max="47" width="16.5703125" customWidth="1"/>
    <col min="49" max="54" width="8" customWidth="1"/>
    <col min="55" max="57" width="7.5703125" customWidth="1"/>
    <col min="58" max="60" width="8" customWidth="1"/>
    <col min="61" max="61" width="15.5703125" customWidth="1"/>
    <col min="62" max="73" width="13" customWidth="1"/>
    <col min="74" max="86" width="12.140625" customWidth="1"/>
  </cols>
  <sheetData>
    <row r="1" spans="1:86" ht="15" customHeight="1">
      <c r="A1" s="96" t="s">
        <v>2077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94"/>
      <c r="BW1" s="94"/>
      <c r="BX1" s="94"/>
      <c r="BY1" s="94"/>
      <c r="BZ1" s="94"/>
      <c r="CA1" s="94"/>
      <c r="CB1" s="94"/>
      <c r="CC1" s="94"/>
      <c r="CD1" s="94"/>
      <c r="CE1" s="94"/>
      <c r="CF1" s="94"/>
      <c r="CG1" s="94"/>
      <c r="CH1" s="94"/>
    </row>
    <row r="2" spans="1:86" ht="15" customHeight="1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94"/>
      <c r="BW2" s="94"/>
      <c r="BX2" s="94"/>
      <c r="BY2" s="94"/>
      <c r="BZ2" s="94"/>
      <c r="CA2" s="94"/>
      <c r="CB2" s="94"/>
      <c r="CC2" s="94"/>
      <c r="CD2" s="94"/>
      <c r="CE2" s="94"/>
      <c r="CF2" s="94"/>
      <c r="CG2" s="94"/>
      <c r="CH2" s="94"/>
    </row>
    <row r="3" spans="1:86" ht="15" customHeight="1">
      <c r="A3" s="117" t="s">
        <v>0</v>
      </c>
      <c r="B3" s="117" t="s">
        <v>1</v>
      </c>
      <c r="C3" s="117" t="s">
        <v>2</v>
      </c>
      <c r="D3" s="117" t="s">
        <v>3</v>
      </c>
      <c r="E3" s="117" t="s">
        <v>1970</v>
      </c>
      <c r="F3" s="117" t="s">
        <v>2090</v>
      </c>
      <c r="G3" s="117" t="s">
        <v>2091</v>
      </c>
      <c r="H3" s="117" t="s">
        <v>2092</v>
      </c>
      <c r="I3" s="121" t="s">
        <v>1972</v>
      </c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2" t="s">
        <v>1973</v>
      </c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18" t="s">
        <v>2093</v>
      </c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9" t="s">
        <v>2094</v>
      </c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8" t="s">
        <v>2093</v>
      </c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20" t="s">
        <v>2094</v>
      </c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</row>
    <row r="4" spans="1:86" ht="31.5" customHeight="1">
      <c r="A4" s="117"/>
      <c r="B4" s="117"/>
      <c r="C4" s="117"/>
      <c r="D4" s="117"/>
      <c r="E4" s="117"/>
      <c r="F4" s="117"/>
      <c r="G4" s="117"/>
      <c r="H4" s="117"/>
      <c r="I4" s="81">
        <v>1</v>
      </c>
      <c r="J4" s="81">
        <v>2</v>
      </c>
      <c r="K4" s="81">
        <v>3</v>
      </c>
      <c r="L4" s="81">
        <v>4</v>
      </c>
      <c r="M4" s="81">
        <v>5</v>
      </c>
      <c r="N4" s="81">
        <v>6</v>
      </c>
      <c r="O4" s="81">
        <v>7</v>
      </c>
      <c r="P4" s="81">
        <v>8</v>
      </c>
      <c r="Q4" s="81">
        <v>9</v>
      </c>
      <c r="R4" s="81">
        <v>10</v>
      </c>
      <c r="S4" s="81">
        <v>11</v>
      </c>
      <c r="T4" s="81">
        <v>12</v>
      </c>
      <c r="U4" s="81">
        <v>13</v>
      </c>
      <c r="V4" s="82">
        <v>1</v>
      </c>
      <c r="W4" s="82">
        <v>2</v>
      </c>
      <c r="X4" s="82">
        <v>3</v>
      </c>
      <c r="Y4" s="82">
        <v>4</v>
      </c>
      <c r="Z4" s="82">
        <v>5</v>
      </c>
      <c r="AA4" s="82">
        <v>6</v>
      </c>
      <c r="AB4" s="82">
        <v>7</v>
      </c>
      <c r="AC4" s="82">
        <v>8</v>
      </c>
      <c r="AD4" s="82">
        <v>9</v>
      </c>
      <c r="AE4" s="82">
        <v>10</v>
      </c>
      <c r="AF4" s="82">
        <v>11</v>
      </c>
      <c r="AG4" s="82">
        <v>12</v>
      </c>
      <c r="AH4" s="82">
        <v>13</v>
      </c>
      <c r="AI4" s="81">
        <v>1</v>
      </c>
      <c r="AJ4" s="81">
        <v>2</v>
      </c>
      <c r="AK4" s="81">
        <v>3</v>
      </c>
      <c r="AL4" s="81">
        <v>4</v>
      </c>
      <c r="AM4" s="81">
        <v>5</v>
      </c>
      <c r="AN4" s="81">
        <v>6</v>
      </c>
      <c r="AO4" s="81">
        <v>7</v>
      </c>
      <c r="AP4" s="81">
        <v>8</v>
      </c>
      <c r="AQ4" s="81">
        <v>9</v>
      </c>
      <c r="AR4" s="81">
        <v>10</v>
      </c>
      <c r="AS4" s="81">
        <v>11</v>
      </c>
      <c r="AT4" s="81">
        <v>12</v>
      </c>
      <c r="AU4" s="81">
        <v>13</v>
      </c>
      <c r="AV4" s="82">
        <v>1</v>
      </c>
      <c r="AW4" s="82">
        <v>2</v>
      </c>
      <c r="AX4" s="82">
        <v>3</v>
      </c>
      <c r="AY4" s="82">
        <v>4</v>
      </c>
      <c r="AZ4" s="82">
        <v>5</v>
      </c>
      <c r="BA4" s="82">
        <v>6</v>
      </c>
      <c r="BB4" s="82">
        <v>7</v>
      </c>
      <c r="BC4" s="82">
        <v>8</v>
      </c>
      <c r="BD4" s="82">
        <v>9</v>
      </c>
      <c r="BE4" s="82">
        <v>10</v>
      </c>
      <c r="BF4" s="82">
        <v>11</v>
      </c>
      <c r="BG4" s="82">
        <v>12</v>
      </c>
      <c r="BH4" s="82">
        <v>13</v>
      </c>
      <c r="BI4" s="81">
        <v>1</v>
      </c>
      <c r="BJ4" s="81">
        <v>2</v>
      </c>
      <c r="BK4" s="81">
        <v>3</v>
      </c>
      <c r="BL4" s="81">
        <v>4</v>
      </c>
      <c r="BM4" s="81">
        <v>5</v>
      </c>
      <c r="BN4" s="81">
        <v>6</v>
      </c>
      <c r="BO4" s="81">
        <v>7</v>
      </c>
      <c r="BP4" s="81">
        <v>8</v>
      </c>
      <c r="BQ4" s="81">
        <v>9</v>
      </c>
      <c r="BR4" s="81">
        <v>10</v>
      </c>
      <c r="BS4" s="81">
        <v>11</v>
      </c>
      <c r="BT4" s="81">
        <v>12</v>
      </c>
      <c r="BU4" s="81">
        <v>13</v>
      </c>
      <c r="BV4" s="95">
        <v>1</v>
      </c>
      <c r="BW4" s="95">
        <v>2</v>
      </c>
      <c r="BX4" s="95">
        <v>3</v>
      </c>
      <c r="BY4" s="95">
        <v>4</v>
      </c>
      <c r="BZ4" s="95">
        <v>5</v>
      </c>
      <c r="CA4" s="95">
        <v>6</v>
      </c>
      <c r="CB4" s="95">
        <v>7</v>
      </c>
      <c r="CC4" s="95">
        <v>8</v>
      </c>
      <c r="CD4" s="95">
        <v>9</v>
      </c>
      <c r="CE4" s="95">
        <v>10</v>
      </c>
      <c r="CF4" s="95">
        <v>11</v>
      </c>
      <c r="CG4" s="95">
        <v>12</v>
      </c>
      <c r="CH4" s="95">
        <v>13</v>
      </c>
    </row>
    <row r="5" spans="1:86" ht="15.75" customHeight="1">
      <c r="A5" s="77" t="s">
        <v>13</v>
      </c>
      <c r="B5" s="77" t="s">
        <v>14</v>
      </c>
      <c r="C5" s="77">
        <v>2661902</v>
      </c>
      <c r="D5" s="77" t="s">
        <v>15</v>
      </c>
      <c r="E5" s="77">
        <v>51</v>
      </c>
      <c r="F5" s="77">
        <f t="shared" ref="F5:F35" si="0">LARGE(I5:AH5,1)</f>
        <v>53.42</v>
      </c>
      <c r="G5" s="77" t="s">
        <v>2082</v>
      </c>
      <c r="H5" s="77">
        <f>F5-E5</f>
        <v>2.4200000000000017</v>
      </c>
      <c r="I5" s="83">
        <v>37.51</v>
      </c>
      <c r="J5" s="83">
        <v>37.71</v>
      </c>
      <c r="K5" s="83">
        <v>37.950000000000003</v>
      </c>
      <c r="L5" s="83">
        <v>40.82</v>
      </c>
      <c r="M5" s="83">
        <v>42.34</v>
      </c>
      <c r="N5" s="83">
        <v>38.81</v>
      </c>
      <c r="O5" s="83">
        <v>36.79</v>
      </c>
      <c r="P5" s="83">
        <v>31</v>
      </c>
      <c r="Q5" s="83">
        <v>25.96</v>
      </c>
      <c r="R5" s="83">
        <v>29.48</v>
      </c>
      <c r="S5" s="83">
        <v>43.6</v>
      </c>
      <c r="T5" s="83">
        <v>40.57</v>
      </c>
      <c r="U5" s="83">
        <v>45.11</v>
      </c>
      <c r="V5" s="84">
        <v>42.67</v>
      </c>
      <c r="W5" s="84">
        <v>42.97</v>
      </c>
      <c r="X5" s="84">
        <v>43.45</v>
      </c>
      <c r="Y5" s="84">
        <v>49.39</v>
      </c>
      <c r="Z5" s="84">
        <v>49.39</v>
      </c>
      <c r="AA5" s="84">
        <v>45.11</v>
      </c>
      <c r="AB5" s="84">
        <v>39.06</v>
      </c>
      <c r="AC5" s="84">
        <v>33.26</v>
      </c>
      <c r="AD5" s="84">
        <v>29.99</v>
      </c>
      <c r="AE5" s="84">
        <v>35.28</v>
      </c>
      <c r="AF5" s="84">
        <v>47.63</v>
      </c>
      <c r="AG5" s="84">
        <v>43.09</v>
      </c>
      <c r="AH5" s="84">
        <v>53.42</v>
      </c>
      <c r="AI5" s="83">
        <f t="shared" ref="AI5:AI35" si="1">I5-E5</f>
        <v>-13.490000000000002</v>
      </c>
      <c r="AJ5" s="83">
        <f t="shared" ref="AJ5:AJ35" si="2">J5-E5</f>
        <v>-13.29</v>
      </c>
      <c r="AK5" s="83">
        <f t="shared" ref="AK5:AK35" si="3">K5-E5</f>
        <v>-13.049999999999997</v>
      </c>
      <c r="AL5" s="83">
        <f t="shared" ref="AL5:AL35" si="4">L5-E5</f>
        <v>-10.18</v>
      </c>
      <c r="AM5" s="83">
        <f t="shared" ref="AM5:AM35" si="5">M5-E5</f>
        <v>-8.6599999999999966</v>
      </c>
      <c r="AN5" s="83">
        <f t="shared" ref="AN5:AN35" si="6">N5-E5</f>
        <v>-12.189999999999998</v>
      </c>
      <c r="AO5" s="83">
        <f t="shared" ref="AO5:AO35" si="7">O5-E5</f>
        <v>-14.21</v>
      </c>
      <c r="AP5" s="83">
        <f t="shared" ref="AP5:AP35" si="8">P5-E5</f>
        <v>-20</v>
      </c>
      <c r="AQ5" s="83">
        <f t="shared" ref="AQ5:AQ35" si="9">Q5-E5</f>
        <v>-25.04</v>
      </c>
      <c r="AR5" s="83">
        <f t="shared" ref="AR5:AR35" si="10">R5-E5</f>
        <v>-21.52</v>
      </c>
      <c r="AS5" s="83">
        <f t="shared" ref="AS5:AS35" si="11">S5-E5</f>
        <v>-7.3999999999999986</v>
      </c>
      <c r="AT5" s="83">
        <f t="shared" ref="AT5:AT35" si="12">T5-E5</f>
        <v>-10.43</v>
      </c>
      <c r="AU5" s="83">
        <f t="shared" ref="AU5:AU35" si="13">U5-E5</f>
        <v>-5.8900000000000006</v>
      </c>
      <c r="AV5" s="84">
        <f t="shared" ref="AV5:AV35" si="14">V5-E5</f>
        <v>-8.3299999999999983</v>
      </c>
      <c r="AW5" s="84">
        <f t="shared" ref="AW5:AW35" si="15">W5-E5</f>
        <v>-8.0300000000000011</v>
      </c>
      <c r="AX5" s="84">
        <f t="shared" ref="AX5:AX35" si="16">X5-E5</f>
        <v>-7.5499999999999972</v>
      </c>
      <c r="AY5" s="84">
        <f t="shared" ref="AY5:AY35" si="17">Y5-K5</f>
        <v>11.439999999999998</v>
      </c>
      <c r="AZ5" s="84">
        <f t="shared" ref="AZ5:AZ35" si="18">Z5-E5</f>
        <v>-1.6099999999999994</v>
      </c>
      <c r="BA5" s="84">
        <f t="shared" ref="BA5:BA35" si="19">AA5-E5</f>
        <v>-5.8900000000000006</v>
      </c>
      <c r="BB5" s="84">
        <f t="shared" ref="BB5:BB35" si="20">AB5-E5</f>
        <v>-11.939999999999998</v>
      </c>
      <c r="BC5" s="84">
        <f t="shared" ref="BC5:BC35" si="21">AC5-E5</f>
        <v>-17.740000000000002</v>
      </c>
      <c r="BD5" s="84">
        <f t="shared" ref="BD5:BD35" si="22">AD5-E5</f>
        <v>-21.01</v>
      </c>
      <c r="BE5" s="84">
        <f t="shared" ref="BE5:BE35" si="23">AE5-E5</f>
        <v>-15.719999999999999</v>
      </c>
      <c r="BF5" s="84">
        <f t="shared" ref="BF5:BF35" si="24">AF5-E5</f>
        <v>-3.3699999999999974</v>
      </c>
      <c r="BG5" s="84">
        <f t="shared" ref="BG5:BG35" si="25">AG5-E5</f>
        <v>-7.9099999999999966</v>
      </c>
      <c r="BH5" s="84">
        <f t="shared" ref="BH5:BH35" si="26">AH5-E5</f>
        <v>2.4200000000000017</v>
      </c>
      <c r="BI5" s="85">
        <f t="shared" ref="BI5:BR6" si="27">AI5*101.4</f>
        <v>-1367.8860000000002</v>
      </c>
      <c r="BJ5" s="85">
        <f t="shared" si="27"/>
        <v>-1347.606</v>
      </c>
      <c r="BK5" s="85">
        <f t="shared" si="27"/>
        <v>-1323.2699999999998</v>
      </c>
      <c r="BL5" s="85">
        <f t="shared" si="27"/>
        <v>-1032.252</v>
      </c>
      <c r="BM5" s="85">
        <f t="shared" si="27"/>
        <v>-878.12399999999968</v>
      </c>
      <c r="BN5" s="85">
        <f t="shared" si="27"/>
        <v>-1236.0659999999998</v>
      </c>
      <c r="BO5" s="85">
        <f t="shared" si="27"/>
        <v>-1440.8940000000002</v>
      </c>
      <c r="BP5" s="85">
        <f t="shared" si="27"/>
        <v>-2028</v>
      </c>
      <c r="BQ5" s="85">
        <f t="shared" si="27"/>
        <v>-2539.056</v>
      </c>
      <c r="BR5" s="85">
        <f t="shared" si="27"/>
        <v>-2182.1280000000002</v>
      </c>
      <c r="BS5" s="85">
        <f t="shared" ref="BS5:CB6" si="28">AS5*101.4</f>
        <v>-750.3599999999999</v>
      </c>
      <c r="BT5" s="85">
        <f t="shared" si="28"/>
        <v>-1057.6020000000001</v>
      </c>
      <c r="BU5" s="85">
        <f t="shared" si="28"/>
        <v>-597.24600000000009</v>
      </c>
      <c r="BV5" s="86">
        <f t="shared" si="28"/>
        <v>-844.66199999999992</v>
      </c>
      <c r="BW5" s="86">
        <f t="shared" si="28"/>
        <v>-814.24200000000019</v>
      </c>
      <c r="BX5" s="86">
        <f t="shared" si="28"/>
        <v>-765.56999999999971</v>
      </c>
      <c r="BY5" s="86">
        <f t="shared" si="28"/>
        <v>1160.0159999999998</v>
      </c>
      <c r="BZ5" s="86">
        <f t="shared" si="28"/>
        <v>-163.25399999999996</v>
      </c>
      <c r="CA5" s="86">
        <f t="shared" si="28"/>
        <v>-597.24600000000009</v>
      </c>
      <c r="CB5" s="86">
        <f t="shared" si="28"/>
        <v>-1210.7159999999999</v>
      </c>
      <c r="CC5" s="86">
        <f t="shared" ref="CC5:CH6" si="29">BC5*101.4</f>
        <v>-1798.8360000000002</v>
      </c>
      <c r="CD5" s="86">
        <f t="shared" si="29"/>
        <v>-2130.4140000000002</v>
      </c>
      <c r="CE5" s="86">
        <f t="shared" si="29"/>
        <v>-1594.008</v>
      </c>
      <c r="CF5" s="86">
        <f t="shared" si="29"/>
        <v>-341.71799999999973</v>
      </c>
      <c r="CG5" s="86">
        <f t="shared" si="29"/>
        <v>-802.07399999999973</v>
      </c>
      <c r="CH5" s="86">
        <f t="shared" si="29"/>
        <v>245.38800000000018</v>
      </c>
    </row>
    <row r="6" spans="1:86" ht="30" customHeight="1">
      <c r="A6" s="77" t="s">
        <v>17</v>
      </c>
      <c r="B6" s="77" t="s">
        <v>18</v>
      </c>
      <c r="C6" s="77">
        <v>26202</v>
      </c>
      <c r="D6" s="77" t="s">
        <v>15</v>
      </c>
      <c r="E6" s="77">
        <v>370</v>
      </c>
      <c r="F6" s="77">
        <f t="shared" si="0"/>
        <v>563.65</v>
      </c>
      <c r="G6" s="77" t="s">
        <v>2082</v>
      </c>
      <c r="H6" s="77">
        <f>F6-E6</f>
        <v>193.64999999999998</v>
      </c>
      <c r="I6" s="83">
        <v>454.44</v>
      </c>
      <c r="J6" s="83">
        <v>470.4</v>
      </c>
      <c r="K6" s="83">
        <v>473.75</v>
      </c>
      <c r="L6" s="83">
        <v>469.56</v>
      </c>
      <c r="M6" s="83">
        <v>432.6</v>
      </c>
      <c r="N6" s="83">
        <v>421.68</v>
      </c>
      <c r="O6" s="83">
        <v>411.6</v>
      </c>
      <c r="P6" s="83">
        <v>381.36</v>
      </c>
      <c r="Q6" s="83">
        <v>374.64</v>
      </c>
      <c r="R6" s="83">
        <v>351.96</v>
      </c>
      <c r="S6" s="83">
        <v>441</v>
      </c>
      <c r="T6" s="83">
        <v>445.2</v>
      </c>
      <c r="U6" s="83">
        <v>478.8</v>
      </c>
      <c r="V6" s="84">
        <v>559.44000000000005</v>
      </c>
      <c r="W6" s="84">
        <v>563.64</v>
      </c>
      <c r="X6" s="84">
        <v>557.76</v>
      </c>
      <c r="Y6" s="84">
        <v>556.08000000000004</v>
      </c>
      <c r="Z6" s="84">
        <v>489.72</v>
      </c>
      <c r="AA6" s="84">
        <v>491.4</v>
      </c>
      <c r="AB6" s="84">
        <v>491.4</v>
      </c>
      <c r="AC6" s="84">
        <v>424.2</v>
      </c>
      <c r="AD6" s="84">
        <v>434.28</v>
      </c>
      <c r="AE6" s="84">
        <v>441</v>
      </c>
      <c r="AF6" s="84">
        <v>510.72</v>
      </c>
      <c r="AG6" s="84">
        <v>502.32</v>
      </c>
      <c r="AH6" s="84">
        <v>563.65</v>
      </c>
      <c r="AI6" s="83">
        <f t="shared" si="1"/>
        <v>84.44</v>
      </c>
      <c r="AJ6" s="83">
        <f t="shared" si="2"/>
        <v>100.39999999999998</v>
      </c>
      <c r="AK6" s="83">
        <f t="shared" si="3"/>
        <v>103.75</v>
      </c>
      <c r="AL6" s="83">
        <f t="shared" si="4"/>
        <v>99.56</v>
      </c>
      <c r="AM6" s="83">
        <f t="shared" si="5"/>
        <v>62.600000000000023</v>
      </c>
      <c r="AN6" s="83">
        <f t="shared" si="6"/>
        <v>51.680000000000007</v>
      </c>
      <c r="AO6" s="83">
        <f t="shared" si="7"/>
        <v>41.600000000000023</v>
      </c>
      <c r="AP6" s="83">
        <f t="shared" si="8"/>
        <v>11.360000000000014</v>
      </c>
      <c r="AQ6" s="83">
        <f t="shared" si="9"/>
        <v>4.6399999999999864</v>
      </c>
      <c r="AR6" s="83">
        <f t="shared" si="10"/>
        <v>-18.04000000000002</v>
      </c>
      <c r="AS6" s="83">
        <f t="shared" si="11"/>
        <v>71</v>
      </c>
      <c r="AT6" s="83">
        <f t="shared" si="12"/>
        <v>75.199999999999989</v>
      </c>
      <c r="AU6" s="83">
        <f t="shared" si="13"/>
        <v>108.80000000000001</v>
      </c>
      <c r="AV6" s="84">
        <f t="shared" si="14"/>
        <v>189.44000000000005</v>
      </c>
      <c r="AW6" s="84">
        <f t="shared" si="15"/>
        <v>193.64</v>
      </c>
      <c r="AX6" s="84">
        <f t="shared" si="16"/>
        <v>187.76</v>
      </c>
      <c r="AY6" s="84">
        <f t="shared" si="17"/>
        <v>82.330000000000041</v>
      </c>
      <c r="AZ6" s="84">
        <f t="shared" si="18"/>
        <v>119.72000000000003</v>
      </c>
      <c r="BA6" s="84">
        <f t="shared" si="19"/>
        <v>121.39999999999998</v>
      </c>
      <c r="BB6" s="84">
        <f t="shared" si="20"/>
        <v>121.39999999999998</v>
      </c>
      <c r="BC6" s="84">
        <f t="shared" si="21"/>
        <v>54.199999999999989</v>
      </c>
      <c r="BD6" s="84">
        <f t="shared" si="22"/>
        <v>64.279999999999973</v>
      </c>
      <c r="BE6" s="84">
        <f t="shared" si="23"/>
        <v>71</v>
      </c>
      <c r="BF6" s="84">
        <f t="shared" si="24"/>
        <v>140.72000000000003</v>
      </c>
      <c r="BG6" s="84">
        <f t="shared" si="25"/>
        <v>132.32</v>
      </c>
      <c r="BH6" s="84">
        <f t="shared" si="26"/>
        <v>193.64999999999998</v>
      </c>
      <c r="BI6" s="85">
        <f t="shared" si="27"/>
        <v>8562.2160000000003</v>
      </c>
      <c r="BJ6" s="85">
        <f t="shared" si="27"/>
        <v>10180.559999999998</v>
      </c>
      <c r="BK6" s="85">
        <f t="shared" si="27"/>
        <v>10520.25</v>
      </c>
      <c r="BL6" s="85">
        <f t="shared" si="27"/>
        <v>10095.384</v>
      </c>
      <c r="BM6" s="85">
        <f t="shared" si="27"/>
        <v>6347.6400000000031</v>
      </c>
      <c r="BN6" s="85">
        <f t="shared" si="27"/>
        <v>5240.3520000000008</v>
      </c>
      <c r="BO6" s="85">
        <f t="shared" si="27"/>
        <v>4218.2400000000025</v>
      </c>
      <c r="BP6" s="85">
        <f t="shared" si="27"/>
        <v>1151.9040000000014</v>
      </c>
      <c r="BQ6" s="85">
        <f t="shared" si="27"/>
        <v>470.49599999999862</v>
      </c>
      <c r="BR6" s="85">
        <f t="shared" si="27"/>
        <v>-1829.2560000000021</v>
      </c>
      <c r="BS6" s="85">
        <f t="shared" si="28"/>
        <v>7199.4000000000005</v>
      </c>
      <c r="BT6" s="85">
        <f t="shared" si="28"/>
        <v>7625.2799999999988</v>
      </c>
      <c r="BU6" s="85">
        <f t="shared" si="28"/>
        <v>11032.320000000002</v>
      </c>
      <c r="BV6" s="86">
        <f t="shared" si="28"/>
        <v>19209.216000000008</v>
      </c>
      <c r="BW6" s="86">
        <f t="shared" si="28"/>
        <v>19635.096000000001</v>
      </c>
      <c r="BX6" s="86">
        <f t="shared" si="28"/>
        <v>19038.864000000001</v>
      </c>
      <c r="BY6" s="86">
        <f t="shared" si="28"/>
        <v>8348.2620000000043</v>
      </c>
      <c r="BZ6" s="86">
        <f t="shared" si="28"/>
        <v>12139.608000000004</v>
      </c>
      <c r="CA6" s="86">
        <f t="shared" si="28"/>
        <v>12309.96</v>
      </c>
      <c r="CB6" s="86">
        <f t="shared" si="28"/>
        <v>12309.96</v>
      </c>
      <c r="CC6" s="86">
        <f t="shared" si="29"/>
        <v>5495.8799999999992</v>
      </c>
      <c r="CD6" s="86">
        <f t="shared" si="29"/>
        <v>6517.9919999999975</v>
      </c>
      <c r="CE6" s="86">
        <f t="shared" si="29"/>
        <v>7199.4000000000005</v>
      </c>
      <c r="CF6" s="86">
        <f t="shared" si="29"/>
        <v>14269.008000000003</v>
      </c>
      <c r="CG6" s="86">
        <f t="shared" si="29"/>
        <v>13417.248</v>
      </c>
      <c r="CH6" s="86">
        <f t="shared" si="29"/>
        <v>19636.11</v>
      </c>
    </row>
    <row r="7" spans="1:86">
      <c r="A7" s="77" t="s">
        <v>17</v>
      </c>
      <c r="B7" s="77" t="s">
        <v>19</v>
      </c>
      <c r="C7" s="77">
        <v>3850</v>
      </c>
      <c r="D7" s="77" t="s">
        <v>2080</v>
      </c>
      <c r="E7" s="77">
        <v>400</v>
      </c>
      <c r="F7" s="77">
        <f t="shared" si="0"/>
        <v>497.28</v>
      </c>
      <c r="G7" s="77" t="s">
        <v>2082</v>
      </c>
      <c r="H7" s="77">
        <f>F7-E7</f>
        <v>97.279999999999973</v>
      </c>
      <c r="I7" s="83">
        <v>342.72</v>
      </c>
      <c r="J7" s="83">
        <v>343.56</v>
      </c>
      <c r="K7" s="83">
        <v>371.28</v>
      </c>
      <c r="L7" s="83">
        <v>351.12</v>
      </c>
      <c r="M7" s="83">
        <v>337.68</v>
      </c>
      <c r="N7" s="83">
        <v>335.16</v>
      </c>
      <c r="O7" s="83">
        <v>288.95999999999998</v>
      </c>
      <c r="P7" s="83">
        <v>276.36</v>
      </c>
      <c r="Q7" s="83">
        <v>273.83999999999997</v>
      </c>
      <c r="R7" s="83">
        <v>283.92</v>
      </c>
      <c r="S7" s="83">
        <v>346.08</v>
      </c>
      <c r="T7" s="83">
        <v>346.08</v>
      </c>
      <c r="U7" s="83">
        <v>366.24</v>
      </c>
      <c r="V7" s="84">
        <v>462.84</v>
      </c>
      <c r="W7" s="84">
        <v>440.16</v>
      </c>
      <c r="X7" s="84">
        <v>497.28</v>
      </c>
      <c r="Y7" s="84">
        <v>463.68</v>
      </c>
      <c r="Z7" s="84">
        <v>435.12</v>
      </c>
      <c r="AA7" s="84">
        <v>416.64</v>
      </c>
      <c r="AB7" s="84">
        <v>388.92</v>
      </c>
      <c r="AC7" s="84">
        <v>355.32</v>
      </c>
      <c r="AD7" s="84">
        <v>357.84</v>
      </c>
      <c r="AE7" s="84">
        <v>367.92</v>
      </c>
      <c r="AF7" s="84">
        <v>451.92</v>
      </c>
      <c r="AG7" s="84">
        <v>430.92</v>
      </c>
      <c r="AH7" s="84">
        <v>479.64</v>
      </c>
      <c r="AI7" s="83">
        <f t="shared" si="1"/>
        <v>-57.279999999999973</v>
      </c>
      <c r="AJ7" s="83">
        <f t="shared" si="2"/>
        <v>-56.44</v>
      </c>
      <c r="AK7" s="83">
        <f t="shared" si="3"/>
        <v>-28.720000000000027</v>
      </c>
      <c r="AL7" s="83">
        <f t="shared" si="4"/>
        <v>-48.879999999999995</v>
      </c>
      <c r="AM7" s="83">
        <f t="shared" si="5"/>
        <v>-62.319999999999993</v>
      </c>
      <c r="AN7" s="83">
        <f t="shared" si="6"/>
        <v>-64.839999999999975</v>
      </c>
      <c r="AO7" s="83">
        <f t="shared" si="7"/>
        <v>-111.04000000000002</v>
      </c>
      <c r="AP7" s="83">
        <f t="shared" si="8"/>
        <v>-123.63999999999999</v>
      </c>
      <c r="AQ7" s="83">
        <f t="shared" si="9"/>
        <v>-126.16000000000003</v>
      </c>
      <c r="AR7" s="83">
        <f t="shared" si="10"/>
        <v>-116.07999999999998</v>
      </c>
      <c r="AS7" s="83">
        <f t="shared" si="11"/>
        <v>-53.920000000000016</v>
      </c>
      <c r="AT7" s="83">
        <f t="shared" si="12"/>
        <v>-53.920000000000016</v>
      </c>
      <c r="AU7" s="83">
        <f t="shared" si="13"/>
        <v>-33.759999999999991</v>
      </c>
      <c r="AV7" s="84">
        <f t="shared" si="14"/>
        <v>62.839999999999975</v>
      </c>
      <c r="AW7" s="84">
        <f t="shared" si="15"/>
        <v>40.160000000000025</v>
      </c>
      <c r="AX7" s="84">
        <f t="shared" si="16"/>
        <v>97.279999999999973</v>
      </c>
      <c r="AY7" s="84">
        <f t="shared" si="17"/>
        <v>92.400000000000034</v>
      </c>
      <c r="AZ7" s="84">
        <f t="shared" si="18"/>
        <v>35.120000000000005</v>
      </c>
      <c r="BA7" s="84">
        <f t="shared" si="19"/>
        <v>16.639999999999986</v>
      </c>
      <c r="BB7" s="84">
        <f t="shared" si="20"/>
        <v>-11.079999999999984</v>
      </c>
      <c r="BC7" s="84">
        <f t="shared" si="21"/>
        <v>-44.680000000000007</v>
      </c>
      <c r="BD7" s="84">
        <f t="shared" si="22"/>
        <v>-42.160000000000025</v>
      </c>
      <c r="BE7" s="84">
        <f t="shared" si="23"/>
        <v>-32.079999999999984</v>
      </c>
      <c r="BF7" s="84">
        <f t="shared" si="24"/>
        <v>51.920000000000016</v>
      </c>
      <c r="BG7" s="84">
        <f t="shared" si="25"/>
        <v>30.920000000000016</v>
      </c>
      <c r="BH7" s="84">
        <f t="shared" si="26"/>
        <v>79.639999999999986</v>
      </c>
      <c r="BI7" s="85">
        <f t="shared" ref="BI7:BU7" si="30">AI7*50.46</f>
        <v>-2890.3487999999988</v>
      </c>
      <c r="BJ7" s="85">
        <f t="shared" si="30"/>
        <v>-2847.9623999999999</v>
      </c>
      <c r="BK7" s="85">
        <f t="shared" si="30"/>
        <v>-1449.2112000000013</v>
      </c>
      <c r="BL7" s="85">
        <f t="shared" si="30"/>
        <v>-2466.4847999999997</v>
      </c>
      <c r="BM7" s="85">
        <f t="shared" si="30"/>
        <v>-3144.6671999999999</v>
      </c>
      <c r="BN7" s="85">
        <f t="shared" si="30"/>
        <v>-3271.826399999999</v>
      </c>
      <c r="BO7" s="85">
        <f t="shared" si="30"/>
        <v>-5603.0784000000012</v>
      </c>
      <c r="BP7" s="85">
        <f t="shared" si="30"/>
        <v>-6238.8743999999997</v>
      </c>
      <c r="BQ7" s="85">
        <f t="shared" si="30"/>
        <v>-6366.0336000000016</v>
      </c>
      <c r="BR7" s="85">
        <f t="shared" si="30"/>
        <v>-5857.3967999999995</v>
      </c>
      <c r="BS7" s="85">
        <f t="shared" si="30"/>
        <v>-2720.8032000000007</v>
      </c>
      <c r="BT7" s="85">
        <f t="shared" si="30"/>
        <v>-2720.8032000000007</v>
      </c>
      <c r="BU7" s="85">
        <f t="shared" si="30"/>
        <v>-1703.5295999999996</v>
      </c>
      <c r="BV7" s="86">
        <f t="shared" ref="BV7:CH7" si="31">AV7*99.01809</f>
        <v>6222.296775599998</v>
      </c>
      <c r="BW7" s="86">
        <f t="shared" si="31"/>
        <v>3976.5664944000023</v>
      </c>
      <c r="BX7" s="86">
        <f t="shared" si="31"/>
        <v>9632.4797951999972</v>
      </c>
      <c r="BY7" s="86">
        <f t="shared" si="31"/>
        <v>9149.2715160000043</v>
      </c>
      <c r="BZ7" s="86">
        <f t="shared" si="31"/>
        <v>3477.5153208000006</v>
      </c>
      <c r="CA7" s="86">
        <f t="shared" si="31"/>
        <v>1647.6610175999986</v>
      </c>
      <c r="CB7" s="86">
        <f t="shared" si="31"/>
        <v>-1097.1204371999984</v>
      </c>
      <c r="CC7" s="86">
        <f t="shared" si="31"/>
        <v>-4424.1282612000005</v>
      </c>
      <c r="CD7" s="86">
        <f t="shared" si="31"/>
        <v>-4174.6026744000028</v>
      </c>
      <c r="CE7" s="86">
        <f t="shared" si="31"/>
        <v>-3176.5003271999985</v>
      </c>
      <c r="CF7" s="86">
        <f t="shared" si="31"/>
        <v>5141.0192328000012</v>
      </c>
      <c r="CG7" s="86">
        <f t="shared" si="31"/>
        <v>3061.6393428000015</v>
      </c>
      <c r="CH7" s="86">
        <f t="shared" si="31"/>
        <v>7885.800687599999</v>
      </c>
    </row>
    <row r="8" spans="1:86">
      <c r="A8" s="77" t="s">
        <v>17</v>
      </c>
      <c r="B8" s="77" t="s">
        <v>20</v>
      </c>
      <c r="C8" s="77">
        <v>3851</v>
      </c>
      <c r="D8" s="77" t="s">
        <v>15</v>
      </c>
      <c r="E8" s="77">
        <v>50</v>
      </c>
      <c r="F8" s="77">
        <f t="shared" si="0"/>
        <v>147.84</v>
      </c>
      <c r="G8" s="77" t="s">
        <v>2082</v>
      </c>
      <c r="H8" s="77">
        <f>F8-E8</f>
        <v>97.84</v>
      </c>
      <c r="I8" s="83">
        <v>100.8</v>
      </c>
      <c r="J8" s="83">
        <v>110.88</v>
      </c>
      <c r="K8" s="83">
        <v>114.24</v>
      </c>
      <c r="L8" s="83">
        <v>104.16</v>
      </c>
      <c r="M8" s="83">
        <v>94.08</v>
      </c>
      <c r="N8" s="83">
        <v>87.36</v>
      </c>
      <c r="O8" s="83">
        <v>80.64</v>
      </c>
      <c r="P8" s="83">
        <v>73.92</v>
      </c>
      <c r="Q8" s="83">
        <v>70.56</v>
      </c>
      <c r="R8" s="83">
        <v>80.64</v>
      </c>
      <c r="S8" s="83">
        <v>90.72</v>
      </c>
      <c r="T8" s="83">
        <v>94.08</v>
      </c>
      <c r="U8" s="83">
        <v>100.8</v>
      </c>
      <c r="V8" s="84">
        <v>137.76</v>
      </c>
      <c r="W8" s="84">
        <v>144.47999999999999</v>
      </c>
      <c r="X8" s="84">
        <v>147.84</v>
      </c>
      <c r="Y8" s="84">
        <v>141.12</v>
      </c>
      <c r="Z8" s="84">
        <v>117.6</v>
      </c>
      <c r="AA8" s="84">
        <v>114.24</v>
      </c>
      <c r="AB8" s="84">
        <v>110.88</v>
      </c>
      <c r="AC8" s="84">
        <v>104.16</v>
      </c>
      <c r="AD8" s="84">
        <v>84</v>
      </c>
      <c r="AE8" s="84">
        <v>97.44</v>
      </c>
      <c r="AF8" s="84">
        <v>127.68</v>
      </c>
      <c r="AG8" s="84">
        <v>127.68</v>
      </c>
      <c r="AH8" s="84">
        <v>137.76</v>
      </c>
      <c r="AI8" s="83">
        <f t="shared" si="1"/>
        <v>50.8</v>
      </c>
      <c r="AJ8" s="83">
        <f t="shared" si="2"/>
        <v>60.879999999999995</v>
      </c>
      <c r="AK8" s="83">
        <f t="shared" si="3"/>
        <v>64.239999999999995</v>
      </c>
      <c r="AL8" s="83">
        <f t="shared" si="4"/>
        <v>54.16</v>
      </c>
      <c r="AM8" s="83">
        <f t="shared" si="5"/>
        <v>44.08</v>
      </c>
      <c r="AN8" s="83">
        <f t="shared" si="6"/>
        <v>37.36</v>
      </c>
      <c r="AO8" s="83">
        <f t="shared" si="7"/>
        <v>30.64</v>
      </c>
      <c r="AP8" s="83">
        <f t="shared" si="8"/>
        <v>23.92</v>
      </c>
      <c r="AQ8" s="83">
        <f t="shared" si="9"/>
        <v>20.560000000000002</v>
      </c>
      <c r="AR8" s="83">
        <f t="shared" si="10"/>
        <v>30.64</v>
      </c>
      <c r="AS8" s="83">
        <f t="shared" si="11"/>
        <v>40.72</v>
      </c>
      <c r="AT8" s="83">
        <f t="shared" si="12"/>
        <v>44.08</v>
      </c>
      <c r="AU8" s="83">
        <f t="shared" si="13"/>
        <v>50.8</v>
      </c>
      <c r="AV8" s="84">
        <f t="shared" si="14"/>
        <v>87.759999999999991</v>
      </c>
      <c r="AW8" s="84">
        <f t="shared" si="15"/>
        <v>94.47999999999999</v>
      </c>
      <c r="AX8" s="84">
        <f t="shared" si="16"/>
        <v>97.84</v>
      </c>
      <c r="AY8" s="84">
        <f t="shared" si="17"/>
        <v>26.88000000000001</v>
      </c>
      <c r="AZ8" s="84">
        <f t="shared" si="18"/>
        <v>67.599999999999994</v>
      </c>
      <c r="BA8" s="84">
        <f t="shared" si="19"/>
        <v>64.239999999999995</v>
      </c>
      <c r="BB8" s="84">
        <f t="shared" si="20"/>
        <v>60.879999999999995</v>
      </c>
      <c r="BC8" s="84">
        <f t="shared" si="21"/>
        <v>54.16</v>
      </c>
      <c r="BD8" s="84">
        <f t="shared" si="22"/>
        <v>34</v>
      </c>
      <c r="BE8" s="84">
        <f t="shared" si="23"/>
        <v>47.44</v>
      </c>
      <c r="BF8" s="84">
        <f t="shared" si="24"/>
        <v>77.680000000000007</v>
      </c>
      <c r="BG8" s="84">
        <f t="shared" si="25"/>
        <v>77.680000000000007</v>
      </c>
      <c r="BH8" s="84">
        <f t="shared" si="26"/>
        <v>87.759999999999991</v>
      </c>
      <c r="BI8" s="85">
        <f t="shared" ref="BI8:BI27" si="32">AI8*101.4</f>
        <v>5151.12</v>
      </c>
      <c r="BJ8" s="85">
        <f t="shared" ref="BJ8:BJ27" si="33">AJ8*101.4</f>
        <v>6173.232</v>
      </c>
      <c r="BK8" s="85">
        <f t="shared" ref="BK8:BK27" si="34">AK8*101.4</f>
        <v>6513.9359999999997</v>
      </c>
      <c r="BL8" s="85">
        <f t="shared" ref="BL8:BL27" si="35">AL8*101.4</f>
        <v>5491.8239999999996</v>
      </c>
      <c r="BM8" s="85">
        <f t="shared" ref="BM8:BM27" si="36">AM8*101.4</f>
        <v>4469.7120000000004</v>
      </c>
      <c r="BN8" s="85">
        <f t="shared" ref="BN8:BN27" si="37">AN8*101.4</f>
        <v>3788.3040000000001</v>
      </c>
      <c r="BO8" s="85">
        <f t="shared" ref="BO8:BO27" si="38">AO8*101.4</f>
        <v>3106.8960000000002</v>
      </c>
      <c r="BP8" s="85">
        <f t="shared" ref="BP8:BP27" si="39">AP8*101.4</f>
        <v>2425.4880000000003</v>
      </c>
      <c r="BQ8" s="85">
        <f t="shared" ref="BQ8:BQ27" si="40">AQ8*101.4</f>
        <v>2084.7840000000006</v>
      </c>
      <c r="BR8" s="85">
        <f t="shared" ref="BR8:BR27" si="41">AR8*101.4</f>
        <v>3106.8960000000002</v>
      </c>
      <c r="BS8" s="85">
        <f t="shared" ref="BS8:BS27" si="42">AS8*101.4</f>
        <v>4129.0079999999998</v>
      </c>
      <c r="BT8" s="85">
        <f t="shared" ref="BT8:BT27" si="43">AT8*101.4</f>
        <v>4469.7120000000004</v>
      </c>
      <c r="BU8" s="85">
        <f t="shared" ref="BU8:BU27" si="44">AU8*101.4</f>
        <v>5151.12</v>
      </c>
      <c r="BV8" s="86">
        <f t="shared" ref="BV8:BV27" si="45">AV8*101.4</f>
        <v>8898.8639999999996</v>
      </c>
      <c r="BW8" s="86">
        <f t="shared" ref="BW8:BW27" si="46">AW8*101.4</f>
        <v>9580.271999999999</v>
      </c>
      <c r="BX8" s="86">
        <f t="shared" ref="BX8:BX27" si="47">AX8*101.4</f>
        <v>9920.9760000000006</v>
      </c>
      <c r="BY8" s="86">
        <f t="shared" ref="BY8:BY27" si="48">AY8*101.4</f>
        <v>2725.632000000001</v>
      </c>
      <c r="BZ8" s="86">
        <f t="shared" ref="BZ8:BZ27" si="49">AZ8*101.4</f>
        <v>6854.6399999999994</v>
      </c>
      <c r="CA8" s="86">
        <f t="shared" ref="CA8:CA27" si="50">BA8*101.4</f>
        <v>6513.9359999999997</v>
      </c>
      <c r="CB8" s="86">
        <f t="shared" ref="CB8:CB27" si="51">BB8*101.4</f>
        <v>6173.232</v>
      </c>
      <c r="CC8" s="86">
        <f t="shared" ref="CC8:CC27" si="52">BC8*101.4</f>
        <v>5491.8239999999996</v>
      </c>
      <c r="CD8" s="86">
        <f t="shared" ref="CD8:CD27" si="53">BD8*101.4</f>
        <v>3447.6000000000004</v>
      </c>
      <c r="CE8" s="86">
        <f t="shared" ref="CE8:CE27" si="54">BE8*101.4</f>
        <v>4810.4160000000002</v>
      </c>
      <c r="CF8" s="86">
        <f t="shared" ref="CF8:CF27" si="55">BF8*101.4</f>
        <v>7876.7520000000013</v>
      </c>
      <c r="CG8" s="86">
        <f t="shared" ref="CG8:CG27" si="56">BG8*101.4</f>
        <v>7876.7520000000013</v>
      </c>
      <c r="CH8" s="86">
        <f t="shared" ref="CH8:CH27" si="57">BH8*101.4</f>
        <v>8898.8639999999996</v>
      </c>
    </row>
    <row r="9" spans="1:86">
      <c r="A9" s="77" t="s">
        <v>17</v>
      </c>
      <c r="B9" s="77" t="s">
        <v>21</v>
      </c>
      <c r="C9" s="77">
        <v>2876469</v>
      </c>
      <c r="D9" s="77" t="s">
        <v>15</v>
      </c>
      <c r="E9" s="77">
        <v>35</v>
      </c>
      <c r="F9" s="77">
        <f t="shared" si="0"/>
        <v>6.72</v>
      </c>
      <c r="G9" s="77">
        <f>E9-F9</f>
        <v>28.28</v>
      </c>
      <c r="H9" s="77" t="s">
        <v>2082</v>
      </c>
      <c r="I9" s="83">
        <v>5.04</v>
      </c>
      <c r="J9" s="83">
        <v>5.04</v>
      </c>
      <c r="K9" s="83">
        <v>5.04</v>
      </c>
      <c r="L9" s="83">
        <v>5.04</v>
      </c>
      <c r="M9" s="83">
        <v>5.04</v>
      </c>
      <c r="N9" s="83">
        <v>5.04</v>
      </c>
      <c r="O9" s="83">
        <v>5.04</v>
      </c>
      <c r="P9" s="83">
        <v>5.04</v>
      </c>
      <c r="Q9" s="83">
        <v>5.04</v>
      </c>
      <c r="R9" s="83">
        <v>5.04</v>
      </c>
      <c r="S9" s="83">
        <v>5.04</v>
      </c>
      <c r="T9" s="83">
        <v>5.04</v>
      </c>
      <c r="U9" s="83">
        <v>6.72</v>
      </c>
      <c r="V9" s="84">
        <v>6.72</v>
      </c>
      <c r="W9" s="84">
        <v>6.72</v>
      </c>
      <c r="X9" s="84">
        <v>6.72</v>
      </c>
      <c r="Y9" s="84">
        <v>5.04</v>
      </c>
      <c r="Z9" s="84">
        <v>6.72</v>
      </c>
      <c r="AA9" s="84">
        <v>6.72</v>
      </c>
      <c r="AB9" s="84">
        <v>6.72</v>
      </c>
      <c r="AC9" s="84">
        <v>6.72</v>
      </c>
      <c r="AD9" s="84">
        <v>6.72</v>
      </c>
      <c r="AE9" s="84">
        <v>6.72</v>
      </c>
      <c r="AF9" s="84">
        <v>6.72</v>
      </c>
      <c r="AG9" s="84">
        <v>6.72</v>
      </c>
      <c r="AH9" s="84">
        <v>6.72</v>
      </c>
      <c r="AI9" s="83">
        <f t="shared" si="1"/>
        <v>-29.96</v>
      </c>
      <c r="AJ9" s="83">
        <f t="shared" si="2"/>
        <v>-29.96</v>
      </c>
      <c r="AK9" s="83">
        <f t="shared" si="3"/>
        <v>-29.96</v>
      </c>
      <c r="AL9" s="83">
        <f t="shared" si="4"/>
        <v>-29.96</v>
      </c>
      <c r="AM9" s="83">
        <f t="shared" si="5"/>
        <v>-29.96</v>
      </c>
      <c r="AN9" s="83">
        <f t="shared" si="6"/>
        <v>-29.96</v>
      </c>
      <c r="AO9" s="83">
        <f t="shared" si="7"/>
        <v>-29.96</v>
      </c>
      <c r="AP9" s="83">
        <f t="shared" si="8"/>
        <v>-29.96</v>
      </c>
      <c r="AQ9" s="83">
        <f t="shared" si="9"/>
        <v>-29.96</v>
      </c>
      <c r="AR9" s="83">
        <f t="shared" si="10"/>
        <v>-29.96</v>
      </c>
      <c r="AS9" s="83">
        <f t="shared" si="11"/>
        <v>-29.96</v>
      </c>
      <c r="AT9" s="83">
        <f t="shared" si="12"/>
        <v>-29.96</v>
      </c>
      <c r="AU9" s="83">
        <f t="shared" si="13"/>
        <v>-28.28</v>
      </c>
      <c r="AV9" s="84">
        <f t="shared" si="14"/>
        <v>-28.28</v>
      </c>
      <c r="AW9" s="84">
        <f t="shared" si="15"/>
        <v>-28.28</v>
      </c>
      <c r="AX9" s="84">
        <f t="shared" si="16"/>
        <v>-28.28</v>
      </c>
      <c r="AY9" s="84">
        <f t="shared" si="17"/>
        <v>0</v>
      </c>
      <c r="AZ9" s="84">
        <f t="shared" si="18"/>
        <v>-28.28</v>
      </c>
      <c r="BA9" s="84">
        <f t="shared" si="19"/>
        <v>-28.28</v>
      </c>
      <c r="BB9" s="84">
        <f t="shared" si="20"/>
        <v>-28.28</v>
      </c>
      <c r="BC9" s="84">
        <f t="shared" si="21"/>
        <v>-28.28</v>
      </c>
      <c r="BD9" s="84">
        <f t="shared" si="22"/>
        <v>-28.28</v>
      </c>
      <c r="BE9" s="84">
        <f t="shared" si="23"/>
        <v>-28.28</v>
      </c>
      <c r="BF9" s="84">
        <f t="shared" si="24"/>
        <v>-28.28</v>
      </c>
      <c r="BG9" s="84">
        <f t="shared" si="25"/>
        <v>-28.28</v>
      </c>
      <c r="BH9" s="84">
        <f t="shared" si="26"/>
        <v>-28.28</v>
      </c>
      <c r="BI9" s="85">
        <f t="shared" si="32"/>
        <v>-3037.9440000000004</v>
      </c>
      <c r="BJ9" s="85">
        <f t="shared" si="33"/>
        <v>-3037.9440000000004</v>
      </c>
      <c r="BK9" s="85">
        <f t="shared" si="34"/>
        <v>-3037.9440000000004</v>
      </c>
      <c r="BL9" s="85">
        <f t="shared" si="35"/>
        <v>-3037.9440000000004</v>
      </c>
      <c r="BM9" s="85">
        <f t="shared" si="36"/>
        <v>-3037.9440000000004</v>
      </c>
      <c r="BN9" s="85">
        <f t="shared" si="37"/>
        <v>-3037.9440000000004</v>
      </c>
      <c r="BO9" s="85">
        <f t="shared" si="38"/>
        <v>-3037.9440000000004</v>
      </c>
      <c r="BP9" s="85">
        <f t="shared" si="39"/>
        <v>-3037.9440000000004</v>
      </c>
      <c r="BQ9" s="85">
        <f t="shared" si="40"/>
        <v>-3037.9440000000004</v>
      </c>
      <c r="BR9" s="85">
        <f t="shared" si="41"/>
        <v>-3037.9440000000004</v>
      </c>
      <c r="BS9" s="85">
        <f t="shared" si="42"/>
        <v>-3037.9440000000004</v>
      </c>
      <c r="BT9" s="85">
        <f t="shared" si="43"/>
        <v>-3037.9440000000004</v>
      </c>
      <c r="BU9" s="85">
        <f t="shared" si="44"/>
        <v>-2867.5920000000001</v>
      </c>
      <c r="BV9" s="86">
        <f t="shared" si="45"/>
        <v>-2867.5920000000001</v>
      </c>
      <c r="BW9" s="86">
        <f t="shared" si="46"/>
        <v>-2867.5920000000001</v>
      </c>
      <c r="BX9" s="86">
        <f t="shared" si="47"/>
        <v>-2867.5920000000001</v>
      </c>
      <c r="BY9" s="86">
        <f t="shared" si="48"/>
        <v>0</v>
      </c>
      <c r="BZ9" s="86">
        <f t="shared" si="49"/>
        <v>-2867.5920000000001</v>
      </c>
      <c r="CA9" s="86">
        <f t="shared" si="50"/>
        <v>-2867.5920000000001</v>
      </c>
      <c r="CB9" s="86">
        <f t="shared" si="51"/>
        <v>-2867.5920000000001</v>
      </c>
      <c r="CC9" s="86">
        <f t="shared" si="52"/>
        <v>-2867.5920000000001</v>
      </c>
      <c r="CD9" s="86">
        <f t="shared" si="53"/>
        <v>-2867.5920000000001</v>
      </c>
      <c r="CE9" s="86">
        <f t="shared" si="54"/>
        <v>-2867.5920000000001</v>
      </c>
      <c r="CF9" s="86">
        <f t="shared" si="55"/>
        <v>-2867.5920000000001</v>
      </c>
      <c r="CG9" s="86">
        <f t="shared" si="56"/>
        <v>-2867.5920000000001</v>
      </c>
      <c r="CH9" s="86">
        <f t="shared" si="57"/>
        <v>-2867.5920000000001</v>
      </c>
    </row>
    <row r="10" spans="1:86">
      <c r="A10" s="77" t="s">
        <v>17</v>
      </c>
      <c r="B10" s="77" t="s">
        <v>22</v>
      </c>
      <c r="C10" s="77">
        <v>8354881</v>
      </c>
      <c r="D10" s="77" t="s">
        <v>15</v>
      </c>
      <c r="E10" s="77">
        <v>30</v>
      </c>
      <c r="F10" s="77">
        <f t="shared" si="0"/>
        <v>14.28</v>
      </c>
      <c r="G10" s="77">
        <f>E10-F10</f>
        <v>15.72</v>
      </c>
      <c r="H10" s="77" t="s">
        <v>2082</v>
      </c>
      <c r="I10" s="83">
        <v>4.2</v>
      </c>
      <c r="J10" s="83">
        <v>5.04</v>
      </c>
      <c r="K10" s="83">
        <v>5.88</v>
      </c>
      <c r="L10" s="83">
        <v>5.04</v>
      </c>
      <c r="M10" s="83">
        <v>5.04</v>
      </c>
      <c r="N10" s="83">
        <v>6.72</v>
      </c>
      <c r="O10" s="83">
        <v>5.88</v>
      </c>
      <c r="P10" s="83">
        <v>6.72</v>
      </c>
      <c r="Q10" s="83">
        <v>5.88</v>
      </c>
      <c r="R10" s="83">
        <v>5.88</v>
      </c>
      <c r="S10" s="83">
        <v>10.08</v>
      </c>
      <c r="T10" s="83">
        <v>10.92</v>
      </c>
      <c r="U10" s="83">
        <v>11.76</v>
      </c>
      <c r="V10" s="84">
        <v>10.08</v>
      </c>
      <c r="W10" s="84">
        <v>10.08</v>
      </c>
      <c r="X10" s="84">
        <v>9.24</v>
      </c>
      <c r="Y10" s="84">
        <v>12.6</v>
      </c>
      <c r="Z10" s="84">
        <v>9.24</v>
      </c>
      <c r="AA10" s="84">
        <v>9.24</v>
      </c>
      <c r="AB10" s="84">
        <v>9.24</v>
      </c>
      <c r="AC10" s="84">
        <v>8.4</v>
      </c>
      <c r="AD10" s="84">
        <v>6.72</v>
      </c>
      <c r="AE10" s="84">
        <v>8.4</v>
      </c>
      <c r="AF10" s="84">
        <v>12.6</v>
      </c>
      <c r="AG10" s="84">
        <v>13.44</v>
      </c>
      <c r="AH10" s="84">
        <v>14.28</v>
      </c>
      <c r="AI10" s="83">
        <f t="shared" si="1"/>
        <v>-25.8</v>
      </c>
      <c r="AJ10" s="83">
        <f t="shared" si="2"/>
        <v>-24.96</v>
      </c>
      <c r="AK10" s="83">
        <f t="shared" si="3"/>
        <v>-24.12</v>
      </c>
      <c r="AL10" s="83">
        <f t="shared" si="4"/>
        <v>-24.96</v>
      </c>
      <c r="AM10" s="83">
        <f t="shared" si="5"/>
        <v>-24.96</v>
      </c>
      <c r="AN10" s="83">
        <f t="shared" si="6"/>
        <v>-23.28</v>
      </c>
      <c r="AO10" s="83">
        <f t="shared" si="7"/>
        <v>-24.12</v>
      </c>
      <c r="AP10" s="83">
        <f t="shared" si="8"/>
        <v>-23.28</v>
      </c>
      <c r="AQ10" s="83">
        <f t="shared" si="9"/>
        <v>-24.12</v>
      </c>
      <c r="AR10" s="83">
        <f t="shared" si="10"/>
        <v>-24.12</v>
      </c>
      <c r="AS10" s="83">
        <f t="shared" si="11"/>
        <v>-19.920000000000002</v>
      </c>
      <c r="AT10" s="83">
        <f t="shared" si="12"/>
        <v>-19.079999999999998</v>
      </c>
      <c r="AU10" s="83">
        <f t="shared" si="13"/>
        <v>-18.240000000000002</v>
      </c>
      <c r="AV10" s="84">
        <f t="shared" si="14"/>
        <v>-19.920000000000002</v>
      </c>
      <c r="AW10" s="84">
        <f t="shared" si="15"/>
        <v>-19.920000000000002</v>
      </c>
      <c r="AX10" s="84">
        <f t="shared" si="16"/>
        <v>-20.759999999999998</v>
      </c>
      <c r="AY10" s="84">
        <f t="shared" si="17"/>
        <v>6.72</v>
      </c>
      <c r="AZ10" s="84">
        <f t="shared" si="18"/>
        <v>-20.759999999999998</v>
      </c>
      <c r="BA10" s="84">
        <f t="shared" si="19"/>
        <v>-20.759999999999998</v>
      </c>
      <c r="BB10" s="84">
        <f t="shared" si="20"/>
        <v>-20.759999999999998</v>
      </c>
      <c r="BC10" s="84">
        <f t="shared" si="21"/>
        <v>-21.6</v>
      </c>
      <c r="BD10" s="84">
        <f t="shared" si="22"/>
        <v>-23.28</v>
      </c>
      <c r="BE10" s="84">
        <f t="shared" si="23"/>
        <v>-21.6</v>
      </c>
      <c r="BF10" s="84">
        <f t="shared" si="24"/>
        <v>-17.399999999999999</v>
      </c>
      <c r="BG10" s="84">
        <f t="shared" si="25"/>
        <v>-16.560000000000002</v>
      </c>
      <c r="BH10" s="84">
        <f t="shared" si="26"/>
        <v>-15.72</v>
      </c>
      <c r="BI10" s="85">
        <f t="shared" si="32"/>
        <v>-2616.1200000000003</v>
      </c>
      <c r="BJ10" s="85">
        <f t="shared" si="33"/>
        <v>-2530.9440000000004</v>
      </c>
      <c r="BK10" s="85">
        <f t="shared" si="34"/>
        <v>-2445.768</v>
      </c>
      <c r="BL10" s="85">
        <f t="shared" si="35"/>
        <v>-2530.9440000000004</v>
      </c>
      <c r="BM10" s="85">
        <f t="shared" si="36"/>
        <v>-2530.9440000000004</v>
      </c>
      <c r="BN10" s="85">
        <f t="shared" si="37"/>
        <v>-2360.5920000000001</v>
      </c>
      <c r="BO10" s="85">
        <f t="shared" si="38"/>
        <v>-2445.768</v>
      </c>
      <c r="BP10" s="85">
        <f t="shared" si="39"/>
        <v>-2360.5920000000001</v>
      </c>
      <c r="BQ10" s="85">
        <f t="shared" si="40"/>
        <v>-2445.768</v>
      </c>
      <c r="BR10" s="85">
        <f t="shared" si="41"/>
        <v>-2445.768</v>
      </c>
      <c r="BS10" s="85">
        <f t="shared" si="42"/>
        <v>-2019.8880000000004</v>
      </c>
      <c r="BT10" s="85">
        <f t="shared" si="43"/>
        <v>-1934.712</v>
      </c>
      <c r="BU10" s="85">
        <f t="shared" si="44"/>
        <v>-1849.5360000000003</v>
      </c>
      <c r="BV10" s="86">
        <f t="shared" si="45"/>
        <v>-2019.8880000000004</v>
      </c>
      <c r="BW10" s="86">
        <f t="shared" si="46"/>
        <v>-2019.8880000000004</v>
      </c>
      <c r="BX10" s="86">
        <f t="shared" si="47"/>
        <v>-2105.0639999999999</v>
      </c>
      <c r="BY10" s="86">
        <f t="shared" si="48"/>
        <v>681.40800000000002</v>
      </c>
      <c r="BZ10" s="86">
        <f t="shared" si="49"/>
        <v>-2105.0639999999999</v>
      </c>
      <c r="CA10" s="86">
        <f t="shared" si="50"/>
        <v>-2105.0639999999999</v>
      </c>
      <c r="CB10" s="86">
        <f t="shared" si="51"/>
        <v>-2105.0639999999999</v>
      </c>
      <c r="CC10" s="86">
        <f t="shared" si="52"/>
        <v>-2190.2400000000002</v>
      </c>
      <c r="CD10" s="86">
        <f t="shared" si="53"/>
        <v>-2360.5920000000001</v>
      </c>
      <c r="CE10" s="86">
        <f t="shared" si="54"/>
        <v>-2190.2400000000002</v>
      </c>
      <c r="CF10" s="86">
        <f t="shared" si="55"/>
        <v>-1764.36</v>
      </c>
      <c r="CG10" s="86">
        <f t="shared" si="56"/>
        <v>-1679.1840000000004</v>
      </c>
      <c r="CH10" s="86">
        <f t="shared" si="57"/>
        <v>-1594.0080000000003</v>
      </c>
    </row>
    <row r="11" spans="1:86">
      <c r="A11" s="77" t="s">
        <v>17</v>
      </c>
      <c r="B11" s="77" t="s">
        <v>28</v>
      </c>
      <c r="C11" s="77">
        <v>26421</v>
      </c>
      <c r="D11" s="77" t="s">
        <v>15</v>
      </c>
      <c r="E11" s="77">
        <v>40</v>
      </c>
      <c r="F11" s="77">
        <f t="shared" si="0"/>
        <v>0.67</v>
      </c>
      <c r="G11" s="77">
        <f>E11-F11</f>
        <v>39.33</v>
      </c>
      <c r="H11" s="77" t="s">
        <v>2082</v>
      </c>
      <c r="I11" s="83">
        <v>0.5</v>
      </c>
      <c r="J11" s="83">
        <v>0.5</v>
      </c>
      <c r="K11" s="83">
        <v>0.5</v>
      </c>
      <c r="L11" s="83">
        <v>0.5</v>
      </c>
      <c r="M11" s="83">
        <v>0.5</v>
      </c>
      <c r="N11" s="83">
        <v>0.5</v>
      </c>
      <c r="O11" s="83">
        <v>0.5</v>
      </c>
      <c r="P11" s="83">
        <v>0.5</v>
      </c>
      <c r="Q11" s="83">
        <v>0.67</v>
      </c>
      <c r="R11" s="83">
        <v>0.5</v>
      </c>
      <c r="S11" s="83">
        <v>0.5</v>
      </c>
      <c r="T11" s="83">
        <v>0.5</v>
      </c>
      <c r="U11" s="83">
        <v>0.5</v>
      </c>
      <c r="V11" s="84">
        <v>0.5</v>
      </c>
      <c r="W11" s="84">
        <v>0.5</v>
      </c>
      <c r="X11" s="84">
        <v>0.5</v>
      </c>
      <c r="Y11" s="84">
        <v>0.5</v>
      </c>
      <c r="Z11" s="84">
        <v>0.5</v>
      </c>
      <c r="AA11" s="84">
        <v>0.5</v>
      </c>
      <c r="AB11" s="84">
        <v>0.67</v>
      </c>
      <c r="AC11" s="84">
        <v>0.5</v>
      </c>
      <c r="AD11" s="84">
        <v>0.5</v>
      </c>
      <c r="AE11" s="84">
        <v>0.5</v>
      </c>
      <c r="AF11" s="84">
        <v>0.5</v>
      </c>
      <c r="AG11" s="84">
        <v>0.5</v>
      </c>
      <c r="AH11" s="84">
        <v>0.5</v>
      </c>
      <c r="AI11" s="83">
        <f t="shared" si="1"/>
        <v>-39.5</v>
      </c>
      <c r="AJ11" s="83">
        <f t="shared" si="2"/>
        <v>-39.5</v>
      </c>
      <c r="AK11" s="83">
        <f t="shared" si="3"/>
        <v>-39.5</v>
      </c>
      <c r="AL11" s="83">
        <f t="shared" si="4"/>
        <v>-39.5</v>
      </c>
      <c r="AM11" s="83">
        <f t="shared" si="5"/>
        <v>-39.5</v>
      </c>
      <c r="AN11" s="83">
        <f t="shared" si="6"/>
        <v>-39.5</v>
      </c>
      <c r="AO11" s="83">
        <f t="shared" si="7"/>
        <v>-39.5</v>
      </c>
      <c r="AP11" s="83">
        <f t="shared" si="8"/>
        <v>-39.5</v>
      </c>
      <c r="AQ11" s="83">
        <f t="shared" si="9"/>
        <v>-39.33</v>
      </c>
      <c r="AR11" s="83">
        <f t="shared" si="10"/>
        <v>-39.5</v>
      </c>
      <c r="AS11" s="83">
        <f t="shared" si="11"/>
        <v>-39.5</v>
      </c>
      <c r="AT11" s="83">
        <f t="shared" si="12"/>
        <v>-39.5</v>
      </c>
      <c r="AU11" s="83">
        <f t="shared" si="13"/>
        <v>-39.5</v>
      </c>
      <c r="AV11" s="84">
        <f t="shared" si="14"/>
        <v>-39.5</v>
      </c>
      <c r="AW11" s="84">
        <f t="shared" si="15"/>
        <v>-39.5</v>
      </c>
      <c r="AX11" s="84">
        <f t="shared" si="16"/>
        <v>-39.5</v>
      </c>
      <c r="AY11" s="84">
        <f t="shared" si="17"/>
        <v>0</v>
      </c>
      <c r="AZ11" s="84">
        <f t="shared" si="18"/>
        <v>-39.5</v>
      </c>
      <c r="BA11" s="84">
        <f t="shared" si="19"/>
        <v>-39.5</v>
      </c>
      <c r="BB11" s="84">
        <f t="shared" si="20"/>
        <v>-39.33</v>
      </c>
      <c r="BC11" s="84">
        <f t="shared" si="21"/>
        <v>-39.5</v>
      </c>
      <c r="BD11" s="84">
        <f t="shared" si="22"/>
        <v>-39.5</v>
      </c>
      <c r="BE11" s="84">
        <f t="shared" si="23"/>
        <v>-39.5</v>
      </c>
      <c r="BF11" s="84">
        <f t="shared" si="24"/>
        <v>-39.5</v>
      </c>
      <c r="BG11" s="84">
        <f t="shared" si="25"/>
        <v>-39.5</v>
      </c>
      <c r="BH11" s="84">
        <f t="shared" si="26"/>
        <v>-39.5</v>
      </c>
      <c r="BI11" s="85">
        <f t="shared" si="32"/>
        <v>-4005.3</v>
      </c>
      <c r="BJ11" s="85">
        <f t="shared" si="33"/>
        <v>-4005.3</v>
      </c>
      <c r="BK11" s="85">
        <f t="shared" si="34"/>
        <v>-4005.3</v>
      </c>
      <c r="BL11" s="85">
        <f t="shared" si="35"/>
        <v>-4005.3</v>
      </c>
      <c r="BM11" s="85">
        <f t="shared" si="36"/>
        <v>-4005.3</v>
      </c>
      <c r="BN11" s="85">
        <f t="shared" si="37"/>
        <v>-4005.3</v>
      </c>
      <c r="BO11" s="85">
        <f t="shared" si="38"/>
        <v>-4005.3</v>
      </c>
      <c r="BP11" s="85">
        <f t="shared" si="39"/>
        <v>-4005.3</v>
      </c>
      <c r="BQ11" s="85">
        <f t="shared" si="40"/>
        <v>-3988.0619999999999</v>
      </c>
      <c r="BR11" s="85">
        <f t="shared" si="41"/>
        <v>-4005.3</v>
      </c>
      <c r="BS11" s="85">
        <f t="shared" si="42"/>
        <v>-4005.3</v>
      </c>
      <c r="BT11" s="85">
        <f t="shared" si="43"/>
        <v>-4005.3</v>
      </c>
      <c r="BU11" s="85">
        <f t="shared" si="44"/>
        <v>-4005.3</v>
      </c>
      <c r="BV11" s="86">
        <f t="shared" si="45"/>
        <v>-4005.3</v>
      </c>
      <c r="BW11" s="86">
        <f t="shared" si="46"/>
        <v>-4005.3</v>
      </c>
      <c r="BX11" s="86">
        <f t="shared" si="47"/>
        <v>-4005.3</v>
      </c>
      <c r="BY11" s="86">
        <f t="shared" si="48"/>
        <v>0</v>
      </c>
      <c r="BZ11" s="86">
        <f t="shared" si="49"/>
        <v>-4005.3</v>
      </c>
      <c r="CA11" s="86">
        <f t="shared" si="50"/>
        <v>-4005.3</v>
      </c>
      <c r="CB11" s="86">
        <f t="shared" si="51"/>
        <v>-3988.0619999999999</v>
      </c>
      <c r="CC11" s="86">
        <f t="shared" si="52"/>
        <v>-4005.3</v>
      </c>
      <c r="CD11" s="86">
        <f t="shared" si="53"/>
        <v>-4005.3</v>
      </c>
      <c r="CE11" s="86">
        <f t="shared" si="54"/>
        <v>-4005.3</v>
      </c>
      <c r="CF11" s="86">
        <f t="shared" si="55"/>
        <v>-4005.3</v>
      </c>
      <c r="CG11" s="86">
        <f t="shared" si="56"/>
        <v>-4005.3</v>
      </c>
      <c r="CH11" s="86">
        <f t="shared" si="57"/>
        <v>-4005.3</v>
      </c>
    </row>
    <row r="12" spans="1:86" ht="30" customHeight="1">
      <c r="A12" s="77" t="s">
        <v>17</v>
      </c>
      <c r="B12" s="77" t="s">
        <v>29</v>
      </c>
      <c r="C12" s="77">
        <v>3858181</v>
      </c>
      <c r="D12" s="77" t="s">
        <v>15</v>
      </c>
      <c r="E12" s="77">
        <v>57</v>
      </c>
      <c r="F12" s="77">
        <f t="shared" si="0"/>
        <v>138.6</v>
      </c>
      <c r="G12" s="77" t="s">
        <v>2082</v>
      </c>
      <c r="H12" s="77">
        <f>F12-E12</f>
        <v>81.599999999999994</v>
      </c>
      <c r="I12" s="83">
        <v>138.6</v>
      </c>
      <c r="J12" s="83">
        <v>65.52</v>
      </c>
      <c r="K12" s="83">
        <v>63</v>
      </c>
      <c r="L12" s="83">
        <v>62.16</v>
      </c>
      <c r="M12" s="83">
        <v>52.08</v>
      </c>
      <c r="N12" s="83">
        <v>47.04</v>
      </c>
      <c r="O12" s="83">
        <v>71.400000000000006</v>
      </c>
      <c r="P12" s="83">
        <v>14.28</v>
      </c>
      <c r="Q12" s="83">
        <v>9.24</v>
      </c>
      <c r="R12" s="83">
        <v>8.4</v>
      </c>
      <c r="S12" s="83">
        <v>45.92</v>
      </c>
      <c r="T12" s="83">
        <v>50.68</v>
      </c>
      <c r="U12" s="83">
        <v>56.28</v>
      </c>
      <c r="V12" s="84">
        <v>138.6</v>
      </c>
      <c r="W12" s="84">
        <v>61.32</v>
      </c>
      <c r="X12" s="84">
        <v>68.040000000000006</v>
      </c>
      <c r="Y12" s="84">
        <v>67.2</v>
      </c>
      <c r="Z12" s="84">
        <v>55.44</v>
      </c>
      <c r="AA12" s="84">
        <v>52.92</v>
      </c>
      <c r="AB12" s="84">
        <v>80.64</v>
      </c>
      <c r="AC12" s="84">
        <v>37.799999999999997</v>
      </c>
      <c r="AD12" s="84">
        <v>10.08</v>
      </c>
      <c r="AE12" s="84">
        <v>57.96</v>
      </c>
      <c r="AF12" s="84">
        <v>45.92</v>
      </c>
      <c r="AG12" s="84">
        <v>56.56</v>
      </c>
      <c r="AH12" s="84">
        <v>65.52</v>
      </c>
      <c r="AI12" s="83">
        <f t="shared" si="1"/>
        <v>81.599999999999994</v>
      </c>
      <c r="AJ12" s="83">
        <f t="shared" si="2"/>
        <v>8.519999999999996</v>
      </c>
      <c r="AK12" s="83">
        <f t="shared" si="3"/>
        <v>6</v>
      </c>
      <c r="AL12" s="83">
        <f t="shared" si="4"/>
        <v>5.1599999999999966</v>
      </c>
      <c r="AM12" s="83">
        <f t="shared" si="5"/>
        <v>-4.9200000000000017</v>
      </c>
      <c r="AN12" s="83">
        <f t="shared" si="6"/>
        <v>-9.9600000000000009</v>
      </c>
      <c r="AO12" s="83">
        <f t="shared" si="7"/>
        <v>14.400000000000006</v>
      </c>
      <c r="AP12" s="83">
        <f t="shared" si="8"/>
        <v>-42.72</v>
      </c>
      <c r="AQ12" s="83">
        <f t="shared" si="9"/>
        <v>-47.76</v>
      </c>
      <c r="AR12" s="83">
        <f t="shared" si="10"/>
        <v>-48.6</v>
      </c>
      <c r="AS12" s="83">
        <f t="shared" si="11"/>
        <v>-11.079999999999998</v>
      </c>
      <c r="AT12" s="83">
        <f t="shared" si="12"/>
        <v>-6.32</v>
      </c>
      <c r="AU12" s="83">
        <f t="shared" si="13"/>
        <v>-0.71999999999999886</v>
      </c>
      <c r="AV12" s="84">
        <f t="shared" si="14"/>
        <v>81.599999999999994</v>
      </c>
      <c r="AW12" s="84">
        <f t="shared" si="15"/>
        <v>4.32</v>
      </c>
      <c r="AX12" s="84">
        <f t="shared" si="16"/>
        <v>11.040000000000006</v>
      </c>
      <c r="AY12" s="84">
        <f t="shared" si="17"/>
        <v>4.2000000000000028</v>
      </c>
      <c r="AZ12" s="84">
        <f t="shared" si="18"/>
        <v>-1.5600000000000023</v>
      </c>
      <c r="BA12" s="84">
        <f t="shared" si="19"/>
        <v>-4.0799999999999983</v>
      </c>
      <c r="BB12" s="84">
        <f t="shared" si="20"/>
        <v>23.64</v>
      </c>
      <c r="BC12" s="84">
        <f t="shared" si="21"/>
        <v>-19.200000000000003</v>
      </c>
      <c r="BD12" s="84">
        <f t="shared" si="22"/>
        <v>-46.92</v>
      </c>
      <c r="BE12" s="84">
        <f t="shared" si="23"/>
        <v>0.96000000000000085</v>
      </c>
      <c r="BF12" s="84">
        <f t="shared" si="24"/>
        <v>-11.079999999999998</v>
      </c>
      <c r="BG12" s="84">
        <f t="shared" si="25"/>
        <v>-0.43999999999999773</v>
      </c>
      <c r="BH12" s="84">
        <f t="shared" si="26"/>
        <v>8.519999999999996</v>
      </c>
      <c r="BI12" s="85">
        <f t="shared" si="32"/>
        <v>8274.24</v>
      </c>
      <c r="BJ12" s="85">
        <f t="shared" si="33"/>
        <v>863.92799999999966</v>
      </c>
      <c r="BK12" s="85">
        <f t="shared" si="34"/>
        <v>608.40000000000009</v>
      </c>
      <c r="BL12" s="85">
        <f t="shared" si="35"/>
        <v>523.22399999999971</v>
      </c>
      <c r="BM12" s="85">
        <f t="shared" si="36"/>
        <v>-498.8880000000002</v>
      </c>
      <c r="BN12" s="85">
        <f t="shared" si="37"/>
        <v>-1009.9440000000002</v>
      </c>
      <c r="BO12" s="85">
        <f t="shared" si="38"/>
        <v>1460.1600000000008</v>
      </c>
      <c r="BP12" s="85">
        <f t="shared" si="39"/>
        <v>-4331.808</v>
      </c>
      <c r="BQ12" s="85">
        <f t="shared" si="40"/>
        <v>-4842.8640000000005</v>
      </c>
      <c r="BR12" s="85">
        <f t="shared" si="41"/>
        <v>-4928.0400000000009</v>
      </c>
      <c r="BS12" s="85">
        <f t="shared" si="42"/>
        <v>-1123.5119999999999</v>
      </c>
      <c r="BT12" s="85">
        <f t="shared" si="43"/>
        <v>-640.84800000000007</v>
      </c>
      <c r="BU12" s="85">
        <f t="shared" si="44"/>
        <v>-73.007999999999882</v>
      </c>
      <c r="BV12" s="86">
        <f t="shared" si="45"/>
        <v>8274.24</v>
      </c>
      <c r="BW12" s="86">
        <f t="shared" si="46"/>
        <v>438.04800000000006</v>
      </c>
      <c r="BX12" s="86">
        <f t="shared" si="47"/>
        <v>1119.4560000000006</v>
      </c>
      <c r="BY12" s="86">
        <f t="shared" si="48"/>
        <v>425.88000000000034</v>
      </c>
      <c r="BZ12" s="86">
        <f t="shared" si="49"/>
        <v>-158.18400000000025</v>
      </c>
      <c r="CA12" s="86">
        <f t="shared" si="50"/>
        <v>-413.71199999999988</v>
      </c>
      <c r="CB12" s="86">
        <f t="shared" si="51"/>
        <v>2397.096</v>
      </c>
      <c r="CC12" s="86">
        <f t="shared" si="52"/>
        <v>-1946.8800000000003</v>
      </c>
      <c r="CD12" s="86">
        <f t="shared" si="53"/>
        <v>-4757.6880000000001</v>
      </c>
      <c r="CE12" s="86">
        <f t="shared" si="54"/>
        <v>97.344000000000094</v>
      </c>
      <c r="CF12" s="86">
        <f t="shared" si="55"/>
        <v>-1123.5119999999999</v>
      </c>
      <c r="CG12" s="86">
        <f t="shared" si="56"/>
        <v>-44.615999999999772</v>
      </c>
      <c r="CH12" s="86">
        <f t="shared" si="57"/>
        <v>863.92799999999966</v>
      </c>
    </row>
    <row r="13" spans="1:86" ht="30" customHeight="1">
      <c r="A13" s="77" t="s">
        <v>17</v>
      </c>
      <c r="B13" s="77" t="s">
        <v>2081</v>
      </c>
      <c r="C13" s="77">
        <v>3836171</v>
      </c>
      <c r="D13" s="77" t="s">
        <v>15</v>
      </c>
      <c r="E13" s="77">
        <v>47</v>
      </c>
      <c r="F13" s="77">
        <f t="shared" si="0"/>
        <v>54.6</v>
      </c>
      <c r="G13" s="77" t="s">
        <v>2082</v>
      </c>
      <c r="H13" s="77">
        <f>F13-E13</f>
        <v>7.6000000000000014</v>
      </c>
      <c r="I13" s="83">
        <v>52.08</v>
      </c>
      <c r="J13" s="83">
        <v>26.04</v>
      </c>
      <c r="K13" s="83">
        <v>52.08</v>
      </c>
      <c r="L13" s="83">
        <v>25.2</v>
      </c>
      <c r="M13" s="83">
        <v>26.04</v>
      </c>
      <c r="N13" s="83">
        <v>26.04</v>
      </c>
      <c r="O13" s="83">
        <v>28.64</v>
      </c>
      <c r="P13" s="83">
        <v>25.96</v>
      </c>
      <c r="Q13" s="83">
        <v>21</v>
      </c>
      <c r="R13" s="83">
        <v>26.88</v>
      </c>
      <c r="S13" s="83">
        <v>19.32</v>
      </c>
      <c r="T13" s="83">
        <v>26.88</v>
      </c>
      <c r="U13" s="83">
        <v>26.88</v>
      </c>
      <c r="V13" s="84">
        <v>26.04</v>
      </c>
      <c r="W13" s="84">
        <v>26.04</v>
      </c>
      <c r="X13" s="84">
        <v>52.08</v>
      </c>
      <c r="Y13" s="84">
        <v>52.08</v>
      </c>
      <c r="Z13" s="84">
        <v>54.6</v>
      </c>
      <c r="AA13" s="84">
        <v>26.88</v>
      </c>
      <c r="AB13" s="84">
        <v>52.5</v>
      </c>
      <c r="AC13" s="84">
        <v>29.82</v>
      </c>
      <c r="AD13" s="84">
        <v>21</v>
      </c>
      <c r="AE13" s="84">
        <v>27.72</v>
      </c>
      <c r="AF13" s="84">
        <v>26.88</v>
      </c>
      <c r="AG13" s="84">
        <v>30.24</v>
      </c>
      <c r="AH13" s="84">
        <v>53.76</v>
      </c>
      <c r="AI13" s="83">
        <f t="shared" si="1"/>
        <v>5.0799999999999983</v>
      </c>
      <c r="AJ13" s="83">
        <f t="shared" si="2"/>
        <v>-20.96</v>
      </c>
      <c r="AK13" s="83">
        <f t="shared" si="3"/>
        <v>5.0799999999999983</v>
      </c>
      <c r="AL13" s="83">
        <f t="shared" si="4"/>
        <v>-21.8</v>
      </c>
      <c r="AM13" s="83">
        <f t="shared" si="5"/>
        <v>-20.96</v>
      </c>
      <c r="AN13" s="83">
        <f t="shared" si="6"/>
        <v>-20.96</v>
      </c>
      <c r="AO13" s="83">
        <f t="shared" si="7"/>
        <v>-18.36</v>
      </c>
      <c r="AP13" s="83">
        <f t="shared" si="8"/>
        <v>-21.04</v>
      </c>
      <c r="AQ13" s="83">
        <f t="shared" si="9"/>
        <v>-26</v>
      </c>
      <c r="AR13" s="83">
        <f t="shared" si="10"/>
        <v>-20.12</v>
      </c>
      <c r="AS13" s="83">
        <f t="shared" si="11"/>
        <v>-27.68</v>
      </c>
      <c r="AT13" s="83">
        <f t="shared" si="12"/>
        <v>-20.12</v>
      </c>
      <c r="AU13" s="83">
        <f t="shared" si="13"/>
        <v>-20.12</v>
      </c>
      <c r="AV13" s="84">
        <f t="shared" si="14"/>
        <v>-20.96</v>
      </c>
      <c r="AW13" s="84">
        <f t="shared" si="15"/>
        <v>-20.96</v>
      </c>
      <c r="AX13" s="84">
        <f t="shared" si="16"/>
        <v>5.0799999999999983</v>
      </c>
      <c r="AY13" s="84">
        <f t="shared" si="17"/>
        <v>0</v>
      </c>
      <c r="AZ13" s="84">
        <f t="shared" si="18"/>
        <v>7.6000000000000014</v>
      </c>
      <c r="BA13" s="84">
        <f t="shared" si="19"/>
        <v>-20.12</v>
      </c>
      <c r="BB13" s="84">
        <f t="shared" si="20"/>
        <v>5.5</v>
      </c>
      <c r="BC13" s="84">
        <f t="shared" si="21"/>
        <v>-17.18</v>
      </c>
      <c r="BD13" s="84">
        <f t="shared" si="22"/>
        <v>-26</v>
      </c>
      <c r="BE13" s="84">
        <f t="shared" si="23"/>
        <v>-19.28</v>
      </c>
      <c r="BF13" s="84">
        <f t="shared" si="24"/>
        <v>-20.12</v>
      </c>
      <c r="BG13" s="84">
        <f t="shared" si="25"/>
        <v>-16.760000000000002</v>
      </c>
      <c r="BH13" s="84">
        <f t="shared" si="26"/>
        <v>6.759999999999998</v>
      </c>
      <c r="BI13" s="85">
        <f t="shared" si="32"/>
        <v>515.11199999999985</v>
      </c>
      <c r="BJ13" s="85">
        <f t="shared" si="33"/>
        <v>-2125.3440000000001</v>
      </c>
      <c r="BK13" s="85">
        <f t="shared" si="34"/>
        <v>515.11199999999985</v>
      </c>
      <c r="BL13" s="85">
        <f t="shared" si="35"/>
        <v>-2210.52</v>
      </c>
      <c r="BM13" s="85">
        <f t="shared" si="36"/>
        <v>-2125.3440000000001</v>
      </c>
      <c r="BN13" s="85">
        <f t="shared" si="37"/>
        <v>-2125.3440000000001</v>
      </c>
      <c r="BO13" s="85">
        <f t="shared" si="38"/>
        <v>-1861.704</v>
      </c>
      <c r="BP13" s="85">
        <f t="shared" si="39"/>
        <v>-2133.4560000000001</v>
      </c>
      <c r="BQ13" s="85">
        <f t="shared" si="40"/>
        <v>-2636.4</v>
      </c>
      <c r="BR13" s="85">
        <f t="shared" si="41"/>
        <v>-2040.1680000000001</v>
      </c>
      <c r="BS13" s="85">
        <f t="shared" si="42"/>
        <v>-2806.752</v>
      </c>
      <c r="BT13" s="85">
        <f t="shared" si="43"/>
        <v>-2040.1680000000001</v>
      </c>
      <c r="BU13" s="85">
        <f t="shared" si="44"/>
        <v>-2040.1680000000001</v>
      </c>
      <c r="BV13" s="86">
        <f t="shared" si="45"/>
        <v>-2125.3440000000001</v>
      </c>
      <c r="BW13" s="86">
        <f t="shared" si="46"/>
        <v>-2125.3440000000001</v>
      </c>
      <c r="BX13" s="86">
        <f t="shared" si="47"/>
        <v>515.11199999999985</v>
      </c>
      <c r="BY13" s="86">
        <f t="shared" si="48"/>
        <v>0</v>
      </c>
      <c r="BZ13" s="86">
        <f t="shared" si="49"/>
        <v>770.64000000000021</v>
      </c>
      <c r="CA13" s="86">
        <f t="shared" si="50"/>
        <v>-2040.1680000000001</v>
      </c>
      <c r="CB13" s="86">
        <f t="shared" si="51"/>
        <v>557.70000000000005</v>
      </c>
      <c r="CC13" s="86">
        <f t="shared" si="52"/>
        <v>-1742.0520000000001</v>
      </c>
      <c r="CD13" s="86">
        <f t="shared" si="53"/>
        <v>-2636.4</v>
      </c>
      <c r="CE13" s="86">
        <f t="shared" si="54"/>
        <v>-1954.9920000000002</v>
      </c>
      <c r="CF13" s="86">
        <f t="shared" si="55"/>
        <v>-2040.1680000000001</v>
      </c>
      <c r="CG13" s="86">
        <f t="shared" si="56"/>
        <v>-1699.4640000000002</v>
      </c>
      <c r="CH13" s="86">
        <f t="shared" si="57"/>
        <v>685.46399999999983</v>
      </c>
    </row>
    <row r="14" spans="1:86">
      <c r="A14" s="77" t="s">
        <v>17</v>
      </c>
      <c r="B14" s="77" t="s">
        <v>31</v>
      </c>
      <c r="C14" s="77">
        <v>5916883</v>
      </c>
      <c r="D14" s="77" t="s">
        <v>15</v>
      </c>
      <c r="E14" s="77">
        <v>35</v>
      </c>
      <c r="F14" s="77">
        <f t="shared" si="0"/>
        <v>52.42</v>
      </c>
      <c r="G14" s="77"/>
      <c r="H14" s="77">
        <f>F14-E14</f>
        <v>17.420000000000002</v>
      </c>
      <c r="I14" s="83">
        <v>27.22</v>
      </c>
      <c r="J14" s="83">
        <v>27.55</v>
      </c>
      <c r="K14" s="83">
        <v>27.22</v>
      </c>
      <c r="L14" s="83">
        <v>23.86</v>
      </c>
      <c r="M14" s="83">
        <v>22.51</v>
      </c>
      <c r="N14" s="83">
        <v>21.17</v>
      </c>
      <c r="O14" s="83">
        <v>22.85</v>
      </c>
      <c r="P14" s="83">
        <v>18.48</v>
      </c>
      <c r="Q14" s="83">
        <v>20.16</v>
      </c>
      <c r="R14" s="83">
        <v>21.5</v>
      </c>
      <c r="S14" s="83">
        <v>24.53</v>
      </c>
      <c r="T14" s="83">
        <v>24.86</v>
      </c>
      <c r="U14" s="83">
        <v>25.2</v>
      </c>
      <c r="V14" s="84">
        <v>43.34</v>
      </c>
      <c r="W14" s="84">
        <v>48.05</v>
      </c>
      <c r="X14" s="84">
        <v>44.35</v>
      </c>
      <c r="Y14" s="84">
        <v>44.69</v>
      </c>
      <c r="Z14" s="84">
        <v>40.99</v>
      </c>
      <c r="AA14" s="84">
        <v>37.97</v>
      </c>
      <c r="AB14" s="84">
        <v>35.619999999999997</v>
      </c>
      <c r="AC14" s="84">
        <v>33.26</v>
      </c>
      <c r="AD14" s="84">
        <v>30.58</v>
      </c>
      <c r="AE14" s="84">
        <v>33.26</v>
      </c>
      <c r="AF14" s="84">
        <v>45.7</v>
      </c>
      <c r="AG14" s="84">
        <v>44.35</v>
      </c>
      <c r="AH14" s="84">
        <v>52.42</v>
      </c>
      <c r="AI14" s="83">
        <f t="shared" si="1"/>
        <v>-7.7800000000000011</v>
      </c>
      <c r="AJ14" s="83">
        <f t="shared" si="2"/>
        <v>-7.4499999999999993</v>
      </c>
      <c r="AK14" s="83">
        <f t="shared" si="3"/>
        <v>-7.7800000000000011</v>
      </c>
      <c r="AL14" s="83">
        <f t="shared" si="4"/>
        <v>-11.14</v>
      </c>
      <c r="AM14" s="83">
        <f t="shared" si="5"/>
        <v>-12.489999999999998</v>
      </c>
      <c r="AN14" s="83">
        <f t="shared" si="6"/>
        <v>-13.829999999999998</v>
      </c>
      <c r="AO14" s="83">
        <f t="shared" si="7"/>
        <v>-12.149999999999999</v>
      </c>
      <c r="AP14" s="83">
        <f t="shared" si="8"/>
        <v>-16.52</v>
      </c>
      <c r="AQ14" s="83">
        <f t="shared" si="9"/>
        <v>-14.84</v>
      </c>
      <c r="AR14" s="83">
        <f t="shared" si="10"/>
        <v>-13.5</v>
      </c>
      <c r="AS14" s="83">
        <f t="shared" si="11"/>
        <v>-10.469999999999999</v>
      </c>
      <c r="AT14" s="83">
        <f t="shared" si="12"/>
        <v>-10.14</v>
      </c>
      <c r="AU14" s="83">
        <f t="shared" si="13"/>
        <v>-9.8000000000000007</v>
      </c>
      <c r="AV14" s="84">
        <f t="shared" si="14"/>
        <v>8.3400000000000034</v>
      </c>
      <c r="AW14" s="84">
        <f t="shared" si="15"/>
        <v>13.049999999999997</v>
      </c>
      <c r="AX14" s="84">
        <f t="shared" si="16"/>
        <v>9.3500000000000014</v>
      </c>
      <c r="AY14" s="84">
        <f t="shared" si="17"/>
        <v>17.47</v>
      </c>
      <c r="AZ14" s="84">
        <f t="shared" si="18"/>
        <v>5.990000000000002</v>
      </c>
      <c r="BA14" s="84">
        <f t="shared" si="19"/>
        <v>2.9699999999999989</v>
      </c>
      <c r="BB14" s="84">
        <f t="shared" si="20"/>
        <v>0.61999999999999744</v>
      </c>
      <c r="BC14" s="84">
        <f t="shared" si="21"/>
        <v>-1.740000000000002</v>
      </c>
      <c r="BD14" s="84">
        <f t="shared" si="22"/>
        <v>-4.4200000000000017</v>
      </c>
      <c r="BE14" s="84">
        <f t="shared" si="23"/>
        <v>-1.740000000000002</v>
      </c>
      <c r="BF14" s="84">
        <f t="shared" si="24"/>
        <v>10.700000000000003</v>
      </c>
      <c r="BG14" s="84">
        <f t="shared" si="25"/>
        <v>9.3500000000000014</v>
      </c>
      <c r="BH14" s="84">
        <f t="shared" si="26"/>
        <v>17.420000000000002</v>
      </c>
      <c r="BI14" s="85">
        <f t="shared" si="32"/>
        <v>-788.89200000000017</v>
      </c>
      <c r="BJ14" s="85">
        <f t="shared" si="33"/>
        <v>-755.43</v>
      </c>
      <c r="BK14" s="85">
        <f t="shared" si="34"/>
        <v>-788.89200000000017</v>
      </c>
      <c r="BL14" s="85">
        <f t="shared" si="35"/>
        <v>-1129.5960000000002</v>
      </c>
      <c r="BM14" s="85">
        <f t="shared" si="36"/>
        <v>-1266.4859999999999</v>
      </c>
      <c r="BN14" s="85">
        <f t="shared" si="37"/>
        <v>-1402.3619999999999</v>
      </c>
      <c r="BO14" s="85">
        <f t="shared" si="38"/>
        <v>-1232.01</v>
      </c>
      <c r="BP14" s="85">
        <f t="shared" si="39"/>
        <v>-1675.1280000000002</v>
      </c>
      <c r="BQ14" s="85">
        <f t="shared" si="40"/>
        <v>-1504.7760000000001</v>
      </c>
      <c r="BR14" s="85">
        <f t="shared" si="41"/>
        <v>-1368.9</v>
      </c>
      <c r="BS14" s="85">
        <f t="shared" si="42"/>
        <v>-1061.6579999999999</v>
      </c>
      <c r="BT14" s="85">
        <f t="shared" si="43"/>
        <v>-1028.1960000000001</v>
      </c>
      <c r="BU14" s="85">
        <f t="shared" si="44"/>
        <v>-993.72000000000014</v>
      </c>
      <c r="BV14" s="86">
        <f t="shared" si="45"/>
        <v>845.67600000000039</v>
      </c>
      <c r="BW14" s="86">
        <f t="shared" si="46"/>
        <v>1323.2699999999998</v>
      </c>
      <c r="BX14" s="86">
        <f t="shared" si="47"/>
        <v>948.09000000000015</v>
      </c>
      <c r="BY14" s="86">
        <f t="shared" si="48"/>
        <v>1771.4580000000001</v>
      </c>
      <c r="BZ14" s="86">
        <f t="shared" si="49"/>
        <v>607.38600000000019</v>
      </c>
      <c r="CA14" s="86">
        <f t="shared" si="50"/>
        <v>301.1579999999999</v>
      </c>
      <c r="CB14" s="86">
        <f t="shared" si="51"/>
        <v>62.867999999999746</v>
      </c>
      <c r="CC14" s="86">
        <f t="shared" si="52"/>
        <v>-176.43600000000021</v>
      </c>
      <c r="CD14" s="86">
        <f t="shared" si="53"/>
        <v>-448.18800000000022</v>
      </c>
      <c r="CE14" s="86">
        <f t="shared" si="54"/>
        <v>-176.43600000000021</v>
      </c>
      <c r="CF14" s="86">
        <f t="shared" si="55"/>
        <v>1084.9800000000002</v>
      </c>
      <c r="CG14" s="86">
        <f t="shared" si="56"/>
        <v>948.09000000000015</v>
      </c>
      <c r="CH14" s="86">
        <f t="shared" si="57"/>
        <v>1766.3880000000004</v>
      </c>
    </row>
    <row r="15" spans="1:86">
      <c r="A15" s="77" t="s">
        <v>17</v>
      </c>
      <c r="B15" s="77" t="s">
        <v>33</v>
      </c>
      <c r="C15" s="77">
        <v>6023283</v>
      </c>
      <c r="D15" s="77" t="s">
        <v>15</v>
      </c>
      <c r="E15" s="77">
        <v>58</v>
      </c>
      <c r="F15" s="77">
        <f t="shared" si="0"/>
        <v>31.25</v>
      </c>
      <c r="G15" s="77">
        <f>E15-F15</f>
        <v>26.75</v>
      </c>
      <c r="H15" s="77"/>
      <c r="I15" s="83">
        <v>12.77</v>
      </c>
      <c r="J15" s="83">
        <v>13.44</v>
      </c>
      <c r="K15" s="83">
        <v>13.78</v>
      </c>
      <c r="L15" s="83">
        <v>12.77</v>
      </c>
      <c r="M15" s="83">
        <v>12.77</v>
      </c>
      <c r="N15" s="83">
        <v>12.77</v>
      </c>
      <c r="O15" s="83">
        <v>12.43</v>
      </c>
      <c r="P15" s="83">
        <v>11.42</v>
      </c>
      <c r="Q15" s="83">
        <v>11.09</v>
      </c>
      <c r="R15" s="83">
        <v>9.41</v>
      </c>
      <c r="S15" s="83">
        <v>13.1</v>
      </c>
      <c r="T15" s="83">
        <v>14.45</v>
      </c>
      <c r="U15" s="83">
        <v>17.809999999999999</v>
      </c>
      <c r="V15" s="84">
        <v>25.54</v>
      </c>
      <c r="W15" s="84">
        <v>24.86</v>
      </c>
      <c r="X15" s="84">
        <v>31.25</v>
      </c>
      <c r="Y15" s="84">
        <v>25.2</v>
      </c>
      <c r="Z15" s="84">
        <v>23.86</v>
      </c>
      <c r="AA15" s="84">
        <v>24.53</v>
      </c>
      <c r="AB15" s="84">
        <v>25.2</v>
      </c>
      <c r="AC15" s="84">
        <v>24.53</v>
      </c>
      <c r="AD15" s="84">
        <v>21.84</v>
      </c>
      <c r="AE15" s="84">
        <v>18.82</v>
      </c>
      <c r="AF15" s="84">
        <v>26.88</v>
      </c>
      <c r="AG15" s="84">
        <v>28.22</v>
      </c>
      <c r="AH15" s="84">
        <v>24.19</v>
      </c>
      <c r="AI15" s="83">
        <f t="shared" si="1"/>
        <v>-45.230000000000004</v>
      </c>
      <c r="AJ15" s="83">
        <f t="shared" si="2"/>
        <v>-44.56</v>
      </c>
      <c r="AK15" s="83">
        <f t="shared" si="3"/>
        <v>-44.22</v>
      </c>
      <c r="AL15" s="83">
        <f t="shared" si="4"/>
        <v>-45.230000000000004</v>
      </c>
      <c r="AM15" s="83">
        <f t="shared" si="5"/>
        <v>-45.230000000000004</v>
      </c>
      <c r="AN15" s="83">
        <f t="shared" si="6"/>
        <v>-45.230000000000004</v>
      </c>
      <c r="AO15" s="83">
        <f t="shared" si="7"/>
        <v>-45.57</v>
      </c>
      <c r="AP15" s="83">
        <f t="shared" si="8"/>
        <v>-46.58</v>
      </c>
      <c r="AQ15" s="83">
        <f t="shared" si="9"/>
        <v>-46.91</v>
      </c>
      <c r="AR15" s="83">
        <f t="shared" si="10"/>
        <v>-48.59</v>
      </c>
      <c r="AS15" s="83">
        <f t="shared" si="11"/>
        <v>-44.9</v>
      </c>
      <c r="AT15" s="83">
        <f t="shared" si="12"/>
        <v>-43.55</v>
      </c>
      <c r="AU15" s="83">
        <f t="shared" si="13"/>
        <v>-40.19</v>
      </c>
      <c r="AV15" s="84">
        <f t="shared" si="14"/>
        <v>-32.46</v>
      </c>
      <c r="AW15" s="84">
        <f t="shared" si="15"/>
        <v>-33.14</v>
      </c>
      <c r="AX15" s="84">
        <f t="shared" si="16"/>
        <v>-26.75</v>
      </c>
      <c r="AY15" s="84">
        <f t="shared" si="17"/>
        <v>11.42</v>
      </c>
      <c r="AZ15" s="84">
        <f t="shared" si="18"/>
        <v>-34.14</v>
      </c>
      <c r="BA15" s="84">
        <f t="shared" si="19"/>
        <v>-33.47</v>
      </c>
      <c r="BB15" s="84">
        <f t="shared" si="20"/>
        <v>-32.799999999999997</v>
      </c>
      <c r="BC15" s="84">
        <f t="shared" si="21"/>
        <v>-33.47</v>
      </c>
      <c r="BD15" s="84">
        <f t="shared" si="22"/>
        <v>-36.159999999999997</v>
      </c>
      <c r="BE15" s="84">
        <f t="shared" si="23"/>
        <v>-39.18</v>
      </c>
      <c r="BF15" s="84">
        <f t="shared" si="24"/>
        <v>-31.12</v>
      </c>
      <c r="BG15" s="84">
        <f t="shared" si="25"/>
        <v>-29.78</v>
      </c>
      <c r="BH15" s="84">
        <f t="shared" si="26"/>
        <v>-33.81</v>
      </c>
      <c r="BI15" s="85">
        <f t="shared" si="32"/>
        <v>-4586.322000000001</v>
      </c>
      <c r="BJ15" s="85">
        <f t="shared" si="33"/>
        <v>-4518.3840000000009</v>
      </c>
      <c r="BK15" s="85">
        <f t="shared" si="34"/>
        <v>-4483.9080000000004</v>
      </c>
      <c r="BL15" s="85">
        <f t="shared" si="35"/>
        <v>-4586.322000000001</v>
      </c>
      <c r="BM15" s="85">
        <f t="shared" si="36"/>
        <v>-4586.322000000001</v>
      </c>
      <c r="BN15" s="85">
        <f t="shared" si="37"/>
        <v>-4586.322000000001</v>
      </c>
      <c r="BO15" s="85">
        <f t="shared" si="38"/>
        <v>-4620.7980000000007</v>
      </c>
      <c r="BP15" s="85">
        <f t="shared" si="39"/>
        <v>-4723.2120000000004</v>
      </c>
      <c r="BQ15" s="85">
        <f t="shared" si="40"/>
        <v>-4756.674</v>
      </c>
      <c r="BR15" s="85">
        <f t="shared" si="41"/>
        <v>-4927.0260000000007</v>
      </c>
      <c r="BS15" s="85">
        <f t="shared" si="42"/>
        <v>-4552.8599999999997</v>
      </c>
      <c r="BT15" s="85">
        <f t="shared" si="43"/>
        <v>-4415.97</v>
      </c>
      <c r="BU15" s="85">
        <f t="shared" si="44"/>
        <v>-4075.2660000000001</v>
      </c>
      <c r="BV15" s="86">
        <f t="shared" si="45"/>
        <v>-3291.4440000000004</v>
      </c>
      <c r="BW15" s="86">
        <f t="shared" si="46"/>
        <v>-3360.3960000000002</v>
      </c>
      <c r="BX15" s="86">
        <f t="shared" si="47"/>
        <v>-2712.4500000000003</v>
      </c>
      <c r="BY15" s="86">
        <f t="shared" si="48"/>
        <v>1157.9880000000001</v>
      </c>
      <c r="BZ15" s="86">
        <f t="shared" si="49"/>
        <v>-3461.7960000000003</v>
      </c>
      <c r="CA15" s="86">
        <f t="shared" si="50"/>
        <v>-3393.8580000000002</v>
      </c>
      <c r="CB15" s="86">
        <f t="shared" si="51"/>
        <v>-3325.92</v>
      </c>
      <c r="CC15" s="86">
        <f t="shared" si="52"/>
        <v>-3393.8580000000002</v>
      </c>
      <c r="CD15" s="86">
        <f t="shared" si="53"/>
        <v>-3666.6239999999998</v>
      </c>
      <c r="CE15" s="86">
        <f t="shared" si="54"/>
        <v>-3972.8520000000003</v>
      </c>
      <c r="CF15" s="86">
        <f t="shared" si="55"/>
        <v>-3155.5680000000002</v>
      </c>
      <c r="CG15" s="86">
        <f t="shared" si="56"/>
        <v>-3019.6920000000005</v>
      </c>
      <c r="CH15" s="86">
        <f t="shared" si="57"/>
        <v>-3428.3340000000003</v>
      </c>
    </row>
    <row r="16" spans="1:86">
      <c r="A16" s="77" t="s">
        <v>17</v>
      </c>
      <c r="B16" s="77" t="s">
        <v>35</v>
      </c>
      <c r="C16" s="77">
        <v>4544756</v>
      </c>
      <c r="D16" s="77" t="s">
        <v>15</v>
      </c>
      <c r="E16" s="77">
        <v>50</v>
      </c>
      <c r="F16" s="77">
        <f t="shared" si="0"/>
        <v>69.22</v>
      </c>
      <c r="G16" s="77" t="s">
        <v>2082</v>
      </c>
      <c r="H16" s="77">
        <f>F16-E16</f>
        <v>19.22</v>
      </c>
      <c r="I16" s="83">
        <v>15.12</v>
      </c>
      <c r="J16" s="83">
        <v>13.78</v>
      </c>
      <c r="K16" s="83">
        <v>14.45</v>
      </c>
      <c r="L16" s="83">
        <v>17.23</v>
      </c>
      <c r="M16" s="83">
        <v>32.26</v>
      </c>
      <c r="N16" s="83"/>
      <c r="O16" s="83">
        <v>16.8</v>
      </c>
      <c r="P16" s="83">
        <v>15.46</v>
      </c>
      <c r="Q16" s="83">
        <v>12.1</v>
      </c>
      <c r="R16" s="83">
        <v>49.73</v>
      </c>
      <c r="S16" s="83"/>
      <c r="T16" s="83">
        <v>21.5</v>
      </c>
      <c r="U16" s="83">
        <v>18.23</v>
      </c>
      <c r="V16" s="84">
        <v>61.15</v>
      </c>
      <c r="W16" s="84">
        <v>62.83</v>
      </c>
      <c r="X16" s="84">
        <v>68.540000000000006</v>
      </c>
      <c r="Y16" s="84">
        <v>49.97</v>
      </c>
      <c r="Z16" s="84">
        <v>63.17</v>
      </c>
      <c r="AA16" s="84"/>
      <c r="AB16" s="84">
        <v>56.78</v>
      </c>
      <c r="AC16" s="84">
        <v>49.73</v>
      </c>
      <c r="AD16" s="84">
        <v>56.11</v>
      </c>
      <c r="AE16" s="84">
        <v>69.22</v>
      </c>
      <c r="AF16" s="84"/>
      <c r="AG16" s="84">
        <v>67.540000000000006</v>
      </c>
      <c r="AH16" s="84">
        <v>64.11</v>
      </c>
      <c r="AI16" s="83">
        <f t="shared" si="1"/>
        <v>-34.880000000000003</v>
      </c>
      <c r="AJ16" s="83">
        <f t="shared" si="2"/>
        <v>-36.22</v>
      </c>
      <c r="AK16" s="83">
        <f t="shared" si="3"/>
        <v>-35.549999999999997</v>
      </c>
      <c r="AL16" s="83">
        <f t="shared" si="4"/>
        <v>-32.769999999999996</v>
      </c>
      <c r="AM16" s="83">
        <f t="shared" si="5"/>
        <v>-17.740000000000002</v>
      </c>
      <c r="AN16" s="83">
        <f t="shared" si="6"/>
        <v>-50</v>
      </c>
      <c r="AO16" s="83">
        <f t="shared" si="7"/>
        <v>-33.200000000000003</v>
      </c>
      <c r="AP16" s="83">
        <f t="shared" si="8"/>
        <v>-34.54</v>
      </c>
      <c r="AQ16" s="83">
        <f t="shared" si="9"/>
        <v>-37.9</v>
      </c>
      <c r="AR16" s="83">
        <f t="shared" si="10"/>
        <v>-0.27000000000000313</v>
      </c>
      <c r="AS16" s="83">
        <f t="shared" si="11"/>
        <v>-50</v>
      </c>
      <c r="AT16" s="83">
        <f t="shared" si="12"/>
        <v>-28.5</v>
      </c>
      <c r="AU16" s="83">
        <f t="shared" si="13"/>
        <v>-31.77</v>
      </c>
      <c r="AV16" s="84">
        <f t="shared" si="14"/>
        <v>11.149999999999999</v>
      </c>
      <c r="AW16" s="84">
        <f t="shared" si="15"/>
        <v>12.829999999999998</v>
      </c>
      <c r="AX16" s="84">
        <f t="shared" si="16"/>
        <v>18.540000000000006</v>
      </c>
      <c r="AY16" s="84">
        <f t="shared" si="17"/>
        <v>35.519999999999996</v>
      </c>
      <c r="AZ16" s="84">
        <f t="shared" si="18"/>
        <v>13.170000000000002</v>
      </c>
      <c r="BA16" s="84">
        <f t="shared" si="19"/>
        <v>-50</v>
      </c>
      <c r="BB16" s="84">
        <f t="shared" si="20"/>
        <v>6.7800000000000011</v>
      </c>
      <c r="BC16" s="84">
        <f t="shared" si="21"/>
        <v>-0.27000000000000313</v>
      </c>
      <c r="BD16" s="84">
        <f t="shared" si="22"/>
        <v>6.1099999999999994</v>
      </c>
      <c r="BE16" s="84">
        <f t="shared" si="23"/>
        <v>19.22</v>
      </c>
      <c r="BF16" s="84">
        <f t="shared" si="24"/>
        <v>-50</v>
      </c>
      <c r="BG16" s="84">
        <f t="shared" si="25"/>
        <v>17.540000000000006</v>
      </c>
      <c r="BH16" s="84">
        <f t="shared" si="26"/>
        <v>14.11</v>
      </c>
      <c r="BI16" s="85">
        <f t="shared" si="32"/>
        <v>-3536.8320000000003</v>
      </c>
      <c r="BJ16" s="85">
        <f t="shared" si="33"/>
        <v>-3672.7080000000001</v>
      </c>
      <c r="BK16" s="85">
        <f t="shared" si="34"/>
        <v>-3604.77</v>
      </c>
      <c r="BL16" s="85">
        <f t="shared" si="35"/>
        <v>-3322.8779999999997</v>
      </c>
      <c r="BM16" s="85">
        <f t="shared" si="36"/>
        <v>-1798.8360000000002</v>
      </c>
      <c r="BN16" s="85">
        <f t="shared" si="37"/>
        <v>-5070</v>
      </c>
      <c r="BO16" s="85">
        <f t="shared" si="38"/>
        <v>-3366.4800000000005</v>
      </c>
      <c r="BP16" s="85">
        <f t="shared" si="39"/>
        <v>-3502.3560000000002</v>
      </c>
      <c r="BQ16" s="85">
        <f t="shared" si="40"/>
        <v>-3843.06</v>
      </c>
      <c r="BR16" s="85">
        <f t="shared" si="41"/>
        <v>-27.37800000000032</v>
      </c>
      <c r="BS16" s="85">
        <f t="shared" si="42"/>
        <v>-5070</v>
      </c>
      <c r="BT16" s="85">
        <f t="shared" si="43"/>
        <v>-2889.9</v>
      </c>
      <c r="BU16" s="85">
        <f t="shared" si="44"/>
        <v>-3221.4780000000001</v>
      </c>
      <c r="BV16" s="86">
        <f t="shared" si="45"/>
        <v>1130.6099999999999</v>
      </c>
      <c r="BW16" s="86">
        <f t="shared" si="46"/>
        <v>1300.962</v>
      </c>
      <c r="BX16" s="86">
        <f t="shared" si="47"/>
        <v>1879.9560000000008</v>
      </c>
      <c r="BY16" s="86">
        <f t="shared" si="48"/>
        <v>3601.7279999999996</v>
      </c>
      <c r="BZ16" s="86">
        <f t="shared" si="49"/>
        <v>1335.4380000000003</v>
      </c>
      <c r="CA16" s="86">
        <f t="shared" si="50"/>
        <v>-5070</v>
      </c>
      <c r="CB16" s="86">
        <f t="shared" si="51"/>
        <v>687.49200000000019</v>
      </c>
      <c r="CC16" s="86">
        <f t="shared" si="52"/>
        <v>-27.37800000000032</v>
      </c>
      <c r="CD16" s="86">
        <f t="shared" si="53"/>
        <v>619.55399999999997</v>
      </c>
      <c r="CE16" s="86">
        <f t="shared" si="54"/>
        <v>1948.9079999999999</v>
      </c>
      <c r="CF16" s="86">
        <f t="shared" si="55"/>
        <v>-5070</v>
      </c>
      <c r="CG16" s="86">
        <f t="shared" si="56"/>
        <v>1778.5560000000007</v>
      </c>
      <c r="CH16" s="86">
        <f t="shared" si="57"/>
        <v>1430.7540000000001</v>
      </c>
    </row>
    <row r="17" spans="1:86">
      <c r="A17" s="77" t="s">
        <v>17</v>
      </c>
      <c r="B17" s="77" t="s">
        <v>36</v>
      </c>
      <c r="C17" s="77">
        <v>26742</v>
      </c>
      <c r="D17" s="77" t="s">
        <v>15</v>
      </c>
      <c r="E17" s="77">
        <v>30</v>
      </c>
      <c r="F17" s="77">
        <f t="shared" si="0"/>
        <v>28.48</v>
      </c>
      <c r="G17" s="77">
        <f>E17-F17</f>
        <v>1.5199999999999996</v>
      </c>
      <c r="H17" s="77" t="s">
        <v>2082</v>
      </c>
      <c r="I17" s="83">
        <v>3.53</v>
      </c>
      <c r="J17" s="83">
        <v>2.52</v>
      </c>
      <c r="K17" s="83">
        <v>3.28</v>
      </c>
      <c r="L17" s="83">
        <v>3.28</v>
      </c>
      <c r="M17" s="83">
        <v>3.53</v>
      </c>
      <c r="N17" s="83">
        <v>2.52</v>
      </c>
      <c r="O17" s="83">
        <v>4.54</v>
      </c>
      <c r="P17" s="83">
        <v>2.52</v>
      </c>
      <c r="Q17" s="83">
        <v>3.02</v>
      </c>
      <c r="R17" s="83">
        <v>3.02</v>
      </c>
      <c r="S17" s="83">
        <v>2.77</v>
      </c>
      <c r="T17" s="83">
        <v>3.28</v>
      </c>
      <c r="U17" s="83">
        <v>3.53</v>
      </c>
      <c r="V17" s="84">
        <v>22.68</v>
      </c>
      <c r="W17" s="84">
        <v>26.46</v>
      </c>
      <c r="X17" s="84">
        <v>23.18</v>
      </c>
      <c r="Y17" s="84">
        <v>27.97</v>
      </c>
      <c r="Z17" s="84">
        <v>25.2</v>
      </c>
      <c r="AA17" s="84">
        <v>23.94</v>
      </c>
      <c r="AB17" s="84">
        <v>22.68</v>
      </c>
      <c r="AC17" s="84">
        <v>20.16</v>
      </c>
      <c r="AD17" s="84">
        <v>24.95</v>
      </c>
      <c r="AE17" s="84">
        <v>22.68</v>
      </c>
      <c r="AF17" s="84">
        <v>24.95</v>
      </c>
      <c r="AG17" s="84">
        <v>27.22</v>
      </c>
      <c r="AH17" s="84">
        <v>28.48</v>
      </c>
      <c r="AI17" s="83">
        <f t="shared" si="1"/>
        <v>-26.47</v>
      </c>
      <c r="AJ17" s="83">
        <f t="shared" si="2"/>
        <v>-27.48</v>
      </c>
      <c r="AK17" s="83">
        <f t="shared" si="3"/>
        <v>-26.72</v>
      </c>
      <c r="AL17" s="83">
        <f t="shared" si="4"/>
        <v>-26.72</v>
      </c>
      <c r="AM17" s="83">
        <f t="shared" si="5"/>
        <v>-26.47</v>
      </c>
      <c r="AN17" s="83">
        <f t="shared" si="6"/>
        <v>-27.48</v>
      </c>
      <c r="AO17" s="83">
        <f t="shared" si="7"/>
        <v>-25.46</v>
      </c>
      <c r="AP17" s="83">
        <f t="shared" si="8"/>
        <v>-27.48</v>
      </c>
      <c r="AQ17" s="83">
        <f t="shared" si="9"/>
        <v>-26.98</v>
      </c>
      <c r="AR17" s="83">
        <f t="shared" si="10"/>
        <v>-26.98</v>
      </c>
      <c r="AS17" s="83">
        <f t="shared" si="11"/>
        <v>-27.23</v>
      </c>
      <c r="AT17" s="83">
        <f t="shared" si="12"/>
        <v>-26.72</v>
      </c>
      <c r="AU17" s="83">
        <f t="shared" si="13"/>
        <v>-26.47</v>
      </c>
      <c r="AV17" s="84">
        <f t="shared" si="14"/>
        <v>-7.32</v>
      </c>
      <c r="AW17" s="84">
        <f t="shared" si="15"/>
        <v>-3.5399999999999991</v>
      </c>
      <c r="AX17" s="84">
        <f t="shared" si="16"/>
        <v>-6.82</v>
      </c>
      <c r="AY17" s="84">
        <f t="shared" si="17"/>
        <v>24.689999999999998</v>
      </c>
      <c r="AZ17" s="84">
        <f t="shared" si="18"/>
        <v>-4.8000000000000007</v>
      </c>
      <c r="BA17" s="84">
        <f t="shared" si="19"/>
        <v>-6.0599999999999987</v>
      </c>
      <c r="BB17" s="84">
        <f t="shared" si="20"/>
        <v>-7.32</v>
      </c>
      <c r="BC17" s="84">
        <f t="shared" si="21"/>
        <v>-9.84</v>
      </c>
      <c r="BD17" s="84">
        <f t="shared" si="22"/>
        <v>-5.0500000000000007</v>
      </c>
      <c r="BE17" s="84">
        <f t="shared" si="23"/>
        <v>-7.32</v>
      </c>
      <c r="BF17" s="84">
        <f t="shared" si="24"/>
        <v>-5.0500000000000007</v>
      </c>
      <c r="BG17" s="84">
        <f t="shared" si="25"/>
        <v>-2.7800000000000011</v>
      </c>
      <c r="BH17" s="84">
        <f t="shared" si="26"/>
        <v>-1.5199999999999996</v>
      </c>
      <c r="BI17" s="85">
        <f t="shared" si="32"/>
        <v>-2684.058</v>
      </c>
      <c r="BJ17" s="85">
        <f t="shared" si="33"/>
        <v>-2786.4720000000002</v>
      </c>
      <c r="BK17" s="85">
        <f t="shared" si="34"/>
        <v>-2709.4079999999999</v>
      </c>
      <c r="BL17" s="85">
        <f t="shared" si="35"/>
        <v>-2709.4079999999999</v>
      </c>
      <c r="BM17" s="85">
        <f t="shared" si="36"/>
        <v>-2684.058</v>
      </c>
      <c r="BN17" s="85">
        <f t="shared" si="37"/>
        <v>-2786.4720000000002</v>
      </c>
      <c r="BO17" s="85">
        <f t="shared" si="38"/>
        <v>-2581.6440000000002</v>
      </c>
      <c r="BP17" s="85">
        <f t="shared" si="39"/>
        <v>-2786.4720000000002</v>
      </c>
      <c r="BQ17" s="85">
        <f t="shared" si="40"/>
        <v>-2735.7720000000004</v>
      </c>
      <c r="BR17" s="85">
        <f t="shared" si="41"/>
        <v>-2735.7720000000004</v>
      </c>
      <c r="BS17" s="85">
        <f t="shared" si="42"/>
        <v>-2761.1220000000003</v>
      </c>
      <c r="BT17" s="85">
        <f t="shared" si="43"/>
        <v>-2709.4079999999999</v>
      </c>
      <c r="BU17" s="85">
        <f t="shared" si="44"/>
        <v>-2684.058</v>
      </c>
      <c r="BV17" s="86">
        <f t="shared" si="45"/>
        <v>-742.24800000000005</v>
      </c>
      <c r="BW17" s="86">
        <f t="shared" si="46"/>
        <v>-358.95599999999996</v>
      </c>
      <c r="BX17" s="86">
        <f t="shared" si="47"/>
        <v>-691.54800000000012</v>
      </c>
      <c r="BY17" s="86">
        <f t="shared" si="48"/>
        <v>2503.5659999999998</v>
      </c>
      <c r="BZ17" s="86">
        <f t="shared" si="49"/>
        <v>-486.72000000000008</v>
      </c>
      <c r="CA17" s="86">
        <f t="shared" si="50"/>
        <v>-614.48399999999992</v>
      </c>
      <c r="CB17" s="86">
        <f t="shared" si="51"/>
        <v>-742.24800000000005</v>
      </c>
      <c r="CC17" s="86">
        <f t="shared" si="52"/>
        <v>-997.77600000000007</v>
      </c>
      <c r="CD17" s="86">
        <f t="shared" si="53"/>
        <v>-512.07000000000005</v>
      </c>
      <c r="CE17" s="86">
        <f t="shared" si="54"/>
        <v>-742.24800000000005</v>
      </c>
      <c r="CF17" s="86">
        <f t="shared" si="55"/>
        <v>-512.07000000000005</v>
      </c>
      <c r="CG17" s="86">
        <f t="shared" si="56"/>
        <v>-281.89200000000011</v>
      </c>
      <c r="CH17" s="86">
        <f t="shared" si="57"/>
        <v>-154.12799999999996</v>
      </c>
    </row>
    <row r="18" spans="1:86">
      <c r="A18" s="77" t="s">
        <v>17</v>
      </c>
      <c r="B18" s="77" t="s">
        <v>38</v>
      </c>
      <c r="C18" s="77">
        <v>3081429</v>
      </c>
      <c r="D18" s="77" t="s">
        <v>15</v>
      </c>
      <c r="E18" s="77">
        <v>89</v>
      </c>
      <c r="F18" s="77">
        <f t="shared" si="0"/>
        <v>144.47999999999999</v>
      </c>
      <c r="G18" s="77" t="s">
        <v>2082</v>
      </c>
      <c r="H18" s="77">
        <f>F18-E18</f>
        <v>55.47999999999999</v>
      </c>
      <c r="I18" s="83">
        <v>58.8</v>
      </c>
      <c r="J18" s="83">
        <v>55.44</v>
      </c>
      <c r="K18" s="83">
        <v>60.48</v>
      </c>
      <c r="L18" s="83">
        <v>60.48</v>
      </c>
      <c r="M18" s="83">
        <v>53.76</v>
      </c>
      <c r="N18" s="83">
        <v>55.44</v>
      </c>
      <c r="O18" s="83">
        <v>16.8</v>
      </c>
      <c r="P18" s="83">
        <v>18.48</v>
      </c>
      <c r="Q18" s="83">
        <v>16.8</v>
      </c>
      <c r="R18" s="83">
        <v>18.48</v>
      </c>
      <c r="S18" s="83">
        <v>18.48</v>
      </c>
      <c r="T18" s="83">
        <v>23.52</v>
      </c>
      <c r="U18" s="83">
        <v>21.84</v>
      </c>
      <c r="V18" s="84">
        <v>112.56</v>
      </c>
      <c r="W18" s="84">
        <v>112.56</v>
      </c>
      <c r="X18" s="84">
        <v>115.92</v>
      </c>
      <c r="Y18" s="84">
        <v>109.2</v>
      </c>
      <c r="Z18" s="84">
        <v>136.08000000000001</v>
      </c>
      <c r="AA18" s="84">
        <v>127.68</v>
      </c>
      <c r="AB18" s="84">
        <v>114.24</v>
      </c>
      <c r="AC18" s="84">
        <v>124.32</v>
      </c>
      <c r="AD18" s="84">
        <v>92.4</v>
      </c>
      <c r="AE18" s="84">
        <v>114.24</v>
      </c>
      <c r="AF18" s="84">
        <v>137.76</v>
      </c>
      <c r="AG18" s="84">
        <v>144.47999999999999</v>
      </c>
      <c r="AH18" s="84">
        <v>122.64</v>
      </c>
      <c r="AI18" s="83">
        <f t="shared" si="1"/>
        <v>-30.200000000000003</v>
      </c>
      <c r="AJ18" s="83">
        <f t="shared" si="2"/>
        <v>-33.56</v>
      </c>
      <c r="AK18" s="83">
        <f t="shared" si="3"/>
        <v>-28.520000000000003</v>
      </c>
      <c r="AL18" s="83">
        <f t="shared" si="4"/>
        <v>-28.520000000000003</v>
      </c>
      <c r="AM18" s="83">
        <f t="shared" si="5"/>
        <v>-35.24</v>
      </c>
      <c r="AN18" s="83">
        <f t="shared" si="6"/>
        <v>-33.56</v>
      </c>
      <c r="AO18" s="83">
        <f t="shared" si="7"/>
        <v>-72.2</v>
      </c>
      <c r="AP18" s="83">
        <f t="shared" si="8"/>
        <v>-70.52</v>
      </c>
      <c r="AQ18" s="83">
        <f t="shared" si="9"/>
        <v>-72.2</v>
      </c>
      <c r="AR18" s="83">
        <f t="shared" si="10"/>
        <v>-70.52</v>
      </c>
      <c r="AS18" s="83">
        <f t="shared" si="11"/>
        <v>-70.52</v>
      </c>
      <c r="AT18" s="83">
        <f t="shared" si="12"/>
        <v>-65.48</v>
      </c>
      <c r="AU18" s="83">
        <f t="shared" si="13"/>
        <v>-67.16</v>
      </c>
      <c r="AV18" s="84">
        <f t="shared" si="14"/>
        <v>23.560000000000002</v>
      </c>
      <c r="AW18" s="84">
        <f t="shared" si="15"/>
        <v>23.560000000000002</v>
      </c>
      <c r="AX18" s="84">
        <f t="shared" si="16"/>
        <v>26.92</v>
      </c>
      <c r="AY18" s="84">
        <f t="shared" si="17"/>
        <v>48.720000000000006</v>
      </c>
      <c r="AZ18" s="84">
        <f t="shared" si="18"/>
        <v>47.080000000000013</v>
      </c>
      <c r="BA18" s="84">
        <f t="shared" si="19"/>
        <v>38.680000000000007</v>
      </c>
      <c r="BB18" s="84">
        <f t="shared" si="20"/>
        <v>25.239999999999995</v>
      </c>
      <c r="BC18" s="84">
        <f t="shared" si="21"/>
        <v>35.319999999999993</v>
      </c>
      <c r="BD18" s="84">
        <f t="shared" si="22"/>
        <v>3.4000000000000057</v>
      </c>
      <c r="BE18" s="84">
        <f t="shared" si="23"/>
        <v>25.239999999999995</v>
      </c>
      <c r="BF18" s="84">
        <f t="shared" si="24"/>
        <v>48.759999999999991</v>
      </c>
      <c r="BG18" s="84">
        <f t="shared" si="25"/>
        <v>55.47999999999999</v>
      </c>
      <c r="BH18" s="84">
        <f t="shared" si="26"/>
        <v>33.64</v>
      </c>
      <c r="BI18" s="85">
        <f t="shared" si="32"/>
        <v>-3062.2800000000007</v>
      </c>
      <c r="BJ18" s="85">
        <f t="shared" si="33"/>
        <v>-3402.9840000000004</v>
      </c>
      <c r="BK18" s="85">
        <f t="shared" si="34"/>
        <v>-2891.9280000000003</v>
      </c>
      <c r="BL18" s="85">
        <f t="shared" si="35"/>
        <v>-2891.9280000000003</v>
      </c>
      <c r="BM18" s="85">
        <f t="shared" si="36"/>
        <v>-3573.3360000000002</v>
      </c>
      <c r="BN18" s="85">
        <f t="shared" si="37"/>
        <v>-3402.9840000000004</v>
      </c>
      <c r="BO18" s="85">
        <f t="shared" si="38"/>
        <v>-7321.0800000000008</v>
      </c>
      <c r="BP18" s="85">
        <f t="shared" si="39"/>
        <v>-7150.7280000000001</v>
      </c>
      <c r="BQ18" s="85">
        <f t="shared" si="40"/>
        <v>-7321.0800000000008</v>
      </c>
      <c r="BR18" s="85">
        <f t="shared" si="41"/>
        <v>-7150.7280000000001</v>
      </c>
      <c r="BS18" s="85">
        <f t="shared" si="42"/>
        <v>-7150.7280000000001</v>
      </c>
      <c r="BT18" s="85">
        <f t="shared" si="43"/>
        <v>-6639.6720000000005</v>
      </c>
      <c r="BU18" s="85">
        <f t="shared" si="44"/>
        <v>-6810.0240000000003</v>
      </c>
      <c r="BV18" s="86">
        <f t="shared" si="45"/>
        <v>2388.9840000000004</v>
      </c>
      <c r="BW18" s="86">
        <f t="shared" si="46"/>
        <v>2388.9840000000004</v>
      </c>
      <c r="BX18" s="86">
        <f t="shared" si="47"/>
        <v>2729.6880000000001</v>
      </c>
      <c r="BY18" s="86">
        <f t="shared" si="48"/>
        <v>4940.2080000000005</v>
      </c>
      <c r="BZ18" s="86">
        <f t="shared" si="49"/>
        <v>4773.9120000000012</v>
      </c>
      <c r="CA18" s="86">
        <f t="shared" si="50"/>
        <v>3922.152000000001</v>
      </c>
      <c r="CB18" s="86">
        <f t="shared" si="51"/>
        <v>2559.3359999999998</v>
      </c>
      <c r="CC18" s="86">
        <f t="shared" si="52"/>
        <v>3581.4479999999994</v>
      </c>
      <c r="CD18" s="86">
        <f t="shared" si="53"/>
        <v>344.76000000000062</v>
      </c>
      <c r="CE18" s="86">
        <f t="shared" si="54"/>
        <v>2559.3359999999998</v>
      </c>
      <c r="CF18" s="86">
        <f t="shared" si="55"/>
        <v>4944.2639999999992</v>
      </c>
      <c r="CG18" s="86">
        <f t="shared" si="56"/>
        <v>5625.6719999999996</v>
      </c>
      <c r="CH18" s="86">
        <f t="shared" si="57"/>
        <v>3411.0960000000005</v>
      </c>
    </row>
    <row r="19" spans="1:86">
      <c r="A19" s="77" t="s">
        <v>17</v>
      </c>
      <c r="B19" s="77" t="s">
        <v>42</v>
      </c>
      <c r="C19" s="77">
        <v>21035</v>
      </c>
      <c r="D19" s="77" t="s">
        <v>15</v>
      </c>
      <c r="E19" s="77">
        <v>223</v>
      </c>
      <c r="F19" s="77">
        <f t="shared" si="0"/>
        <v>265.44</v>
      </c>
      <c r="G19" s="77" t="s">
        <v>2082</v>
      </c>
      <c r="H19" s="77">
        <f>F19-E19</f>
        <v>42.44</v>
      </c>
      <c r="I19" s="83">
        <v>198.24</v>
      </c>
      <c r="J19" s="83">
        <v>21</v>
      </c>
      <c r="K19" s="83">
        <v>19.32</v>
      </c>
      <c r="L19" s="83">
        <v>265.44</v>
      </c>
      <c r="M19" s="83">
        <v>199.92</v>
      </c>
      <c r="N19" s="83">
        <v>194.04</v>
      </c>
      <c r="O19" s="83">
        <v>199.92</v>
      </c>
      <c r="P19" s="83">
        <v>175.56</v>
      </c>
      <c r="Q19" s="83">
        <v>188.16</v>
      </c>
      <c r="R19" s="83">
        <v>192.36</v>
      </c>
      <c r="S19" s="83">
        <v>258.72000000000003</v>
      </c>
      <c r="T19" s="83">
        <v>94.92</v>
      </c>
      <c r="U19" s="83">
        <v>16.8</v>
      </c>
      <c r="V19" s="84">
        <v>243.6</v>
      </c>
      <c r="W19" s="84">
        <v>175.56</v>
      </c>
      <c r="X19" s="84">
        <v>34.44</v>
      </c>
      <c r="Y19" s="84">
        <v>262.08</v>
      </c>
      <c r="Z19" s="84">
        <v>243.6</v>
      </c>
      <c r="AA19" s="84">
        <v>257.04000000000002</v>
      </c>
      <c r="AB19" s="84">
        <v>221.76</v>
      </c>
      <c r="AC19" s="84">
        <v>180.6</v>
      </c>
      <c r="AD19" s="84">
        <v>201.6</v>
      </c>
      <c r="AE19" s="84">
        <v>188.16</v>
      </c>
      <c r="AF19" s="84">
        <v>253.68</v>
      </c>
      <c r="AG19" s="84">
        <v>119.28</v>
      </c>
      <c r="AH19" s="84">
        <v>36.96</v>
      </c>
      <c r="AI19" s="83">
        <f t="shared" si="1"/>
        <v>-24.759999999999991</v>
      </c>
      <c r="AJ19" s="83">
        <f t="shared" si="2"/>
        <v>-202</v>
      </c>
      <c r="AK19" s="83">
        <f t="shared" si="3"/>
        <v>-203.68</v>
      </c>
      <c r="AL19" s="83">
        <f t="shared" si="4"/>
        <v>42.44</v>
      </c>
      <c r="AM19" s="83">
        <f t="shared" si="5"/>
        <v>-23.080000000000013</v>
      </c>
      <c r="AN19" s="83">
        <f t="shared" si="6"/>
        <v>-28.960000000000008</v>
      </c>
      <c r="AO19" s="83">
        <f t="shared" si="7"/>
        <v>-23.080000000000013</v>
      </c>
      <c r="AP19" s="83">
        <f t="shared" si="8"/>
        <v>-47.44</v>
      </c>
      <c r="AQ19" s="83">
        <f t="shared" si="9"/>
        <v>-34.840000000000003</v>
      </c>
      <c r="AR19" s="83">
        <f t="shared" si="10"/>
        <v>-30.639999999999986</v>
      </c>
      <c r="AS19" s="83">
        <f t="shared" si="11"/>
        <v>35.720000000000027</v>
      </c>
      <c r="AT19" s="83">
        <f t="shared" si="12"/>
        <v>-128.07999999999998</v>
      </c>
      <c r="AU19" s="83">
        <f t="shared" si="13"/>
        <v>-206.2</v>
      </c>
      <c r="AV19" s="84">
        <f t="shared" si="14"/>
        <v>20.599999999999994</v>
      </c>
      <c r="AW19" s="84">
        <f t="shared" si="15"/>
        <v>-47.44</v>
      </c>
      <c r="AX19" s="84">
        <f t="shared" si="16"/>
        <v>-188.56</v>
      </c>
      <c r="AY19" s="84">
        <f t="shared" si="17"/>
        <v>242.76</v>
      </c>
      <c r="AZ19" s="84">
        <f t="shared" si="18"/>
        <v>20.599999999999994</v>
      </c>
      <c r="BA19" s="84">
        <f t="shared" si="19"/>
        <v>34.04000000000002</v>
      </c>
      <c r="BB19" s="84">
        <f t="shared" si="20"/>
        <v>-1.2400000000000091</v>
      </c>
      <c r="BC19" s="84">
        <f t="shared" si="21"/>
        <v>-42.400000000000006</v>
      </c>
      <c r="BD19" s="84">
        <f t="shared" si="22"/>
        <v>-21.400000000000006</v>
      </c>
      <c r="BE19" s="84">
        <f t="shared" si="23"/>
        <v>-34.840000000000003</v>
      </c>
      <c r="BF19" s="84">
        <f t="shared" si="24"/>
        <v>30.680000000000007</v>
      </c>
      <c r="BG19" s="84">
        <f t="shared" si="25"/>
        <v>-103.72</v>
      </c>
      <c r="BH19" s="84">
        <f t="shared" si="26"/>
        <v>-186.04</v>
      </c>
      <c r="BI19" s="85">
        <f t="shared" si="32"/>
        <v>-2510.6639999999993</v>
      </c>
      <c r="BJ19" s="85">
        <f t="shared" si="33"/>
        <v>-20482.800000000003</v>
      </c>
      <c r="BK19" s="85">
        <f t="shared" si="34"/>
        <v>-20653.152000000002</v>
      </c>
      <c r="BL19" s="85">
        <f t="shared" si="35"/>
        <v>4303.4160000000002</v>
      </c>
      <c r="BM19" s="85">
        <f t="shared" si="36"/>
        <v>-2340.3120000000013</v>
      </c>
      <c r="BN19" s="85">
        <f t="shared" si="37"/>
        <v>-2936.5440000000008</v>
      </c>
      <c r="BO19" s="85">
        <f t="shared" si="38"/>
        <v>-2340.3120000000013</v>
      </c>
      <c r="BP19" s="85">
        <f t="shared" si="39"/>
        <v>-4810.4160000000002</v>
      </c>
      <c r="BQ19" s="85">
        <f t="shared" si="40"/>
        <v>-3532.7760000000007</v>
      </c>
      <c r="BR19" s="85">
        <f t="shared" si="41"/>
        <v>-3106.8959999999988</v>
      </c>
      <c r="BS19" s="85">
        <f t="shared" si="42"/>
        <v>3622.008000000003</v>
      </c>
      <c r="BT19" s="85">
        <f t="shared" si="43"/>
        <v>-12987.312</v>
      </c>
      <c r="BU19" s="85">
        <f t="shared" si="44"/>
        <v>-20908.68</v>
      </c>
      <c r="BV19" s="86">
        <f t="shared" si="45"/>
        <v>2088.8399999999997</v>
      </c>
      <c r="BW19" s="86">
        <f t="shared" si="46"/>
        <v>-4810.4160000000002</v>
      </c>
      <c r="BX19" s="86">
        <f t="shared" si="47"/>
        <v>-19119.984</v>
      </c>
      <c r="BY19" s="86">
        <f t="shared" si="48"/>
        <v>24615.864000000001</v>
      </c>
      <c r="BZ19" s="86">
        <f t="shared" si="49"/>
        <v>2088.8399999999997</v>
      </c>
      <c r="CA19" s="86">
        <f t="shared" si="50"/>
        <v>3451.6560000000022</v>
      </c>
      <c r="CB19" s="86">
        <f t="shared" si="51"/>
        <v>-125.73600000000093</v>
      </c>
      <c r="CC19" s="86">
        <f t="shared" si="52"/>
        <v>-4299.3600000000006</v>
      </c>
      <c r="CD19" s="86">
        <f t="shared" si="53"/>
        <v>-2169.9600000000005</v>
      </c>
      <c r="CE19" s="86">
        <f t="shared" si="54"/>
        <v>-3532.7760000000007</v>
      </c>
      <c r="CF19" s="86">
        <f t="shared" si="55"/>
        <v>3110.9520000000007</v>
      </c>
      <c r="CG19" s="86">
        <f t="shared" si="56"/>
        <v>-10517.208000000001</v>
      </c>
      <c r="CH19" s="86">
        <f t="shared" si="57"/>
        <v>-18864.456000000002</v>
      </c>
    </row>
    <row r="20" spans="1:86">
      <c r="A20" s="77" t="s">
        <v>17</v>
      </c>
      <c r="B20" s="77" t="s">
        <v>44</v>
      </c>
      <c r="C20" s="77">
        <v>4778950</v>
      </c>
      <c r="D20" s="77" t="s">
        <v>15</v>
      </c>
      <c r="E20" s="77">
        <v>55</v>
      </c>
      <c r="F20" s="77">
        <f t="shared" si="0"/>
        <v>21.84</v>
      </c>
      <c r="G20" s="77">
        <f>E20-F20</f>
        <v>33.159999999999997</v>
      </c>
      <c r="H20" s="77" t="s">
        <v>2082</v>
      </c>
      <c r="I20" s="83">
        <v>17.47</v>
      </c>
      <c r="J20" s="83">
        <v>16.13</v>
      </c>
      <c r="K20" s="83">
        <v>13.44</v>
      </c>
      <c r="L20" s="83">
        <v>17.14</v>
      </c>
      <c r="M20" s="83">
        <v>16.46</v>
      </c>
      <c r="N20" s="83">
        <v>14.45</v>
      </c>
      <c r="O20" s="83">
        <v>9.41</v>
      </c>
      <c r="P20" s="83">
        <v>8.4</v>
      </c>
      <c r="Q20" s="83">
        <v>7.06</v>
      </c>
      <c r="R20" s="83">
        <v>15.79</v>
      </c>
      <c r="S20" s="83">
        <v>13.44</v>
      </c>
      <c r="T20" s="83">
        <v>11.76</v>
      </c>
      <c r="U20" s="83">
        <v>16.8</v>
      </c>
      <c r="V20" s="84">
        <v>19.149999999999999</v>
      </c>
      <c r="W20" s="84">
        <v>16.13</v>
      </c>
      <c r="X20" s="84">
        <v>15.79</v>
      </c>
      <c r="Y20" s="84">
        <v>21.84</v>
      </c>
      <c r="Z20" s="84">
        <v>16.46</v>
      </c>
      <c r="AA20" s="84">
        <v>15.46</v>
      </c>
      <c r="AB20" s="84">
        <v>10.42</v>
      </c>
      <c r="AC20" s="84">
        <v>8.4</v>
      </c>
      <c r="AD20" s="84">
        <v>10.42</v>
      </c>
      <c r="AE20" s="84">
        <v>12.43</v>
      </c>
      <c r="AF20" s="84">
        <v>13.44</v>
      </c>
      <c r="AG20" s="84">
        <v>17.47</v>
      </c>
      <c r="AH20" s="84">
        <v>21.84</v>
      </c>
      <c r="AI20" s="83">
        <f t="shared" si="1"/>
        <v>-37.53</v>
      </c>
      <c r="AJ20" s="83">
        <f t="shared" si="2"/>
        <v>-38.870000000000005</v>
      </c>
      <c r="AK20" s="83">
        <f t="shared" si="3"/>
        <v>-41.56</v>
      </c>
      <c r="AL20" s="83">
        <f t="shared" si="4"/>
        <v>-37.86</v>
      </c>
      <c r="AM20" s="83">
        <f t="shared" si="5"/>
        <v>-38.54</v>
      </c>
      <c r="AN20" s="83">
        <f t="shared" si="6"/>
        <v>-40.549999999999997</v>
      </c>
      <c r="AO20" s="83">
        <f t="shared" si="7"/>
        <v>-45.59</v>
      </c>
      <c r="AP20" s="83">
        <f t="shared" si="8"/>
        <v>-46.6</v>
      </c>
      <c r="AQ20" s="83">
        <f t="shared" si="9"/>
        <v>-47.94</v>
      </c>
      <c r="AR20" s="83">
        <f t="shared" si="10"/>
        <v>-39.21</v>
      </c>
      <c r="AS20" s="83">
        <f t="shared" si="11"/>
        <v>-41.56</v>
      </c>
      <c r="AT20" s="83">
        <f t="shared" si="12"/>
        <v>-43.24</v>
      </c>
      <c r="AU20" s="83">
        <f t="shared" si="13"/>
        <v>-38.200000000000003</v>
      </c>
      <c r="AV20" s="84">
        <f t="shared" si="14"/>
        <v>-35.85</v>
      </c>
      <c r="AW20" s="84">
        <f t="shared" si="15"/>
        <v>-38.870000000000005</v>
      </c>
      <c r="AX20" s="84">
        <f t="shared" si="16"/>
        <v>-39.21</v>
      </c>
      <c r="AY20" s="84">
        <f t="shared" si="17"/>
        <v>8.4</v>
      </c>
      <c r="AZ20" s="84">
        <f t="shared" si="18"/>
        <v>-38.54</v>
      </c>
      <c r="BA20" s="84">
        <f t="shared" si="19"/>
        <v>-39.54</v>
      </c>
      <c r="BB20" s="84">
        <f t="shared" si="20"/>
        <v>-44.58</v>
      </c>
      <c r="BC20" s="84">
        <f t="shared" si="21"/>
        <v>-46.6</v>
      </c>
      <c r="BD20" s="84">
        <f t="shared" si="22"/>
        <v>-44.58</v>
      </c>
      <c r="BE20" s="84">
        <f t="shared" si="23"/>
        <v>-42.57</v>
      </c>
      <c r="BF20" s="84">
        <f t="shared" si="24"/>
        <v>-41.56</v>
      </c>
      <c r="BG20" s="84">
        <f t="shared" si="25"/>
        <v>-37.53</v>
      </c>
      <c r="BH20" s="84">
        <f t="shared" si="26"/>
        <v>-33.159999999999997</v>
      </c>
      <c r="BI20" s="85">
        <f t="shared" si="32"/>
        <v>-3805.5420000000004</v>
      </c>
      <c r="BJ20" s="85">
        <f t="shared" si="33"/>
        <v>-3941.4180000000006</v>
      </c>
      <c r="BK20" s="85">
        <f t="shared" si="34"/>
        <v>-4214.1840000000002</v>
      </c>
      <c r="BL20" s="85">
        <f t="shared" si="35"/>
        <v>-3839.0040000000004</v>
      </c>
      <c r="BM20" s="85">
        <f t="shared" si="36"/>
        <v>-3907.9560000000001</v>
      </c>
      <c r="BN20" s="85">
        <f t="shared" si="37"/>
        <v>-4111.7699999999995</v>
      </c>
      <c r="BO20" s="85">
        <f t="shared" si="38"/>
        <v>-4622.8260000000009</v>
      </c>
      <c r="BP20" s="85">
        <f t="shared" si="39"/>
        <v>-4725.2400000000007</v>
      </c>
      <c r="BQ20" s="85">
        <f t="shared" si="40"/>
        <v>-4861.116</v>
      </c>
      <c r="BR20" s="85">
        <f t="shared" si="41"/>
        <v>-3975.8940000000002</v>
      </c>
      <c r="BS20" s="85">
        <f t="shared" si="42"/>
        <v>-4214.1840000000002</v>
      </c>
      <c r="BT20" s="85">
        <f t="shared" si="43"/>
        <v>-4384.5360000000001</v>
      </c>
      <c r="BU20" s="85">
        <f t="shared" si="44"/>
        <v>-3873.4800000000005</v>
      </c>
      <c r="BV20" s="86">
        <f t="shared" si="45"/>
        <v>-3635.1900000000005</v>
      </c>
      <c r="BW20" s="86">
        <f t="shared" si="46"/>
        <v>-3941.4180000000006</v>
      </c>
      <c r="BX20" s="86">
        <f t="shared" si="47"/>
        <v>-3975.8940000000002</v>
      </c>
      <c r="BY20" s="86">
        <f t="shared" si="48"/>
        <v>851.7600000000001</v>
      </c>
      <c r="BZ20" s="86">
        <f t="shared" si="49"/>
        <v>-3907.9560000000001</v>
      </c>
      <c r="CA20" s="86">
        <f t="shared" si="50"/>
        <v>-4009.3560000000002</v>
      </c>
      <c r="CB20" s="86">
        <f t="shared" si="51"/>
        <v>-4520.4120000000003</v>
      </c>
      <c r="CC20" s="86">
        <f t="shared" si="52"/>
        <v>-4725.2400000000007</v>
      </c>
      <c r="CD20" s="86">
        <f t="shared" si="53"/>
        <v>-4520.4120000000003</v>
      </c>
      <c r="CE20" s="86">
        <f t="shared" si="54"/>
        <v>-4316.598</v>
      </c>
      <c r="CF20" s="86">
        <f t="shared" si="55"/>
        <v>-4214.1840000000002</v>
      </c>
      <c r="CG20" s="86">
        <f t="shared" si="56"/>
        <v>-3805.5420000000004</v>
      </c>
      <c r="CH20" s="86">
        <f t="shared" si="57"/>
        <v>-3362.424</v>
      </c>
    </row>
    <row r="21" spans="1:86" ht="15.75" customHeight="1">
      <c r="A21" s="77" t="s">
        <v>17</v>
      </c>
      <c r="B21" s="77" t="s">
        <v>45</v>
      </c>
      <c r="C21" s="77">
        <v>3123908</v>
      </c>
      <c r="D21" s="77" t="s">
        <v>15</v>
      </c>
      <c r="E21" s="77">
        <v>30</v>
      </c>
      <c r="F21" s="77">
        <f t="shared" si="0"/>
        <v>14.28</v>
      </c>
      <c r="G21" s="77">
        <f>E21-F21</f>
        <v>15.72</v>
      </c>
      <c r="H21" s="77" t="s">
        <v>2082</v>
      </c>
      <c r="I21" s="83">
        <v>1.68</v>
      </c>
      <c r="J21" s="83">
        <v>8.4</v>
      </c>
      <c r="K21" s="83">
        <v>8.4</v>
      </c>
      <c r="L21" s="83">
        <v>7.56</v>
      </c>
      <c r="M21" s="83">
        <v>4.2</v>
      </c>
      <c r="N21" s="83">
        <v>4.2</v>
      </c>
      <c r="O21" s="83">
        <v>4.2</v>
      </c>
      <c r="P21" s="83">
        <v>2.52</v>
      </c>
      <c r="Q21" s="83">
        <v>3.36</v>
      </c>
      <c r="R21" s="83">
        <v>2.52</v>
      </c>
      <c r="S21" s="83">
        <v>2.52</v>
      </c>
      <c r="T21" s="83">
        <v>2.52</v>
      </c>
      <c r="U21" s="83">
        <v>2.52</v>
      </c>
      <c r="V21" s="84">
        <v>9.24</v>
      </c>
      <c r="W21" s="84">
        <v>9.24</v>
      </c>
      <c r="X21" s="84">
        <v>8.4</v>
      </c>
      <c r="Y21" s="84">
        <v>9.24</v>
      </c>
      <c r="Z21" s="84">
        <v>7.56</v>
      </c>
      <c r="AA21" s="84">
        <v>7.56</v>
      </c>
      <c r="AB21" s="84">
        <v>6.72</v>
      </c>
      <c r="AC21" s="84">
        <v>3.36</v>
      </c>
      <c r="AD21" s="84">
        <v>14.28</v>
      </c>
      <c r="AE21" s="84">
        <v>2.52</v>
      </c>
      <c r="AF21" s="84">
        <v>3.36</v>
      </c>
      <c r="AG21" s="84">
        <v>2.52</v>
      </c>
      <c r="AH21" s="84">
        <v>2.52</v>
      </c>
      <c r="AI21" s="83">
        <f t="shared" si="1"/>
        <v>-28.32</v>
      </c>
      <c r="AJ21" s="83">
        <f t="shared" si="2"/>
        <v>-21.6</v>
      </c>
      <c r="AK21" s="83">
        <f t="shared" si="3"/>
        <v>-21.6</v>
      </c>
      <c r="AL21" s="83">
        <f t="shared" si="4"/>
        <v>-22.44</v>
      </c>
      <c r="AM21" s="83">
        <f t="shared" si="5"/>
        <v>-25.8</v>
      </c>
      <c r="AN21" s="83">
        <f t="shared" si="6"/>
        <v>-25.8</v>
      </c>
      <c r="AO21" s="83">
        <f t="shared" si="7"/>
        <v>-25.8</v>
      </c>
      <c r="AP21" s="83">
        <f t="shared" si="8"/>
        <v>-27.48</v>
      </c>
      <c r="AQ21" s="83">
        <f t="shared" si="9"/>
        <v>-26.64</v>
      </c>
      <c r="AR21" s="83">
        <f t="shared" si="10"/>
        <v>-27.48</v>
      </c>
      <c r="AS21" s="83">
        <f t="shared" si="11"/>
        <v>-27.48</v>
      </c>
      <c r="AT21" s="83">
        <f t="shared" si="12"/>
        <v>-27.48</v>
      </c>
      <c r="AU21" s="83">
        <f t="shared" si="13"/>
        <v>-27.48</v>
      </c>
      <c r="AV21" s="84">
        <f t="shared" si="14"/>
        <v>-20.759999999999998</v>
      </c>
      <c r="AW21" s="84">
        <f t="shared" si="15"/>
        <v>-20.759999999999998</v>
      </c>
      <c r="AX21" s="84">
        <f t="shared" si="16"/>
        <v>-21.6</v>
      </c>
      <c r="AY21" s="84">
        <f t="shared" si="17"/>
        <v>0.83999999999999986</v>
      </c>
      <c r="AZ21" s="84">
        <f t="shared" si="18"/>
        <v>-22.44</v>
      </c>
      <c r="BA21" s="84">
        <f t="shared" si="19"/>
        <v>-22.44</v>
      </c>
      <c r="BB21" s="84">
        <f t="shared" si="20"/>
        <v>-23.28</v>
      </c>
      <c r="BC21" s="84">
        <f t="shared" si="21"/>
        <v>-26.64</v>
      </c>
      <c r="BD21" s="84">
        <f t="shared" si="22"/>
        <v>-15.72</v>
      </c>
      <c r="BE21" s="84">
        <f t="shared" si="23"/>
        <v>-27.48</v>
      </c>
      <c r="BF21" s="84">
        <f t="shared" si="24"/>
        <v>-26.64</v>
      </c>
      <c r="BG21" s="84">
        <f t="shared" si="25"/>
        <v>-27.48</v>
      </c>
      <c r="BH21" s="84">
        <f t="shared" si="26"/>
        <v>-27.48</v>
      </c>
      <c r="BI21" s="85">
        <f t="shared" si="32"/>
        <v>-2871.6480000000001</v>
      </c>
      <c r="BJ21" s="85">
        <f t="shared" si="33"/>
        <v>-2190.2400000000002</v>
      </c>
      <c r="BK21" s="85">
        <f t="shared" si="34"/>
        <v>-2190.2400000000002</v>
      </c>
      <c r="BL21" s="85">
        <f t="shared" si="35"/>
        <v>-2275.4160000000002</v>
      </c>
      <c r="BM21" s="85">
        <f t="shared" si="36"/>
        <v>-2616.1200000000003</v>
      </c>
      <c r="BN21" s="85">
        <f t="shared" si="37"/>
        <v>-2616.1200000000003</v>
      </c>
      <c r="BO21" s="85">
        <f t="shared" si="38"/>
        <v>-2616.1200000000003</v>
      </c>
      <c r="BP21" s="85">
        <f t="shared" si="39"/>
        <v>-2786.4720000000002</v>
      </c>
      <c r="BQ21" s="85">
        <f t="shared" si="40"/>
        <v>-2701.2960000000003</v>
      </c>
      <c r="BR21" s="85">
        <f t="shared" si="41"/>
        <v>-2786.4720000000002</v>
      </c>
      <c r="BS21" s="85">
        <f t="shared" si="42"/>
        <v>-2786.4720000000002</v>
      </c>
      <c r="BT21" s="85">
        <f t="shared" si="43"/>
        <v>-2786.4720000000002</v>
      </c>
      <c r="BU21" s="85">
        <f t="shared" si="44"/>
        <v>-2786.4720000000002</v>
      </c>
      <c r="BV21" s="86">
        <f t="shared" si="45"/>
        <v>-2105.0639999999999</v>
      </c>
      <c r="BW21" s="86">
        <f t="shared" si="46"/>
        <v>-2105.0639999999999</v>
      </c>
      <c r="BX21" s="86">
        <f t="shared" si="47"/>
        <v>-2190.2400000000002</v>
      </c>
      <c r="BY21" s="86">
        <f t="shared" si="48"/>
        <v>85.175999999999988</v>
      </c>
      <c r="BZ21" s="86">
        <f t="shared" si="49"/>
        <v>-2275.4160000000002</v>
      </c>
      <c r="CA21" s="86">
        <f t="shared" si="50"/>
        <v>-2275.4160000000002</v>
      </c>
      <c r="CB21" s="86">
        <f t="shared" si="51"/>
        <v>-2360.5920000000001</v>
      </c>
      <c r="CC21" s="86">
        <f t="shared" si="52"/>
        <v>-2701.2960000000003</v>
      </c>
      <c r="CD21" s="86">
        <f t="shared" si="53"/>
        <v>-1594.0080000000003</v>
      </c>
      <c r="CE21" s="86">
        <f t="shared" si="54"/>
        <v>-2786.4720000000002</v>
      </c>
      <c r="CF21" s="86">
        <f t="shared" si="55"/>
        <v>-2701.2960000000003</v>
      </c>
      <c r="CG21" s="86">
        <f t="shared" si="56"/>
        <v>-2786.4720000000002</v>
      </c>
      <c r="CH21" s="86">
        <f t="shared" si="57"/>
        <v>-2786.4720000000002</v>
      </c>
    </row>
    <row r="22" spans="1:86" ht="15.75" customHeight="1">
      <c r="A22" s="77" t="s">
        <v>17</v>
      </c>
      <c r="B22" s="77" t="s">
        <v>46</v>
      </c>
      <c r="C22" s="77">
        <v>20667</v>
      </c>
      <c r="D22" s="77" t="s">
        <v>15</v>
      </c>
      <c r="E22" s="77">
        <v>150</v>
      </c>
      <c r="F22" s="77">
        <f t="shared" si="0"/>
        <v>228.48</v>
      </c>
      <c r="G22" s="77" t="s">
        <v>2082</v>
      </c>
      <c r="H22" s="77">
        <f>F22-E22</f>
        <v>78.47999999999999</v>
      </c>
      <c r="I22" s="83">
        <v>61.15</v>
      </c>
      <c r="J22" s="83">
        <v>68.88</v>
      </c>
      <c r="K22" s="83">
        <v>57.46</v>
      </c>
      <c r="L22" s="83">
        <v>56.78</v>
      </c>
      <c r="M22" s="83">
        <v>60.14</v>
      </c>
      <c r="N22" s="83">
        <v>48.38</v>
      </c>
      <c r="O22" s="83">
        <v>41.33</v>
      </c>
      <c r="P22" s="83">
        <v>38.64</v>
      </c>
      <c r="Q22" s="83">
        <v>36.96</v>
      </c>
      <c r="R22" s="83">
        <v>37.299999999999997</v>
      </c>
      <c r="S22" s="83">
        <v>60.82</v>
      </c>
      <c r="T22" s="83">
        <v>55.78</v>
      </c>
      <c r="U22" s="83">
        <v>67.2</v>
      </c>
      <c r="V22" s="84">
        <v>214.37</v>
      </c>
      <c r="W22" s="84">
        <v>215.71</v>
      </c>
      <c r="X22" s="84">
        <v>214.37</v>
      </c>
      <c r="Y22" s="84">
        <v>219.74</v>
      </c>
      <c r="Z22" s="84">
        <v>186.48</v>
      </c>
      <c r="AA22" s="84">
        <v>180.77</v>
      </c>
      <c r="AB22" s="84">
        <v>161.28</v>
      </c>
      <c r="AC22" s="84">
        <v>153.22</v>
      </c>
      <c r="AD22" s="84">
        <v>146.5</v>
      </c>
      <c r="AE22" s="84">
        <v>154.22</v>
      </c>
      <c r="AF22" s="84">
        <v>210</v>
      </c>
      <c r="AG22" s="84">
        <v>196.56</v>
      </c>
      <c r="AH22" s="84">
        <v>228.48</v>
      </c>
      <c r="AI22" s="83">
        <f t="shared" si="1"/>
        <v>-88.85</v>
      </c>
      <c r="AJ22" s="83">
        <f t="shared" si="2"/>
        <v>-81.12</v>
      </c>
      <c r="AK22" s="83">
        <f t="shared" si="3"/>
        <v>-92.539999999999992</v>
      </c>
      <c r="AL22" s="83">
        <f t="shared" si="4"/>
        <v>-93.22</v>
      </c>
      <c r="AM22" s="83">
        <f t="shared" si="5"/>
        <v>-89.86</v>
      </c>
      <c r="AN22" s="83">
        <f t="shared" si="6"/>
        <v>-101.62</v>
      </c>
      <c r="AO22" s="83">
        <f t="shared" si="7"/>
        <v>-108.67</v>
      </c>
      <c r="AP22" s="83">
        <f t="shared" si="8"/>
        <v>-111.36</v>
      </c>
      <c r="AQ22" s="83">
        <f t="shared" si="9"/>
        <v>-113.03999999999999</v>
      </c>
      <c r="AR22" s="83">
        <f t="shared" si="10"/>
        <v>-112.7</v>
      </c>
      <c r="AS22" s="83">
        <f t="shared" si="11"/>
        <v>-89.18</v>
      </c>
      <c r="AT22" s="83">
        <f t="shared" si="12"/>
        <v>-94.22</v>
      </c>
      <c r="AU22" s="83">
        <f t="shared" si="13"/>
        <v>-82.8</v>
      </c>
      <c r="AV22" s="84">
        <f t="shared" si="14"/>
        <v>64.37</v>
      </c>
      <c r="AW22" s="84">
        <f t="shared" si="15"/>
        <v>65.710000000000008</v>
      </c>
      <c r="AX22" s="84">
        <f t="shared" si="16"/>
        <v>64.37</v>
      </c>
      <c r="AY22" s="84">
        <f t="shared" si="17"/>
        <v>162.28</v>
      </c>
      <c r="AZ22" s="84">
        <f t="shared" si="18"/>
        <v>36.47999999999999</v>
      </c>
      <c r="BA22" s="84">
        <f t="shared" si="19"/>
        <v>30.77000000000001</v>
      </c>
      <c r="BB22" s="84">
        <f t="shared" si="20"/>
        <v>11.280000000000001</v>
      </c>
      <c r="BC22" s="84">
        <f t="shared" si="21"/>
        <v>3.2199999999999989</v>
      </c>
      <c r="BD22" s="84">
        <f t="shared" si="22"/>
        <v>-3.5</v>
      </c>
      <c r="BE22" s="84">
        <f t="shared" si="23"/>
        <v>4.2199999999999989</v>
      </c>
      <c r="BF22" s="84">
        <f t="shared" si="24"/>
        <v>60</v>
      </c>
      <c r="BG22" s="84">
        <f t="shared" si="25"/>
        <v>46.56</v>
      </c>
      <c r="BH22" s="84">
        <f t="shared" si="26"/>
        <v>78.47999999999999</v>
      </c>
      <c r="BI22" s="85">
        <f t="shared" si="32"/>
        <v>-9009.39</v>
      </c>
      <c r="BJ22" s="85">
        <f t="shared" si="33"/>
        <v>-8225.5680000000011</v>
      </c>
      <c r="BK22" s="85">
        <f t="shared" si="34"/>
        <v>-9383.5560000000005</v>
      </c>
      <c r="BL22" s="85">
        <f t="shared" si="35"/>
        <v>-9452.5079999999998</v>
      </c>
      <c r="BM22" s="85">
        <f t="shared" si="36"/>
        <v>-9111.8040000000001</v>
      </c>
      <c r="BN22" s="85">
        <f t="shared" si="37"/>
        <v>-10304.268000000002</v>
      </c>
      <c r="BO22" s="85">
        <f t="shared" si="38"/>
        <v>-11019.138000000001</v>
      </c>
      <c r="BP22" s="85">
        <f t="shared" si="39"/>
        <v>-11291.904</v>
      </c>
      <c r="BQ22" s="85">
        <f t="shared" si="40"/>
        <v>-11462.255999999999</v>
      </c>
      <c r="BR22" s="85">
        <f t="shared" si="41"/>
        <v>-11427.78</v>
      </c>
      <c r="BS22" s="85">
        <f t="shared" si="42"/>
        <v>-9042.8520000000008</v>
      </c>
      <c r="BT22" s="85">
        <f t="shared" si="43"/>
        <v>-9553.9080000000013</v>
      </c>
      <c r="BU22" s="85">
        <f t="shared" si="44"/>
        <v>-8395.92</v>
      </c>
      <c r="BV22" s="86">
        <f t="shared" si="45"/>
        <v>6527.1180000000004</v>
      </c>
      <c r="BW22" s="86">
        <f t="shared" si="46"/>
        <v>6662.9940000000015</v>
      </c>
      <c r="BX22" s="86">
        <f t="shared" si="47"/>
        <v>6527.1180000000004</v>
      </c>
      <c r="BY22" s="86">
        <f t="shared" si="48"/>
        <v>16455.192000000003</v>
      </c>
      <c r="BZ22" s="86">
        <f t="shared" si="49"/>
        <v>3699.0719999999992</v>
      </c>
      <c r="CA22" s="86">
        <f t="shared" si="50"/>
        <v>3120.0780000000013</v>
      </c>
      <c r="CB22" s="86">
        <f t="shared" si="51"/>
        <v>1143.7920000000001</v>
      </c>
      <c r="CC22" s="86">
        <f t="shared" si="52"/>
        <v>326.50799999999992</v>
      </c>
      <c r="CD22" s="86">
        <f t="shared" si="53"/>
        <v>-354.90000000000003</v>
      </c>
      <c r="CE22" s="86">
        <f t="shared" si="54"/>
        <v>427.9079999999999</v>
      </c>
      <c r="CF22" s="86">
        <f t="shared" si="55"/>
        <v>6084</v>
      </c>
      <c r="CG22" s="86">
        <f t="shared" si="56"/>
        <v>4721.1840000000002</v>
      </c>
      <c r="CH22" s="86">
        <f t="shared" si="57"/>
        <v>7957.8719999999994</v>
      </c>
    </row>
    <row r="23" spans="1:86" ht="15.75" customHeight="1">
      <c r="A23" s="77" t="s">
        <v>17</v>
      </c>
      <c r="B23" s="77" t="s">
        <v>51</v>
      </c>
      <c r="C23" s="77">
        <v>1818</v>
      </c>
      <c r="D23" s="77" t="s">
        <v>15</v>
      </c>
      <c r="E23" s="77">
        <v>40</v>
      </c>
      <c r="F23" s="77">
        <f t="shared" si="0"/>
        <v>38.64</v>
      </c>
      <c r="G23" s="77">
        <f>E23-F23</f>
        <v>1.3599999999999994</v>
      </c>
      <c r="H23" s="77" t="s">
        <v>2082</v>
      </c>
      <c r="I23" s="83">
        <v>6.38</v>
      </c>
      <c r="J23" s="83">
        <v>12.1</v>
      </c>
      <c r="K23" s="83">
        <v>7.06</v>
      </c>
      <c r="L23" s="83">
        <v>5.38</v>
      </c>
      <c r="M23" s="83">
        <v>5.38</v>
      </c>
      <c r="N23" s="83">
        <v>6.38</v>
      </c>
      <c r="O23" s="83">
        <v>6.38</v>
      </c>
      <c r="P23" s="83">
        <v>5.38</v>
      </c>
      <c r="Q23" s="83">
        <v>8.06</v>
      </c>
      <c r="R23" s="83">
        <v>6.38</v>
      </c>
      <c r="S23" s="83">
        <v>7.73</v>
      </c>
      <c r="T23" s="83">
        <v>7.39</v>
      </c>
      <c r="U23" s="83">
        <v>6.05</v>
      </c>
      <c r="V23" s="84">
        <v>21.5</v>
      </c>
      <c r="W23" s="84">
        <v>38.64</v>
      </c>
      <c r="X23" s="84">
        <v>19.149999999999999</v>
      </c>
      <c r="Y23" s="84">
        <v>18.14</v>
      </c>
      <c r="Z23" s="84">
        <v>18.14</v>
      </c>
      <c r="AA23" s="84">
        <v>16.46</v>
      </c>
      <c r="AB23" s="84">
        <v>16.8</v>
      </c>
      <c r="AC23" s="84">
        <v>17.14</v>
      </c>
      <c r="AD23" s="84">
        <v>19.82</v>
      </c>
      <c r="AE23" s="84">
        <v>18.14</v>
      </c>
      <c r="AF23" s="84">
        <v>18.82</v>
      </c>
      <c r="AG23" s="84">
        <v>19.82</v>
      </c>
      <c r="AH23" s="84">
        <v>20.5</v>
      </c>
      <c r="AI23" s="83">
        <f t="shared" si="1"/>
        <v>-33.619999999999997</v>
      </c>
      <c r="AJ23" s="83">
        <f t="shared" si="2"/>
        <v>-27.9</v>
      </c>
      <c r="AK23" s="83">
        <f t="shared" si="3"/>
        <v>-32.94</v>
      </c>
      <c r="AL23" s="83">
        <f t="shared" si="4"/>
        <v>-34.619999999999997</v>
      </c>
      <c r="AM23" s="83">
        <f t="shared" si="5"/>
        <v>-34.619999999999997</v>
      </c>
      <c r="AN23" s="83">
        <f t="shared" si="6"/>
        <v>-33.619999999999997</v>
      </c>
      <c r="AO23" s="83">
        <f t="shared" si="7"/>
        <v>-33.619999999999997</v>
      </c>
      <c r="AP23" s="83">
        <f t="shared" si="8"/>
        <v>-34.619999999999997</v>
      </c>
      <c r="AQ23" s="83">
        <f t="shared" si="9"/>
        <v>-31.939999999999998</v>
      </c>
      <c r="AR23" s="83">
        <f t="shared" si="10"/>
        <v>-33.619999999999997</v>
      </c>
      <c r="AS23" s="83">
        <f t="shared" si="11"/>
        <v>-32.269999999999996</v>
      </c>
      <c r="AT23" s="83">
        <f t="shared" si="12"/>
        <v>-32.61</v>
      </c>
      <c r="AU23" s="83">
        <f t="shared" si="13"/>
        <v>-33.950000000000003</v>
      </c>
      <c r="AV23" s="84">
        <f t="shared" si="14"/>
        <v>-18.5</v>
      </c>
      <c r="AW23" s="84">
        <f t="shared" si="15"/>
        <v>-1.3599999999999994</v>
      </c>
      <c r="AX23" s="84">
        <f t="shared" si="16"/>
        <v>-20.85</v>
      </c>
      <c r="AY23" s="84">
        <f t="shared" si="17"/>
        <v>11.080000000000002</v>
      </c>
      <c r="AZ23" s="84">
        <f t="shared" si="18"/>
        <v>-21.86</v>
      </c>
      <c r="BA23" s="84">
        <f t="shared" si="19"/>
        <v>-23.54</v>
      </c>
      <c r="BB23" s="84">
        <f t="shared" si="20"/>
        <v>-23.2</v>
      </c>
      <c r="BC23" s="84">
        <f t="shared" si="21"/>
        <v>-22.86</v>
      </c>
      <c r="BD23" s="84">
        <f t="shared" si="22"/>
        <v>-20.18</v>
      </c>
      <c r="BE23" s="84">
        <f t="shared" si="23"/>
        <v>-21.86</v>
      </c>
      <c r="BF23" s="84">
        <f t="shared" si="24"/>
        <v>-21.18</v>
      </c>
      <c r="BG23" s="84">
        <f t="shared" si="25"/>
        <v>-20.18</v>
      </c>
      <c r="BH23" s="84">
        <f t="shared" si="26"/>
        <v>-19.5</v>
      </c>
      <c r="BI23" s="85">
        <f t="shared" si="32"/>
        <v>-3409.0679999999998</v>
      </c>
      <c r="BJ23" s="85">
        <f t="shared" si="33"/>
        <v>-2829.06</v>
      </c>
      <c r="BK23" s="85">
        <f t="shared" si="34"/>
        <v>-3340.116</v>
      </c>
      <c r="BL23" s="85">
        <f t="shared" si="35"/>
        <v>-3510.4679999999998</v>
      </c>
      <c r="BM23" s="85">
        <f t="shared" si="36"/>
        <v>-3510.4679999999998</v>
      </c>
      <c r="BN23" s="85">
        <f t="shared" si="37"/>
        <v>-3409.0679999999998</v>
      </c>
      <c r="BO23" s="85">
        <f t="shared" si="38"/>
        <v>-3409.0679999999998</v>
      </c>
      <c r="BP23" s="85">
        <f t="shared" si="39"/>
        <v>-3510.4679999999998</v>
      </c>
      <c r="BQ23" s="85">
        <f t="shared" si="40"/>
        <v>-3238.7159999999999</v>
      </c>
      <c r="BR23" s="85">
        <f t="shared" si="41"/>
        <v>-3409.0679999999998</v>
      </c>
      <c r="BS23" s="85">
        <f t="shared" si="42"/>
        <v>-3272.1779999999999</v>
      </c>
      <c r="BT23" s="85">
        <f t="shared" si="43"/>
        <v>-3306.654</v>
      </c>
      <c r="BU23" s="85">
        <f t="shared" si="44"/>
        <v>-3442.5300000000007</v>
      </c>
      <c r="BV23" s="86">
        <f t="shared" si="45"/>
        <v>-1875.9</v>
      </c>
      <c r="BW23" s="86">
        <f t="shared" si="46"/>
        <v>-137.90399999999994</v>
      </c>
      <c r="BX23" s="86">
        <f t="shared" si="47"/>
        <v>-2114.19</v>
      </c>
      <c r="BY23" s="86">
        <f t="shared" si="48"/>
        <v>1123.5120000000002</v>
      </c>
      <c r="BZ23" s="86">
        <f t="shared" si="49"/>
        <v>-2216.6040000000003</v>
      </c>
      <c r="CA23" s="86">
        <f t="shared" si="50"/>
        <v>-2386.9560000000001</v>
      </c>
      <c r="CB23" s="86">
        <f t="shared" si="51"/>
        <v>-2352.48</v>
      </c>
      <c r="CC23" s="86">
        <f t="shared" si="52"/>
        <v>-2318.0039999999999</v>
      </c>
      <c r="CD23" s="86">
        <f t="shared" si="53"/>
        <v>-2046.2520000000002</v>
      </c>
      <c r="CE23" s="86">
        <f t="shared" si="54"/>
        <v>-2216.6040000000003</v>
      </c>
      <c r="CF23" s="86">
        <f t="shared" si="55"/>
        <v>-2147.652</v>
      </c>
      <c r="CG23" s="86">
        <f t="shared" si="56"/>
        <v>-2046.2520000000002</v>
      </c>
      <c r="CH23" s="86">
        <f t="shared" si="57"/>
        <v>-1977.3000000000002</v>
      </c>
    </row>
    <row r="24" spans="1:86" ht="15.75" customHeight="1">
      <c r="A24" s="77" t="s">
        <v>17</v>
      </c>
      <c r="B24" s="77" t="s">
        <v>53</v>
      </c>
      <c r="C24" s="77">
        <v>21148</v>
      </c>
      <c r="D24" s="77" t="s">
        <v>15</v>
      </c>
      <c r="E24" s="77">
        <v>238</v>
      </c>
      <c r="F24" s="77">
        <f t="shared" si="0"/>
        <v>222.6</v>
      </c>
      <c r="G24" s="77">
        <f>E24-F24</f>
        <v>15.400000000000006</v>
      </c>
      <c r="H24" s="77" t="s">
        <v>2082</v>
      </c>
      <c r="I24" s="83">
        <v>97.44</v>
      </c>
      <c r="J24" s="83">
        <v>110.88</v>
      </c>
      <c r="K24" s="83">
        <v>120.12</v>
      </c>
      <c r="L24" s="83">
        <v>75.599999999999994</v>
      </c>
      <c r="M24" s="83">
        <v>70.56</v>
      </c>
      <c r="N24" s="83">
        <v>65.52</v>
      </c>
      <c r="O24" s="83">
        <v>61.32</v>
      </c>
      <c r="P24" s="83">
        <v>57.12</v>
      </c>
      <c r="Q24" s="83">
        <v>63</v>
      </c>
      <c r="R24" s="83">
        <v>63.84</v>
      </c>
      <c r="S24" s="83">
        <v>89.04</v>
      </c>
      <c r="T24" s="83">
        <v>93.24</v>
      </c>
      <c r="U24" s="83">
        <v>103.32</v>
      </c>
      <c r="V24" s="84">
        <v>205.8</v>
      </c>
      <c r="W24" s="84">
        <v>210.84</v>
      </c>
      <c r="X24" s="84">
        <v>218.4</v>
      </c>
      <c r="Y24" s="84">
        <v>215.88</v>
      </c>
      <c r="Z24" s="84">
        <v>188.16</v>
      </c>
      <c r="AA24" s="84">
        <v>173.88</v>
      </c>
      <c r="AB24" s="84">
        <v>157.08000000000001</v>
      </c>
      <c r="AC24" s="84">
        <v>144.47999999999999</v>
      </c>
      <c r="AD24" s="84">
        <v>142.80000000000001</v>
      </c>
      <c r="AE24" s="84">
        <v>152.88</v>
      </c>
      <c r="AF24" s="84">
        <v>211.68</v>
      </c>
      <c r="AG24" s="84">
        <v>199.92</v>
      </c>
      <c r="AH24" s="84">
        <v>222.6</v>
      </c>
      <c r="AI24" s="83">
        <f t="shared" si="1"/>
        <v>-140.56</v>
      </c>
      <c r="AJ24" s="83">
        <f t="shared" si="2"/>
        <v>-127.12</v>
      </c>
      <c r="AK24" s="83">
        <f t="shared" si="3"/>
        <v>-117.88</v>
      </c>
      <c r="AL24" s="83">
        <f t="shared" si="4"/>
        <v>-162.4</v>
      </c>
      <c r="AM24" s="83">
        <f t="shared" si="5"/>
        <v>-167.44</v>
      </c>
      <c r="AN24" s="83">
        <f t="shared" si="6"/>
        <v>-172.48000000000002</v>
      </c>
      <c r="AO24" s="83">
        <f t="shared" si="7"/>
        <v>-176.68</v>
      </c>
      <c r="AP24" s="83">
        <f t="shared" si="8"/>
        <v>-180.88</v>
      </c>
      <c r="AQ24" s="83">
        <f t="shared" si="9"/>
        <v>-175</v>
      </c>
      <c r="AR24" s="83">
        <f t="shared" si="10"/>
        <v>-174.16</v>
      </c>
      <c r="AS24" s="83">
        <f t="shared" si="11"/>
        <v>-148.95999999999998</v>
      </c>
      <c r="AT24" s="83">
        <f t="shared" si="12"/>
        <v>-144.76</v>
      </c>
      <c r="AU24" s="83">
        <f t="shared" si="13"/>
        <v>-134.68</v>
      </c>
      <c r="AV24" s="84">
        <f t="shared" si="14"/>
        <v>-32.199999999999989</v>
      </c>
      <c r="AW24" s="84">
        <f t="shared" si="15"/>
        <v>-27.159999999999997</v>
      </c>
      <c r="AX24" s="84">
        <f t="shared" si="16"/>
        <v>-19.599999999999994</v>
      </c>
      <c r="AY24" s="84">
        <f t="shared" si="17"/>
        <v>95.759999999999991</v>
      </c>
      <c r="AZ24" s="84">
        <f t="shared" si="18"/>
        <v>-49.84</v>
      </c>
      <c r="BA24" s="84">
        <f t="shared" si="19"/>
        <v>-64.12</v>
      </c>
      <c r="BB24" s="84">
        <f t="shared" si="20"/>
        <v>-80.919999999999987</v>
      </c>
      <c r="BC24" s="84">
        <f t="shared" si="21"/>
        <v>-93.52000000000001</v>
      </c>
      <c r="BD24" s="84">
        <f t="shared" si="22"/>
        <v>-95.199999999999989</v>
      </c>
      <c r="BE24" s="84">
        <f t="shared" si="23"/>
        <v>-85.12</v>
      </c>
      <c r="BF24" s="84">
        <f t="shared" si="24"/>
        <v>-26.319999999999993</v>
      </c>
      <c r="BG24" s="84">
        <f t="shared" si="25"/>
        <v>-38.080000000000013</v>
      </c>
      <c r="BH24" s="84">
        <f t="shared" si="26"/>
        <v>-15.400000000000006</v>
      </c>
      <c r="BI24" s="85">
        <f t="shared" si="32"/>
        <v>-14252.784000000001</v>
      </c>
      <c r="BJ24" s="85">
        <f t="shared" si="33"/>
        <v>-12889.968000000001</v>
      </c>
      <c r="BK24" s="85">
        <f t="shared" si="34"/>
        <v>-11953.032000000001</v>
      </c>
      <c r="BL24" s="85">
        <f t="shared" si="35"/>
        <v>-16467.36</v>
      </c>
      <c r="BM24" s="85">
        <f t="shared" si="36"/>
        <v>-16978.416000000001</v>
      </c>
      <c r="BN24" s="85">
        <f t="shared" si="37"/>
        <v>-17489.472000000002</v>
      </c>
      <c r="BO24" s="85">
        <f t="shared" si="38"/>
        <v>-17915.352000000003</v>
      </c>
      <c r="BP24" s="85">
        <f t="shared" si="39"/>
        <v>-18341.232</v>
      </c>
      <c r="BQ24" s="85">
        <f t="shared" si="40"/>
        <v>-17745</v>
      </c>
      <c r="BR24" s="85">
        <f t="shared" si="41"/>
        <v>-17659.824000000001</v>
      </c>
      <c r="BS24" s="85">
        <f t="shared" si="42"/>
        <v>-15104.543999999998</v>
      </c>
      <c r="BT24" s="85">
        <f t="shared" si="43"/>
        <v>-14678.664000000001</v>
      </c>
      <c r="BU24" s="85">
        <f t="shared" si="44"/>
        <v>-13656.552000000001</v>
      </c>
      <c r="BV24" s="86">
        <f t="shared" si="45"/>
        <v>-3265.079999999999</v>
      </c>
      <c r="BW24" s="86">
        <f t="shared" si="46"/>
        <v>-2754.0239999999999</v>
      </c>
      <c r="BX24" s="86">
        <f t="shared" si="47"/>
        <v>-1987.4399999999996</v>
      </c>
      <c r="BY24" s="86">
        <f t="shared" si="48"/>
        <v>9710.0640000000003</v>
      </c>
      <c r="BZ24" s="86">
        <f t="shared" si="49"/>
        <v>-5053.7760000000007</v>
      </c>
      <c r="CA24" s="86">
        <f t="shared" si="50"/>
        <v>-6501.7680000000009</v>
      </c>
      <c r="CB24" s="86">
        <f t="shared" si="51"/>
        <v>-8205.2879999999986</v>
      </c>
      <c r="CC24" s="86">
        <f t="shared" si="52"/>
        <v>-9482.9280000000017</v>
      </c>
      <c r="CD24" s="86">
        <f t="shared" si="53"/>
        <v>-9653.2799999999988</v>
      </c>
      <c r="CE24" s="86">
        <f t="shared" si="54"/>
        <v>-8631.1680000000015</v>
      </c>
      <c r="CF24" s="86">
        <f t="shared" si="55"/>
        <v>-2668.8479999999995</v>
      </c>
      <c r="CG24" s="86">
        <f t="shared" si="56"/>
        <v>-3861.3120000000013</v>
      </c>
      <c r="CH24" s="86">
        <f t="shared" si="57"/>
        <v>-1561.5600000000006</v>
      </c>
    </row>
    <row r="25" spans="1:86" ht="15.75" customHeight="1">
      <c r="A25" s="77" t="s">
        <v>17</v>
      </c>
      <c r="B25" s="77" t="s">
        <v>54</v>
      </c>
      <c r="C25" s="77">
        <v>2876426</v>
      </c>
      <c r="D25" s="77" t="s">
        <v>15</v>
      </c>
      <c r="E25" s="77">
        <v>30</v>
      </c>
      <c r="F25" s="77">
        <f t="shared" si="0"/>
        <v>31.58</v>
      </c>
      <c r="G25" s="77" t="s">
        <v>2082</v>
      </c>
      <c r="H25" s="77">
        <f>F25-E25</f>
        <v>1.5799999999999983</v>
      </c>
      <c r="I25" s="83">
        <v>5.38</v>
      </c>
      <c r="J25" s="83">
        <v>6.05</v>
      </c>
      <c r="K25" s="83">
        <v>3.7</v>
      </c>
      <c r="L25" s="83">
        <v>11.76</v>
      </c>
      <c r="M25" s="83">
        <v>4.37</v>
      </c>
      <c r="N25" s="83">
        <v>5.38</v>
      </c>
      <c r="O25" s="83">
        <v>5.04</v>
      </c>
      <c r="P25" s="83">
        <v>5.38</v>
      </c>
      <c r="Q25" s="83">
        <v>5.04</v>
      </c>
      <c r="R25" s="83">
        <v>5.71</v>
      </c>
      <c r="S25" s="83">
        <v>6.05</v>
      </c>
      <c r="T25" s="83">
        <v>5.71</v>
      </c>
      <c r="U25" s="83">
        <v>5.71</v>
      </c>
      <c r="V25" s="84">
        <v>30.91</v>
      </c>
      <c r="W25" s="84">
        <v>30.91</v>
      </c>
      <c r="X25" s="84">
        <v>14.11</v>
      </c>
      <c r="Y25" s="84">
        <v>31.58</v>
      </c>
      <c r="Z25" s="84">
        <v>30.24</v>
      </c>
      <c r="AA25" s="84">
        <v>26.88</v>
      </c>
      <c r="AB25" s="84">
        <v>23.18</v>
      </c>
      <c r="AC25" s="84">
        <v>19.489999999999998</v>
      </c>
      <c r="AD25" s="84">
        <v>17.47</v>
      </c>
      <c r="AE25" s="84">
        <v>19.489999999999998</v>
      </c>
      <c r="AF25" s="84">
        <v>23.86</v>
      </c>
      <c r="AG25" s="84">
        <v>26.88</v>
      </c>
      <c r="AH25" s="84">
        <v>26.54</v>
      </c>
      <c r="AI25" s="83">
        <f t="shared" si="1"/>
        <v>-24.62</v>
      </c>
      <c r="AJ25" s="83">
        <f t="shared" si="2"/>
        <v>-23.95</v>
      </c>
      <c r="AK25" s="83">
        <f t="shared" si="3"/>
        <v>-26.3</v>
      </c>
      <c r="AL25" s="83">
        <f t="shared" si="4"/>
        <v>-18.240000000000002</v>
      </c>
      <c r="AM25" s="83">
        <f t="shared" si="5"/>
        <v>-25.63</v>
      </c>
      <c r="AN25" s="83">
        <f t="shared" si="6"/>
        <v>-24.62</v>
      </c>
      <c r="AO25" s="83">
        <f t="shared" si="7"/>
        <v>-24.96</v>
      </c>
      <c r="AP25" s="83">
        <f t="shared" si="8"/>
        <v>-24.62</v>
      </c>
      <c r="AQ25" s="83">
        <f t="shared" si="9"/>
        <v>-24.96</v>
      </c>
      <c r="AR25" s="83">
        <f t="shared" si="10"/>
        <v>-24.29</v>
      </c>
      <c r="AS25" s="83">
        <f t="shared" si="11"/>
        <v>-23.95</v>
      </c>
      <c r="AT25" s="83">
        <f t="shared" si="12"/>
        <v>-24.29</v>
      </c>
      <c r="AU25" s="83">
        <f t="shared" si="13"/>
        <v>-24.29</v>
      </c>
      <c r="AV25" s="84">
        <f t="shared" si="14"/>
        <v>0.91000000000000014</v>
      </c>
      <c r="AW25" s="84">
        <f t="shared" si="15"/>
        <v>0.91000000000000014</v>
      </c>
      <c r="AX25" s="84">
        <f t="shared" si="16"/>
        <v>-15.89</v>
      </c>
      <c r="AY25" s="84">
        <f t="shared" si="17"/>
        <v>27.88</v>
      </c>
      <c r="AZ25" s="84">
        <f t="shared" si="18"/>
        <v>0.23999999999999844</v>
      </c>
      <c r="BA25" s="84">
        <f t="shared" si="19"/>
        <v>-3.120000000000001</v>
      </c>
      <c r="BB25" s="84">
        <f t="shared" si="20"/>
        <v>-6.82</v>
      </c>
      <c r="BC25" s="84">
        <f t="shared" si="21"/>
        <v>-10.510000000000002</v>
      </c>
      <c r="BD25" s="84">
        <f t="shared" si="22"/>
        <v>-12.530000000000001</v>
      </c>
      <c r="BE25" s="84">
        <f t="shared" si="23"/>
        <v>-10.510000000000002</v>
      </c>
      <c r="BF25" s="84">
        <f t="shared" si="24"/>
        <v>-6.1400000000000006</v>
      </c>
      <c r="BG25" s="84">
        <f t="shared" si="25"/>
        <v>-3.120000000000001</v>
      </c>
      <c r="BH25" s="84">
        <f t="shared" si="26"/>
        <v>-3.4600000000000009</v>
      </c>
      <c r="BI25" s="85">
        <f t="shared" si="32"/>
        <v>-2496.4680000000003</v>
      </c>
      <c r="BJ25" s="85">
        <f t="shared" si="33"/>
        <v>-2428.5300000000002</v>
      </c>
      <c r="BK25" s="85">
        <f t="shared" si="34"/>
        <v>-2666.82</v>
      </c>
      <c r="BL25" s="85">
        <f t="shared" si="35"/>
        <v>-1849.5360000000003</v>
      </c>
      <c r="BM25" s="85">
        <f t="shared" si="36"/>
        <v>-2598.8820000000001</v>
      </c>
      <c r="BN25" s="85">
        <f t="shared" si="37"/>
        <v>-2496.4680000000003</v>
      </c>
      <c r="BO25" s="85">
        <f t="shared" si="38"/>
        <v>-2530.9440000000004</v>
      </c>
      <c r="BP25" s="85">
        <f t="shared" si="39"/>
        <v>-2496.4680000000003</v>
      </c>
      <c r="BQ25" s="85">
        <f t="shared" si="40"/>
        <v>-2530.9440000000004</v>
      </c>
      <c r="BR25" s="85">
        <f t="shared" si="41"/>
        <v>-2463.0059999999999</v>
      </c>
      <c r="BS25" s="85">
        <f t="shared" si="42"/>
        <v>-2428.5300000000002</v>
      </c>
      <c r="BT25" s="85">
        <f t="shared" si="43"/>
        <v>-2463.0059999999999</v>
      </c>
      <c r="BU25" s="85">
        <f t="shared" si="44"/>
        <v>-2463.0059999999999</v>
      </c>
      <c r="BV25" s="86">
        <f t="shared" si="45"/>
        <v>92.274000000000015</v>
      </c>
      <c r="BW25" s="86">
        <f t="shared" si="46"/>
        <v>92.274000000000015</v>
      </c>
      <c r="BX25" s="86">
        <f t="shared" si="47"/>
        <v>-1611.2460000000001</v>
      </c>
      <c r="BY25" s="86">
        <f t="shared" si="48"/>
        <v>2827.0320000000002</v>
      </c>
      <c r="BZ25" s="86">
        <f t="shared" si="49"/>
        <v>24.335999999999842</v>
      </c>
      <c r="CA25" s="86">
        <f t="shared" si="50"/>
        <v>-316.36800000000011</v>
      </c>
      <c r="CB25" s="86">
        <f t="shared" si="51"/>
        <v>-691.54800000000012</v>
      </c>
      <c r="CC25" s="86">
        <f t="shared" si="52"/>
        <v>-1065.7140000000002</v>
      </c>
      <c r="CD25" s="86">
        <f t="shared" si="53"/>
        <v>-1270.5420000000001</v>
      </c>
      <c r="CE25" s="86">
        <f t="shared" si="54"/>
        <v>-1065.7140000000002</v>
      </c>
      <c r="CF25" s="86">
        <f t="shared" si="55"/>
        <v>-622.59600000000012</v>
      </c>
      <c r="CG25" s="86">
        <f t="shared" si="56"/>
        <v>-316.36800000000011</v>
      </c>
      <c r="CH25" s="86">
        <f t="shared" si="57"/>
        <v>-350.84400000000011</v>
      </c>
    </row>
    <row r="26" spans="1:86" ht="15.75" customHeight="1">
      <c r="A26" s="77" t="s">
        <v>17</v>
      </c>
      <c r="B26" s="77" t="s">
        <v>56</v>
      </c>
      <c r="C26" s="77">
        <v>2800724</v>
      </c>
      <c r="D26" s="77" t="s">
        <v>15</v>
      </c>
      <c r="E26" s="77">
        <v>30</v>
      </c>
      <c r="F26" s="77">
        <f t="shared" si="0"/>
        <v>27.22</v>
      </c>
      <c r="G26" s="77">
        <f t="shared" ref="G26:G31" si="58">E26-F26</f>
        <v>2.7800000000000011</v>
      </c>
      <c r="H26" s="77" t="s">
        <v>2082</v>
      </c>
      <c r="I26" s="83">
        <v>9.58</v>
      </c>
      <c r="J26" s="83">
        <v>8.06</v>
      </c>
      <c r="K26" s="83">
        <v>2.69</v>
      </c>
      <c r="L26" s="83">
        <v>8.9</v>
      </c>
      <c r="M26" s="83">
        <v>8.74</v>
      </c>
      <c r="N26" s="83">
        <v>8.23</v>
      </c>
      <c r="O26" s="83">
        <v>6.38</v>
      </c>
      <c r="P26" s="83">
        <v>6.72</v>
      </c>
      <c r="Q26" s="83">
        <v>5.71</v>
      </c>
      <c r="R26" s="83">
        <v>5.88</v>
      </c>
      <c r="S26" s="83">
        <v>7.06</v>
      </c>
      <c r="T26" s="83">
        <v>7.39</v>
      </c>
      <c r="U26" s="83">
        <v>8.9</v>
      </c>
      <c r="V26" s="84">
        <v>27.22</v>
      </c>
      <c r="W26" s="84">
        <v>24.86</v>
      </c>
      <c r="X26" s="84">
        <v>9.58</v>
      </c>
      <c r="Y26" s="84">
        <v>24.86</v>
      </c>
      <c r="Z26" s="84">
        <v>23.52</v>
      </c>
      <c r="AA26" s="84">
        <v>23.02</v>
      </c>
      <c r="AB26" s="84">
        <v>25.37</v>
      </c>
      <c r="AC26" s="84">
        <v>18.98</v>
      </c>
      <c r="AD26" s="84">
        <v>18.649999999999999</v>
      </c>
      <c r="AE26" s="84">
        <v>21</v>
      </c>
      <c r="AF26" s="84">
        <v>20.16</v>
      </c>
      <c r="AG26" s="84">
        <v>20.329999999999998</v>
      </c>
      <c r="AH26" s="84">
        <v>21.5</v>
      </c>
      <c r="AI26" s="83">
        <f t="shared" si="1"/>
        <v>-20.420000000000002</v>
      </c>
      <c r="AJ26" s="83">
        <f t="shared" si="2"/>
        <v>-21.939999999999998</v>
      </c>
      <c r="AK26" s="83">
        <f t="shared" si="3"/>
        <v>-27.31</v>
      </c>
      <c r="AL26" s="83">
        <f t="shared" si="4"/>
        <v>-21.1</v>
      </c>
      <c r="AM26" s="83">
        <f t="shared" si="5"/>
        <v>-21.259999999999998</v>
      </c>
      <c r="AN26" s="83">
        <f t="shared" si="6"/>
        <v>-21.77</v>
      </c>
      <c r="AO26" s="83">
        <f t="shared" si="7"/>
        <v>-23.62</v>
      </c>
      <c r="AP26" s="83">
        <f t="shared" si="8"/>
        <v>-23.28</v>
      </c>
      <c r="AQ26" s="83">
        <f t="shared" si="9"/>
        <v>-24.29</v>
      </c>
      <c r="AR26" s="83">
        <f t="shared" si="10"/>
        <v>-24.12</v>
      </c>
      <c r="AS26" s="83">
        <f t="shared" si="11"/>
        <v>-22.94</v>
      </c>
      <c r="AT26" s="83">
        <f t="shared" si="12"/>
        <v>-22.61</v>
      </c>
      <c r="AU26" s="83">
        <f t="shared" si="13"/>
        <v>-21.1</v>
      </c>
      <c r="AV26" s="84">
        <f t="shared" si="14"/>
        <v>-2.7800000000000011</v>
      </c>
      <c r="AW26" s="84">
        <f t="shared" si="15"/>
        <v>-5.1400000000000006</v>
      </c>
      <c r="AX26" s="84">
        <f t="shared" si="16"/>
        <v>-20.420000000000002</v>
      </c>
      <c r="AY26" s="84">
        <f t="shared" si="17"/>
        <v>22.169999999999998</v>
      </c>
      <c r="AZ26" s="84">
        <f t="shared" si="18"/>
        <v>-6.48</v>
      </c>
      <c r="BA26" s="84">
        <f t="shared" si="19"/>
        <v>-6.98</v>
      </c>
      <c r="BB26" s="84">
        <f t="shared" si="20"/>
        <v>-4.629999999999999</v>
      </c>
      <c r="BC26" s="84">
        <f t="shared" si="21"/>
        <v>-11.02</v>
      </c>
      <c r="BD26" s="84">
        <f t="shared" si="22"/>
        <v>-11.350000000000001</v>
      </c>
      <c r="BE26" s="84">
        <f t="shared" si="23"/>
        <v>-9</v>
      </c>
      <c r="BF26" s="84">
        <f t="shared" si="24"/>
        <v>-9.84</v>
      </c>
      <c r="BG26" s="84">
        <f t="shared" si="25"/>
        <v>-9.6700000000000017</v>
      </c>
      <c r="BH26" s="84">
        <f t="shared" si="26"/>
        <v>-8.5</v>
      </c>
      <c r="BI26" s="85">
        <f t="shared" si="32"/>
        <v>-2070.5880000000002</v>
      </c>
      <c r="BJ26" s="85">
        <f t="shared" si="33"/>
        <v>-2224.7159999999999</v>
      </c>
      <c r="BK26" s="85">
        <f t="shared" si="34"/>
        <v>-2769.2339999999999</v>
      </c>
      <c r="BL26" s="85">
        <f t="shared" si="35"/>
        <v>-2139.5400000000004</v>
      </c>
      <c r="BM26" s="85">
        <f t="shared" si="36"/>
        <v>-2155.7640000000001</v>
      </c>
      <c r="BN26" s="85">
        <f t="shared" si="37"/>
        <v>-2207.4780000000001</v>
      </c>
      <c r="BO26" s="85">
        <f t="shared" si="38"/>
        <v>-2395.0680000000002</v>
      </c>
      <c r="BP26" s="85">
        <f t="shared" si="39"/>
        <v>-2360.5920000000001</v>
      </c>
      <c r="BQ26" s="85">
        <f t="shared" si="40"/>
        <v>-2463.0059999999999</v>
      </c>
      <c r="BR26" s="85">
        <f t="shared" si="41"/>
        <v>-2445.768</v>
      </c>
      <c r="BS26" s="85">
        <f t="shared" si="42"/>
        <v>-2326.1160000000004</v>
      </c>
      <c r="BT26" s="85">
        <f t="shared" si="43"/>
        <v>-2292.654</v>
      </c>
      <c r="BU26" s="85">
        <f t="shared" si="44"/>
        <v>-2139.5400000000004</v>
      </c>
      <c r="BV26" s="86">
        <f t="shared" si="45"/>
        <v>-281.89200000000011</v>
      </c>
      <c r="BW26" s="86">
        <f t="shared" si="46"/>
        <v>-521.19600000000014</v>
      </c>
      <c r="BX26" s="86">
        <f t="shared" si="47"/>
        <v>-2070.5880000000002</v>
      </c>
      <c r="BY26" s="86">
        <f t="shared" si="48"/>
        <v>2248.038</v>
      </c>
      <c r="BZ26" s="86">
        <f t="shared" si="49"/>
        <v>-657.07200000000012</v>
      </c>
      <c r="CA26" s="86">
        <f t="shared" si="50"/>
        <v>-707.77200000000005</v>
      </c>
      <c r="CB26" s="86">
        <f t="shared" si="51"/>
        <v>-469.48199999999991</v>
      </c>
      <c r="CC26" s="86">
        <f t="shared" si="52"/>
        <v>-1117.4280000000001</v>
      </c>
      <c r="CD26" s="86">
        <f t="shared" si="53"/>
        <v>-1150.8900000000001</v>
      </c>
      <c r="CE26" s="86">
        <f t="shared" si="54"/>
        <v>-912.6</v>
      </c>
      <c r="CF26" s="86">
        <f t="shared" si="55"/>
        <v>-997.77600000000007</v>
      </c>
      <c r="CG26" s="86">
        <f t="shared" si="56"/>
        <v>-980.53800000000024</v>
      </c>
      <c r="CH26" s="86">
        <f t="shared" si="57"/>
        <v>-861.90000000000009</v>
      </c>
    </row>
    <row r="27" spans="1:86" ht="15.75" customHeight="1">
      <c r="A27" s="77" t="s">
        <v>17</v>
      </c>
      <c r="B27" s="77" t="s">
        <v>57</v>
      </c>
      <c r="C27" s="77">
        <v>3830</v>
      </c>
      <c r="D27" s="77" t="s">
        <v>15</v>
      </c>
      <c r="E27" s="77">
        <v>30</v>
      </c>
      <c r="F27" s="77">
        <f t="shared" si="0"/>
        <v>23.52</v>
      </c>
      <c r="G27" s="77">
        <f t="shared" si="58"/>
        <v>6.48</v>
      </c>
      <c r="H27" s="77" t="s">
        <v>2082</v>
      </c>
      <c r="I27" s="83">
        <v>19.82</v>
      </c>
      <c r="J27" s="83">
        <v>14.11</v>
      </c>
      <c r="K27" s="83">
        <v>9.07</v>
      </c>
      <c r="L27" s="83">
        <v>10.75</v>
      </c>
      <c r="M27" s="83">
        <v>12.43</v>
      </c>
      <c r="N27" s="83">
        <v>13.44</v>
      </c>
      <c r="O27" s="83">
        <v>12.77</v>
      </c>
      <c r="P27" s="83">
        <v>12.77</v>
      </c>
      <c r="Q27" s="83">
        <v>13.1</v>
      </c>
      <c r="R27" s="83">
        <v>16.8</v>
      </c>
      <c r="S27" s="83">
        <v>16.13</v>
      </c>
      <c r="T27" s="83">
        <v>16.55</v>
      </c>
      <c r="U27" s="83">
        <v>15.61</v>
      </c>
      <c r="V27" s="84">
        <v>23.52</v>
      </c>
      <c r="W27" s="84">
        <v>18.14</v>
      </c>
      <c r="X27" s="84">
        <v>13.44</v>
      </c>
      <c r="Y27" s="84">
        <v>20.83</v>
      </c>
      <c r="Z27" s="84">
        <v>20.83</v>
      </c>
      <c r="AA27" s="84">
        <v>17.14</v>
      </c>
      <c r="AB27" s="84">
        <v>17.809999999999999</v>
      </c>
      <c r="AC27" s="84">
        <v>17.47</v>
      </c>
      <c r="AD27" s="84">
        <v>16.13</v>
      </c>
      <c r="AE27" s="84">
        <v>18.48</v>
      </c>
      <c r="AF27" s="84">
        <v>23.18</v>
      </c>
      <c r="AG27" s="84">
        <v>21.3</v>
      </c>
      <c r="AH27" s="84">
        <v>19.66</v>
      </c>
      <c r="AI27" s="83">
        <f t="shared" si="1"/>
        <v>-10.18</v>
      </c>
      <c r="AJ27" s="83">
        <f t="shared" si="2"/>
        <v>-15.89</v>
      </c>
      <c r="AK27" s="83">
        <f t="shared" si="3"/>
        <v>-20.93</v>
      </c>
      <c r="AL27" s="83">
        <f t="shared" si="4"/>
        <v>-19.25</v>
      </c>
      <c r="AM27" s="83">
        <f t="shared" si="5"/>
        <v>-17.57</v>
      </c>
      <c r="AN27" s="83">
        <f t="shared" si="6"/>
        <v>-16.560000000000002</v>
      </c>
      <c r="AO27" s="83">
        <f t="shared" si="7"/>
        <v>-17.23</v>
      </c>
      <c r="AP27" s="83">
        <f t="shared" si="8"/>
        <v>-17.23</v>
      </c>
      <c r="AQ27" s="83">
        <f t="shared" si="9"/>
        <v>-16.899999999999999</v>
      </c>
      <c r="AR27" s="83">
        <f t="shared" si="10"/>
        <v>-13.2</v>
      </c>
      <c r="AS27" s="83">
        <f t="shared" si="11"/>
        <v>-13.870000000000001</v>
      </c>
      <c r="AT27" s="83">
        <f t="shared" si="12"/>
        <v>-13.45</v>
      </c>
      <c r="AU27" s="83">
        <f t="shared" si="13"/>
        <v>-14.39</v>
      </c>
      <c r="AV27" s="84">
        <f t="shared" si="14"/>
        <v>-6.48</v>
      </c>
      <c r="AW27" s="84">
        <f t="shared" si="15"/>
        <v>-11.86</v>
      </c>
      <c r="AX27" s="84">
        <f t="shared" si="16"/>
        <v>-16.560000000000002</v>
      </c>
      <c r="AY27" s="84">
        <f t="shared" si="17"/>
        <v>11.759999999999998</v>
      </c>
      <c r="AZ27" s="84">
        <f t="shared" si="18"/>
        <v>-9.1700000000000017</v>
      </c>
      <c r="BA27" s="84">
        <f t="shared" si="19"/>
        <v>-12.86</v>
      </c>
      <c r="BB27" s="84">
        <f t="shared" si="20"/>
        <v>-12.190000000000001</v>
      </c>
      <c r="BC27" s="84">
        <f t="shared" si="21"/>
        <v>-12.530000000000001</v>
      </c>
      <c r="BD27" s="84">
        <f t="shared" si="22"/>
        <v>-13.870000000000001</v>
      </c>
      <c r="BE27" s="84">
        <f t="shared" si="23"/>
        <v>-11.52</v>
      </c>
      <c r="BF27" s="84">
        <f t="shared" si="24"/>
        <v>-6.82</v>
      </c>
      <c r="BG27" s="84">
        <f t="shared" si="25"/>
        <v>-8.6999999999999993</v>
      </c>
      <c r="BH27" s="84">
        <f t="shared" si="26"/>
        <v>-10.34</v>
      </c>
      <c r="BI27" s="85">
        <f t="shared" si="32"/>
        <v>-1032.252</v>
      </c>
      <c r="BJ27" s="85">
        <f t="shared" si="33"/>
        <v>-1611.2460000000001</v>
      </c>
      <c r="BK27" s="85">
        <f t="shared" si="34"/>
        <v>-2122.3020000000001</v>
      </c>
      <c r="BL27" s="85">
        <f t="shared" si="35"/>
        <v>-1951.95</v>
      </c>
      <c r="BM27" s="85">
        <f t="shared" si="36"/>
        <v>-1781.5980000000002</v>
      </c>
      <c r="BN27" s="85">
        <f t="shared" si="37"/>
        <v>-1679.1840000000004</v>
      </c>
      <c r="BO27" s="85">
        <f t="shared" si="38"/>
        <v>-1747.1220000000001</v>
      </c>
      <c r="BP27" s="85">
        <f t="shared" si="39"/>
        <v>-1747.1220000000001</v>
      </c>
      <c r="BQ27" s="85">
        <f t="shared" si="40"/>
        <v>-1713.6599999999999</v>
      </c>
      <c r="BR27" s="85">
        <f t="shared" si="41"/>
        <v>-1338.48</v>
      </c>
      <c r="BS27" s="85">
        <f t="shared" si="42"/>
        <v>-1406.4180000000001</v>
      </c>
      <c r="BT27" s="85">
        <f t="shared" si="43"/>
        <v>-1363.83</v>
      </c>
      <c r="BU27" s="85">
        <f t="shared" si="44"/>
        <v>-1459.1460000000002</v>
      </c>
      <c r="BV27" s="86">
        <f t="shared" si="45"/>
        <v>-657.07200000000012</v>
      </c>
      <c r="BW27" s="86">
        <f t="shared" si="46"/>
        <v>-1202.604</v>
      </c>
      <c r="BX27" s="86">
        <f t="shared" si="47"/>
        <v>-1679.1840000000004</v>
      </c>
      <c r="BY27" s="86">
        <f t="shared" si="48"/>
        <v>1192.4639999999999</v>
      </c>
      <c r="BZ27" s="86">
        <f t="shared" si="49"/>
        <v>-929.83800000000019</v>
      </c>
      <c r="CA27" s="86">
        <f t="shared" si="50"/>
        <v>-1304.0039999999999</v>
      </c>
      <c r="CB27" s="86">
        <f t="shared" si="51"/>
        <v>-1236.0660000000003</v>
      </c>
      <c r="CC27" s="86">
        <f t="shared" si="52"/>
        <v>-1270.5420000000001</v>
      </c>
      <c r="CD27" s="86">
        <f t="shared" si="53"/>
        <v>-1406.4180000000001</v>
      </c>
      <c r="CE27" s="86">
        <f t="shared" si="54"/>
        <v>-1168.1279999999999</v>
      </c>
      <c r="CF27" s="86">
        <f t="shared" si="55"/>
        <v>-691.54800000000012</v>
      </c>
      <c r="CG27" s="86">
        <f t="shared" si="56"/>
        <v>-882.18</v>
      </c>
      <c r="CH27" s="86">
        <f t="shared" si="57"/>
        <v>-1048.4760000000001</v>
      </c>
    </row>
    <row r="28" spans="1:86" ht="15.75" customHeight="1">
      <c r="A28" s="77" t="s">
        <v>17</v>
      </c>
      <c r="B28" s="77" t="s">
        <v>58</v>
      </c>
      <c r="C28" s="77">
        <v>3826</v>
      </c>
      <c r="D28" s="77" t="s">
        <v>15</v>
      </c>
      <c r="E28" s="77">
        <v>30</v>
      </c>
      <c r="F28" s="77">
        <f t="shared" si="0"/>
        <v>22.51</v>
      </c>
      <c r="G28" s="77">
        <f t="shared" si="58"/>
        <v>7.4899999999999984</v>
      </c>
      <c r="H28" s="77" t="s">
        <v>2082</v>
      </c>
      <c r="I28" s="83">
        <v>7.06</v>
      </c>
      <c r="J28" s="83">
        <v>7.06</v>
      </c>
      <c r="K28" s="83">
        <v>6.72</v>
      </c>
      <c r="L28" s="83">
        <v>8.74</v>
      </c>
      <c r="M28" s="83">
        <v>8.06</v>
      </c>
      <c r="N28" s="83">
        <v>9.07</v>
      </c>
      <c r="O28" s="83">
        <v>8.4</v>
      </c>
      <c r="P28" s="83">
        <v>6.79</v>
      </c>
      <c r="Q28" s="83">
        <v>6.64</v>
      </c>
      <c r="R28" s="83">
        <v>6.43</v>
      </c>
      <c r="S28" s="83">
        <v>6.37</v>
      </c>
      <c r="T28" s="83">
        <v>7.14</v>
      </c>
      <c r="U28" s="83" t="s">
        <v>2082</v>
      </c>
      <c r="V28" s="84">
        <v>21.5</v>
      </c>
      <c r="W28" s="84">
        <v>18.14</v>
      </c>
      <c r="X28" s="84">
        <v>15.46</v>
      </c>
      <c r="Y28" s="84">
        <v>22.18</v>
      </c>
      <c r="Z28" s="84">
        <v>21.84</v>
      </c>
      <c r="AA28" s="84">
        <v>22.51</v>
      </c>
      <c r="AB28" s="84">
        <v>20.16</v>
      </c>
      <c r="AC28" s="84">
        <v>20.02</v>
      </c>
      <c r="AD28" s="84">
        <v>19.45</v>
      </c>
      <c r="AE28" s="84">
        <v>18.97</v>
      </c>
      <c r="AF28" s="84">
        <v>19.32</v>
      </c>
      <c r="AG28" s="84">
        <v>21.63</v>
      </c>
      <c r="AH28" s="84" t="s">
        <v>2082</v>
      </c>
      <c r="AI28" s="83">
        <f t="shared" si="1"/>
        <v>-22.94</v>
      </c>
      <c r="AJ28" s="83">
        <f t="shared" si="2"/>
        <v>-22.94</v>
      </c>
      <c r="AK28" s="83">
        <f t="shared" si="3"/>
        <v>-23.28</v>
      </c>
      <c r="AL28" s="83">
        <f t="shared" si="4"/>
        <v>-21.259999999999998</v>
      </c>
      <c r="AM28" s="83">
        <f t="shared" si="5"/>
        <v>-21.939999999999998</v>
      </c>
      <c r="AN28" s="83">
        <f t="shared" si="6"/>
        <v>-20.93</v>
      </c>
      <c r="AO28" s="83">
        <f t="shared" si="7"/>
        <v>-21.6</v>
      </c>
      <c r="AP28" s="83">
        <f t="shared" si="8"/>
        <v>-23.21</v>
      </c>
      <c r="AQ28" s="83">
        <f t="shared" si="9"/>
        <v>-23.36</v>
      </c>
      <c r="AR28" s="83">
        <f t="shared" si="10"/>
        <v>-23.57</v>
      </c>
      <c r="AS28" s="83">
        <f t="shared" si="11"/>
        <v>-23.63</v>
      </c>
      <c r="AT28" s="83">
        <f t="shared" si="12"/>
        <v>-22.86</v>
      </c>
      <c r="AU28" s="83" t="e">
        <f t="shared" si="13"/>
        <v>#VALUE!</v>
      </c>
      <c r="AV28" s="84">
        <f t="shared" si="14"/>
        <v>-8.5</v>
      </c>
      <c r="AW28" s="84">
        <f t="shared" si="15"/>
        <v>-11.86</v>
      </c>
      <c r="AX28" s="84">
        <f t="shared" si="16"/>
        <v>-14.54</v>
      </c>
      <c r="AY28" s="84">
        <f t="shared" si="17"/>
        <v>15.46</v>
      </c>
      <c r="AZ28" s="84">
        <f t="shared" si="18"/>
        <v>-8.16</v>
      </c>
      <c r="BA28" s="84">
        <f t="shared" si="19"/>
        <v>-7.4899999999999984</v>
      </c>
      <c r="BB28" s="84">
        <f t="shared" si="20"/>
        <v>-9.84</v>
      </c>
      <c r="BC28" s="84">
        <f t="shared" si="21"/>
        <v>-9.98</v>
      </c>
      <c r="BD28" s="84">
        <f t="shared" si="22"/>
        <v>-10.55</v>
      </c>
      <c r="BE28" s="84">
        <f t="shared" si="23"/>
        <v>-11.030000000000001</v>
      </c>
      <c r="BF28" s="84">
        <f t="shared" si="24"/>
        <v>-10.68</v>
      </c>
      <c r="BG28" s="84">
        <f t="shared" si="25"/>
        <v>-8.370000000000001</v>
      </c>
      <c r="BH28" s="84" t="e">
        <f t="shared" si="26"/>
        <v>#VALUE!</v>
      </c>
      <c r="BI28" s="85">
        <f t="shared" ref="BI28:BT35" si="59">AI28*101.4</f>
        <v>-2326.1160000000004</v>
      </c>
      <c r="BJ28" s="85">
        <f t="shared" si="59"/>
        <v>-2326.1160000000004</v>
      </c>
      <c r="BK28" s="85">
        <f t="shared" si="59"/>
        <v>-2360.5920000000001</v>
      </c>
      <c r="BL28" s="85">
        <f t="shared" si="59"/>
        <v>-2155.7640000000001</v>
      </c>
      <c r="BM28" s="85">
        <f t="shared" si="59"/>
        <v>-2224.7159999999999</v>
      </c>
      <c r="BN28" s="85">
        <f t="shared" si="59"/>
        <v>-2122.3020000000001</v>
      </c>
      <c r="BO28" s="85">
        <f t="shared" si="59"/>
        <v>-2190.2400000000002</v>
      </c>
      <c r="BP28" s="85">
        <f t="shared" si="59"/>
        <v>-2353.4940000000001</v>
      </c>
      <c r="BQ28" s="85">
        <f t="shared" si="59"/>
        <v>-2368.7040000000002</v>
      </c>
      <c r="BR28" s="85">
        <f t="shared" si="59"/>
        <v>-2389.998</v>
      </c>
      <c r="BS28" s="85">
        <f t="shared" si="59"/>
        <v>-2396.0819999999999</v>
      </c>
      <c r="BT28" s="85">
        <f t="shared" si="59"/>
        <v>-2318.0039999999999</v>
      </c>
      <c r="BU28" s="85"/>
      <c r="BV28" s="86">
        <f t="shared" ref="BV28:CG35" si="60">AV28*101.4</f>
        <v>-861.90000000000009</v>
      </c>
      <c r="BW28" s="86">
        <f t="shared" si="60"/>
        <v>-1202.604</v>
      </c>
      <c r="BX28" s="86">
        <f t="shared" si="60"/>
        <v>-1474.356</v>
      </c>
      <c r="BY28" s="86">
        <f t="shared" si="60"/>
        <v>1567.6440000000002</v>
      </c>
      <c r="BZ28" s="86">
        <f t="shared" si="60"/>
        <v>-827.42400000000009</v>
      </c>
      <c r="CA28" s="86">
        <f t="shared" si="60"/>
        <v>-759.48599999999988</v>
      </c>
      <c r="CB28" s="86">
        <f t="shared" si="60"/>
        <v>-997.77600000000007</v>
      </c>
      <c r="CC28" s="86">
        <f t="shared" si="60"/>
        <v>-1011.9720000000001</v>
      </c>
      <c r="CD28" s="86">
        <f t="shared" si="60"/>
        <v>-1069.7700000000002</v>
      </c>
      <c r="CE28" s="86">
        <f t="shared" si="60"/>
        <v>-1118.4420000000002</v>
      </c>
      <c r="CF28" s="86">
        <f t="shared" si="60"/>
        <v>-1082.952</v>
      </c>
      <c r="CG28" s="86">
        <f t="shared" si="60"/>
        <v>-848.71800000000019</v>
      </c>
      <c r="CH28" s="86"/>
    </row>
    <row r="29" spans="1:86" ht="15.75" customHeight="1">
      <c r="A29" s="77" t="s">
        <v>17</v>
      </c>
      <c r="B29" s="77" t="s">
        <v>59</v>
      </c>
      <c r="C29" s="77">
        <v>3841</v>
      </c>
      <c r="D29" s="77" t="s">
        <v>15</v>
      </c>
      <c r="E29" s="77">
        <v>30</v>
      </c>
      <c r="F29" s="77">
        <f t="shared" si="0"/>
        <v>9.24</v>
      </c>
      <c r="G29" s="77">
        <f t="shared" si="58"/>
        <v>20.759999999999998</v>
      </c>
      <c r="H29" s="77" t="s">
        <v>2082</v>
      </c>
      <c r="I29" s="83">
        <v>6.72</v>
      </c>
      <c r="J29" s="83">
        <v>6.72</v>
      </c>
      <c r="K29" s="83">
        <v>7.56</v>
      </c>
      <c r="L29" s="83">
        <v>8.4</v>
      </c>
      <c r="M29" s="83">
        <v>5.88</v>
      </c>
      <c r="N29" s="83">
        <v>5.88</v>
      </c>
      <c r="O29" s="83">
        <v>5.88</v>
      </c>
      <c r="P29" s="83">
        <v>5.88</v>
      </c>
      <c r="Q29" s="83">
        <v>5.88</v>
      </c>
      <c r="R29" s="83">
        <v>6.72</v>
      </c>
      <c r="S29" s="83">
        <v>3.36</v>
      </c>
      <c r="T29" s="83">
        <v>2.52</v>
      </c>
      <c r="U29" s="83">
        <v>3.36</v>
      </c>
      <c r="V29" s="84">
        <v>6.72</v>
      </c>
      <c r="W29" s="84">
        <v>7.56</v>
      </c>
      <c r="X29" s="84">
        <v>7.56</v>
      </c>
      <c r="Y29" s="84">
        <v>9.24</v>
      </c>
      <c r="Z29" s="84">
        <v>6.72</v>
      </c>
      <c r="AA29" s="84">
        <v>7.56</v>
      </c>
      <c r="AB29" s="84">
        <v>6.72</v>
      </c>
      <c r="AC29" s="84">
        <v>7.56</v>
      </c>
      <c r="AD29" s="84">
        <v>6.72</v>
      </c>
      <c r="AE29" s="84">
        <v>6.72</v>
      </c>
      <c r="AF29" s="84">
        <v>3.36</v>
      </c>
      <c r="AG29" s="84">
        <v>4.2</v>
      </c>
      <c r="AH29" s="84">
        <v>4.2</v>
      </c>
      <c r="AI29" s="83">
        <f t="shared" si="1"/>
        <v>-23.28</v>
      </c>
      <c r="AJ29" s="83">
        <f t="shared" si="2"/>
        <v>-23.28</v>
      </c>
      <c r="AK29" s="83">
        <f t="shared" si="3"/>
        <v>-22.44</v>
      </c>
      <c r="AL29" s="83">
        <f t="shared" si="4"/>
        <v>-21.6</v>
      </c>
      <c r="AM29" s="83">
        <f t="shared" si="5"/>
        <v>-24.12</v>
      </c>
      <c r="AN29" s="83">
        <f t="shared" si="6"/>
        <v>-24.12</v>
      </c>
      <c r="AO29" s="83">
        <f t="shared" si="7"/>
        <v>-24.12</v>
      </c>
      <c r="AP29" s="83">
        <f t="shared" si="8"/>
        <v>-24.12</v>
      </c>
      <c r="AQ29" s="83">
        <f t="shared" si="9"/>
        <v>-24.12</v>
      </c>
      <c r="AR29" s="83">
        <f t="shared" si="10"/>
        <v>-23.28</v>
      </c>
      <c r="AS29" s="83">
        <f t="shared" si="11"/>
        <v>-26.64</v>
      </c>
      <c r="AT29" s="83">
        <f t="shared" si="12"/>
        <v>-27.48</v>
      </c>
      <c r="AU29" s="83">
        <f t="shared" si="13"/>
        <v>-26.64</v>
      </c>
      <c r="AV29" s="84">
        <f t="shared" si="14"/>
        <v>-23.28</v>
      </c>
      <c r="AW29" s="84">
        <f t="shared" si="15"/>
        <v>-22.44</v>
      </c>
      <c r="AX29" s="84">
        <f t="shared" si="16"/>
        <v>-22.44</v>
      </c>
      <c r="AY29" s="84">
        <f t="shared" si="17"/>
        <v>1.6800000000000006</v>
      </c>
      <c r="AZ29" s="84">
        <f t="shared" si="18"/>
        <v>-23.28</v>
      </c>
      <c r="BA29" s="84">
        <f t="shared" si="19"/>
        <v>-22.44</v>
      </c>
      <c r="BB29" s="84">
        <f t="shared" si="20"/>
        <v>-23.28</v>
      </c>
      <c r="BC29" s="84">
        <f t="shared" si="21"/>
        <v>-22.44</v>
      </c>
      <c r="BD29" s="84">
        <f t="shared" si="22"/>
        <v>-23.28</v>
      </c>
      <c r="BE29" s="84">
        <f t="shared" si="23"/>
        <v>-23.28</v>
      </c>
      <c r="BF29" s="84">
        <f t="shared" si="24"/>
        <v>-26.64</v>
      </c>
      <c r="BG29" s="84">
        <f t="shared" si="25"/>
        <v>-25.8</v>
      </c>
      <c r="BH29" s="84">
        <f t="shared" si="26"/>
        <v>-25.8</v>
      </c>
      <c r="BI29" s="85">
        <f t="shared" si="59"/>
        <v>-2360.5920000000001</v>
      </c>
      <c r="BJ29" s="85">
        <f t="shared" si="59"/>
        <v>-2360.5920000000001</v>
      </c>
      <c r="BK29" s="85">
        <f t="shared" si="59"/>
        <v>-2275.4160000000002</v>
      </c>
      <c r="BL29" s="85">
        <f t="shared" si="59"/>
        <v>-2190.2400000000002</v>
      </c>
      <c r="BM29" s="85">
        <f t="shared" si="59"/>
        <v>-2445.768</v>
      </c>
      <c r="BN29" s="85">
        <f t="shared" si="59"/>
        <v>-2445.768</v>
      </c>
      <c r="BO29" s="85">
        <f t="shared" si="59"/>
        <v>-2445.768</v>
      </c>
      <c r="BP29" s="85">
        <f t="shared" si="59"/>
        <v>-2445.768</v>
      </c>
      <c r="BQ29" s="85">
        <f t="shared" si="59"/>
        <v>-2445.768</v>
      </c>
      <c r="BR29" s="85">
        <f t="shared" si="59"/>
        <v>-2360.5920000000001</v>
      </c>
      <c r="BS29" s="85">
        <f t="shared" si="59"/>
        <v>-2701.2960000000003</v>
      </c>
      <c r="BT29" s="85">
        <f t="shared" si="59"/>
        <v>-2786.4720000000002</v>
      </c>
      <c r="BU29" s="85">
        <f t="shared" ref="BU29:BU35" si="61">AU29*101.4</f>
        <v>-2701.2960000000003</v>
      </c>
      <c r="BV29" s="86">
        <f t="shared" si="60"/>
        <v>-2360.5920000000001</v>
      </c>
      <c r="BW29" s="86">
        <f t="shared" si="60"/>
        <v>-2275.4160000000002</v>
      </c>
      <c r="BX29" s="86">
        <f t="shared" si="60"/>
        <v>-2275.4160000000002</v>
      </c>
      <c r="BY29" s="86">
        <f t="shared" si="60"/>
        <v>170.35200000000006</v>
      </c>
      <c r="BZ29" s="86">
        <f t="shared" si="60"/>
        <v>-2360.5920000000001</v>
      </c>
      <c r="CA29" s="86">
        <f t="shared" si="60"/>
        <v>-2275.4160000000002</v>
      </c>
      <c r="CB29" s="86">
        <f t="shared" si="60"/>
        <v>-2360.5920000000001</v>
      </c>
      <c r="CC29" s="86">
        <f t="shared" si="60"/>
        <v>-2275.4160000000002</v>
      </c>
      <c r="CD29" s="86">
        <f t="shared" si="60"/>
        <v>-2360.5920000000001</v>
      </c>
      <c r="CE29" s="86">
        <f t="shared" si="60"/>
        <v>-2360.5920000000001</v>
      </c>
      <c r="CF29" s="86">
        <f t="shared" si="60"/>
        <v>-2701.2960000000003</v>
      </c>
      <c r="CG29" s="86">
        <f t="shared" si="60"/>
        <v>-2616.1200000000003</v>
      </c>
      <c r="CH29" s="86">
        <f t="shared" ref="CH29:CH35" si="62">BH29*101.4</f>
        <v>-2616.1200000000003</v>
      </c>
    </row>
    <row r="30" spans="1:86" ht="15.75" customHeight="1">
      <c r="A30" s="77" t="s">
        <v>17</v>
      </c>
      <c r="B30" s="77" t="s">
        <v>60</v>
      </c>
      <c r="C30" s="77">
        <v>5209172</v>
      </c>
      <c r="D30" s="77" t="s">
        <v>15</v>
      </c>
      <c r="E30" s="77">
        <v>120</v>
      </c>
      <c r="F30" s="77">
        <f t="shared" si="0"/>
        <v>119.62</v>
      </c>
      <c r="G30" s="77">
        <f t="shared" si="58"/>
        <v>0.37999999999999545</v>
      </c>
      <c r="H30" s="77" t="s">
        <v>2082</v>
      </c>
      <c r="I30" s="83">
        <v>94.42</v>
      </c>
      <c r="J30" s="83">
        <v>95.76</v>
      </c>
      <c r="K30" s="83">
        <v>85.68</v>
      </c>
      <c r="L30" s="83">
        <v>85.68</v>
      </c>
      <c r="M30" s="83">
        <v>80.98</v>
      </c>
      <c r="N30" s="83">
        <v>83.33</v>
      </c>
      <c r="O30" s="83">
        <v>76.94</v>
      </c>
      <c r="P30" s="83">
        <v>69.22</v>
      </c>
      <c r="Q30" s="83">
        <v>59.47</v>
      </c>
      <c r="R30" s="83">
        <v>74.930000000000007</v>
      </c>
      <c r="S30" s="83">
        <v>86.35</v>
      </c>
      <c r="T30" s="83">
        <v>86.35</v>
      </c>
      <c r="U30" s="83">
        <v>89.04</v>
      </c>
      <c r="V30" s="84">
        <v>102.48</v>
      </c>
      <c r="W30" s="84">
        <v>119.62</v>
      </c>
      <c r="X30" s="84">
        <v>96.77</v>
      </c>
      <c r="Y30" s="84">
        <v>98.11</v>
      </c>
      <c r="Z30" s="84">
        <v>97.78</v>
      </c>
      <c r="AA30" s="84">
        <v>93.07</v>
      </c>
      <c r="AB30" s="84">
        <v>73.58</v>
      </c>
      <c r="AC30" s="84">
        <v>76.61</v>
      </c>
      <c r="AD30" s="84">
        <v>69.89</v>
      </c>
      <c r="AE30" s="84">
        <v>81.31</v>
      </c>
      <c r="AF30" s="84">
        <v>97.1</v>
      </c>
      <c r="AG30" s="84">
        <v>94.42</v>
      </c>
      <c r="AH30" s="84">
        <v>118.27</v>
      </c>
      <c r="AI30" s="83">
        <f t="shared" si="1"/>
        <v>-25.58</v>
      </c>
      <c r="AJ30" s="83">
        <f t="shared" si="2"/>
        <v>-24.239999999999995</v>
      </c>
      <c r="AK30" s="83">
        <f t="shared" si="3"/>
        <v>-34.319999999999993</v>
      </c>
      <c r="AL30" s="83">
        <f t="shared" si="4"/>
        <v>-34.319999999999993</v>
      </c>
      <c r="AM30" s="83">
        <f t="shared" si="5"/>
        <v>-39.019999999999996</v>
      </c>
      <c r="AN30" s="83">
        <f t="shared" si="6"/>
        <v>-36.67</v>
      </c>
      <c r="AO30" s="83">
        <f t="shared" si="7"/>
        <v>-43.06</v>
      </c>
      <c r="AP30" s="83">
        <f t="shared" si="8"/>
        <v>-50.78</v>
      </c>
      <c r="AQ30" s="83">
        <f t="shared" si="9"/>
        <v>-60.53</v>
      </c>
      <c r="AR30" s="83">
        <f t="shared" si="10"/>
        <v>-45.069999999999993</v>
      </c>
      <c r="AS30" s="83">
        <f t="shared" si="11"/>
        <v>-33.650000000000006</v>
      </c>
      <c r="AT30" s="83">
        <f t="shared" si="12"/>
        <v>-33.650000000000006</v>
      </c>
      <c r="AU30" s="83">
        <f t="shared" si="13"/>
        <v>-30.959999999999994</v>
      </c>
      <c r="AV30" s="84">
        <f t="shared" si="14"/>
        <v>-17.519999999999996</v>
      </c>
      <c r="AW30" s="84">
        <f t="shared" si="15"/>
        <v>-0.37999999999999545</v>
      </c>
      <c r="AX30" s="84">
        <f t="shared" si="16"/>
        <v>-23.230000000000004</v>
      </c>
      <c r="AY30" s="84">
        <f t="shared" si="17"/>
        <v>12.429999999999993</v>
      </c>
      <c r="AZ30" s="84">
        <f t="shared" si="18"/>
        <v>-22.22</v>
      </c>
      <c r="BA30" s="84">
        <f t="shared" si="19"/>
        <v>-26.930000000000007</v>
      </c>
      <c r="BB30" s="84">
        <f t="shared" si="20"/>
        <v>-46.42</v>
      </c>
      <c r="BC30" s="84">
        <f t="shared" si="21"/>
        <v>-43.39</v>
      </c>
      <c r="BD30" s="84">
        <f t="shared" si="22"/>
        <v>-50.11</v>
      </c>
      <c r="BE30" s="84">
        <f t="shared" si="23"/>
        <v>-38.69</v>
      </c>
      <c r="BF30" s="84">
        <f t="shared" si="24"/>
        <v>-22.900000000000006</v>
      </c>
      <c r="BG30" s="84">
        <f t="shared" si="25"/>
        <v>-25.58</v>
      </c>
      <c r="BH30" s="84">
        <f t="shared" si="26"/>
        <v>-1.730000000000004</v>
      </c>
      <c r="BI30" s="85">
        <f t="shared" si="59"/>
        <v>-2593.8119999999999</v>
      </c>
      <c r="BJ30" s="85">
        <f t="shared" si="59"/>
        <v>-2457.9359999999997</v>
      </c>
      <c r="BK30" s="85">
        <f t="shared" si="59"/>
        <v>-3480.0479999999993</v>
      </c>
      <c r="BL30" s="85">
        <f t="shared" si="59"/>
        <v>-3480.0479999999993</v>
      </c>
      <c r="BM30" s="85">
        <f t="shared" si="59"/>
        <v>-3956.6279999999997</v>
      </c>
      <c r="BN30" s="85">
        <f t="shared" si="59"/>
        <v>-3718.3380000000002</v>
      </c>
      <c r="BO30" s="85">
        <f t="shared" si="59"/>
        <v>-4366.2840000000006</v>
      </c>
      <c r="BP30" s="85">
        <f t="shared" si="59"/>
        <v>-5149.0920000000006</v>
      </c>
      <c r="BQ30" s="85">
        <f t="shared" si="59"/>
        <v>-6137.7420000000002</v>
      </c>
      <c r="BR30" s="85">
        <f t="shared" si="59"/>
        <v>-4570.098</v>
      </c>
      <c r="BS30" s="85">
        <f t="shared" si="59"/>
        <v>-3412.1100000000006</v>
      </c>
      <c r="BT30" s="85">
        <f t="shared" si="59"/>
        <v>-3412.1100000000006</v>
      </c>
      <c r="BU30" s="85">
        <f t="shared" si="61"/>
        <v>-3139.3439999999996</v>
      </c>
      <c r="BV30" s="86">
        <f t="shared" si="60"/>
        <v>-1776.5279999999998</v>
      </c>
      <c r="BW30" s="86">
        <f t="shared" si="60"/>
        <v>-38.531999999999542</v>
      </c>
      <c r="BX30" s="86">
        <f t="shared" si="60"/>
        <v>-2355.5220000000004</v>
      </c>
      <c r="BY30" s="86">
        <f t="shared" si="60"/>
        <v>1260.4019999999994</v>
      </c>
      <c r="BZ30" s="86">
        <f t="shared" si="60"/>
        <v>-2253.1080000000002</v>
      </c>
      <c r="CA30" s="86">
        <f t="shared" si="60"/>
        <v>-2730.7020000000007</v>
      </c>
      <c r="CB30" s="86">
        <f t="shared" si="60"/>
        <v>-4706.9880000000003</v>
      </c>
      <c r="CC30" s="86">
        <f t="shared" si="60"/>
        <v>-4399.7460000000001</v>
      </c>
      <c r="CD30" s="86">
        <f t="shared" si="60"/>
        <v>-5081.1540000000005</v>
      </c>
      <c r="CE30" s="86">
        <f t="shared" si="60"/>
        <v>-3923.1660000000002</v>
      </c>
      <c r="CF30" s="86">
        <f t="shared" si="60"/>
        <v>-2322.0600000000009</v>
      </c>
      <c r="CG30" s="86">
        <f t="shared" si="60"/>
        <v>-2593.8119999999999</v>
      </c>
      <c r="CH30" s="86">
        <f t="shared" si="62"/>
        <v>-175.42200000000042</v>
      </c>
    </row>
    <row r="31" spans="1:86" ht="15.75" customHeight="1">
      <c r="A31" s="77" t="s">
        <v>17</v>
      </c>
      <c r="B31" s="77" t="s">
        <v>61</v>
      </c>
      <c r="C31" s="77">
        <v>3547996</v>
      </c>
      <c r="D31" s="77" t="s">
        <v>15</v>
      </c>
      <c r="E31" s="77">
        <v>36</v>
      </c>
      <c r="F31" s="77">
        <f t="shared" si="0"/>
        <v>33.01</v>
      </c>
      <c r="G31" s="77">
        <f t="shared" si="58"/>
        <v>2.990000000000002</v>
      </c>
      <c r="H31" s="77" t="s">
        <v>2082</v>
      </c>
      <c r="I31" s="83">
        <v>16.88</v>
      </c>
      <c r="J31" s="83">
        <v>14.87</v>
      </c>
      <c r="K31" s="83">
        <v>9.32</v>
      </c>
      <c r="L31" s="83">
        <v>13.61</v>
      </c>
      <c r="M31" s="83">
        <v>10.08</v>
      </c>
      <c r="N31" s="83">
        <v>10.08</v>
      </c>
      <c r="O31" s="83">
        <v>10.58</v>
      </c>
      <c r="P31" s="83">
        <v>7.56</v>
      </c>
      <c r="Q31" s="83">
        <v>10.58</v>
      </c>
      <c r="R31" s="83">
        <v>10.84</v>
      </c>
      <c r="S31" s="83">
        <v>14.11</v>
      </c>
      <c r="T31" s="83">
        <v>12.85</v>
      </c>
      <c r="U31" s="83">
        <v>14.11</v>
      </c>
      <c r="V31" s="84">
        <v>33.01</v>
      </c>
      <c r="W31" s="84">
        <v>27.22</v>
      </c>
      <c r="X31" s="84">
        <v>15.62</v>
      </c>
      <c r="Y31" s="84">
        <v>26.71</v>
      </c>
      <c r="Z31" s="84">
        <v>25.2</v>
      </c>
      <c r="AA31" s="84">
        <v>24.7</v>
      </c>
      <c r="AB31" s="84">
        <v>20.16</v>
      </c>
      <c r="AC31" s="84">
        <v>16.88</v>
      </c>
      <c r="AD31" s="84">
        <v>15.37</v>
      </c>
      <c r="AE31" s="84">
        <v>21.42</v>
      </c>
      <c r="AF31" s="84">
        <v>24.95</v>
      </c>
      <c r="AG31" s="84">
        <v>28.98</v>
      </c>
      <c r="AH31" s="84">
        <v>30.74</v>
      </c>
      <c r="AI31" s="83">
        <f t="shared" si="1"/>
        <v>-19.12</v>
      </c>
      <c r="AJ31" s="83">
        <f t="shared" si="2"/>
        <v>-21.130000000000003</v>
      </c>
      <c r="AK31" s="83">
        <f t="shared" si="3"/>
        <v>-26.68</v>
      </c>
      <c r="AL31" s="83">
        <f t="shared" si="4"/>
        <v>-22.39</v>
      </c>
      <c r="AM31" s="83">
        <f t="shared" si="5"/>
        <v>-25.92</v>
      </c>
      <c r="AN31" s="83">
        <f t="shared" si="6"/>
        <v>-25.92</v>
      </c>
      <c r="AO31" s="83">
        <f t="shared" si="7"/>
        <v>-25.42</v>
      </c>
      <c r="AP31" s="83">
        <f t="shared" si="8"/>
        <v>-28.44</v>
      </c>
      <c r="AQ31" s="83">
        <f t="shared" si="9"/>
        <v>-25.42</v>
      </c>
      <c r="AR31" s="83">
        <f t="shared" si="10"/>
        <v>-25.16</v>
      </c>
      <c r="AS31" s="83">
        <f t="shared" si="11"/>
        <v>-21.89</v>
      </c>
      <c r="AT31" s="83">
        <f t="shared" si="12"/>
        <v>-23.15</v>
      </c>
      <c r="AU31" s="83">
        <f t="shared" si="13"/>
        <v>-21.89</v>
      </c>
      <c r="AV31" s="84">
        <f t="shared" si="14"/>
        <v>-2.990000000000002</v>
      </c>
      <c r="AW31" s="84">
        <f t="shared" si="15"/>
        <v>-8.7800000000000011</v>
      </c>
      <c r="AX31" s="84">
        <f t="shared" si="16"/>
        <v>-20.380000000000003</v>
      </c>
      <c r="AY31" s="84">
        <f t="shared" si="17"/>
        <v>17.39</v>
      </c>
      <c r="AZ31" s="84">
        <f t="shared" si="18"/>
        <v>-10.8</v>
      </c>
      <c r="BA31" s="84">
        <f t="shared" si="19"/>
        <v>-11.3</v>
      </c>
      <c r="BB31" s="84">
        <f t="shared" si="20"/>
        <v>-15.84</v>
      </c>
      <c r="BC31" s="84">
        <f t="shared" si="21"/>
        <v>-19.12</v>
      </c>
      <c r="BD31" s="84">
        <f t="shared" si="22"/>
        <v>-20.630000000000003</v>
      </c>
      <c r="BE31" s="84">
        <f t="shared" si="23"/>
        <v>-14.579999999999998</v>
      </c>
      <c r="BF31" s="84">
        <f t="shared" si="24"/>
        <v>-11.05</v>
      </c>
      <c r="BG31" s="84">
        <f t="shared" si="25"/>
        <v>-7.02</v>
      </c>
      <c r="BH31" s="84">
        <f t="shared" si="26"/>
        <v>-5.2600000000000016</v>
      </c>
      <c r="BI31" s="85">
        <f t="shared" si="59"/>
        <v>-1938.7680000000003</v>
      </c>
      <c r="BJ31" s="85">
        <f t="shared" si="59"/>
        <v>-2142.5820000000003</v>
      </c>
      <c r="BK31" s="85">
        <f t="shared" si="59"/>
        <v>-2705.3520000000003</v>
      </c>
      <c r="BL31" s="85">
        <f t="shared" si="59"/>
        <v>-2270.346</v>
      </c>
      <c r="BM31" s="85">
        <f t="shared" si="59"/>
        <v>-2628.2880000000005</v>
      </c>
      <c r="BN31" s="85">
        <f t="shared" si="59"/>
        <v>-2628.2880000000005</v>
      </c>
      <c r="BO31" s="85">
        <f t="shared" si="59"/>
        <v>-2577.5880000000002</v>
      </c>
      <c r="BP31" s="85">
        <f t="shared" si="59"/>
        <v>-2883.8160000000003</v>
      </c>
      <c r="BQ31" s="85">
        <f t="shared" si="59"/>
        <v>-2577.5880000000002</v>
      </c>
      <c r="BR31" s="85">
        <f t="shared" si="59"/>
        <v>-2551.2240000000002</v>
      </c>
      <c r="BS31" s="85">
        <f t="shared" si="59"/>
        <v>-2219.6460000000002</v>
      </c>
      <c r="BT31" s="85">
        <f t="shared" si="59"/>
        <v>-2347.41</v>
      </c>
      <c r="BU31" s="85">
        <f t="shared" si="61"/>
        <v>-2219.6460000000002</v>
      </c>
      <c r="BV31" s="86">
        <f t="shared" si="60"/>
        <v>-303.18600000000021</v>
      </c>
      <c r="BW31" s="86">
        <f t="shared" si="60"/>
        <v>-890.29200000000014</v>
      </c>
      <c r="BX31" s="86">
        <f t="shared" si="60"/>
        <v>-2066.5320000000002</v>
      </c>
      <c r="BY31" s="86">
        <f t="shared" si="60"/>
        <v>1763.3460000000002</v>
      </c>
      <c r="BZ31" s="86">
        <f t="shared" si="60"/>
        <v>-1095.1200000000001</v>
      </c>
      <c r="CA31" s="86">
        <f t="shared" si="60"/>
        <v>-1145.8200000000002</v>
      </c>
      <c r="CB31" s="86">
        <f t="shared" si="60"/>
        <v>-1606.1760000000002</v>
      </c>
      <c r="CC31" s="86">
        <f t="shared" si="60"/>
        <v>-1938.7680000000003</v>
      </c>
      <c r="CD31" s="86">
        <f t="shared" si="60"/>
        <v>-2091.8820000000005</v>
      </c>
      <c r="CE31" s="86">
        <f t="shared" si="60"/>
        <v>-1478.4119999999998</v>
      </c>
      <c r="CF31" s="86">
        <f t="shared" si="60"/>
        <v>-1120.47</v>
      </c>
      <c r="CG31" s="86">
        <f t="shared" si="60"/>
        <v>-711.82799999999997</v>
      </c>
      <c r="CH31" s="86">
        <f t="shared" si="62"/>
        <v>-533.36400000000015</v>
      </c>
    </row>
    <row r="32" spans="1:86" ht="15.75" customHeight="1">
      <c r="A32" s="77" t="s">
        <v>17</v>
      </c>
      <c r="B32" s="77" t="s">
        <v>63</v>
      </c>
      <c r="C32" s="77">
        <v>4055889</v>
      </c>
      <c r="D32" s="77" t="s">
        <v>15</v>
      </c>
      <c r="E32" s="77">
        <v>30</v>
      </c>
      <c r="F32" s="77">
        <f t="shared" si="0"/>
        <v>42.34</v>
      </c>
      <c r="G32" s="77" t="s">
        <v>2082</v>
      </c>
      <c r="H32" s="77">
        <f>F32-E32</f>
        <v>12.340000000000003</v>
      </c>
      <c r="I32" s="83">
        <v>23.52</v>
      </c>
      <c r="J32" s="83">
        <v>23.52</v>
      </c>
      <c r="K32" s="83">
        <v>23.18</v>
      </c>
      <c r="L32" s="83">
        <v>23.52</v>
      </c>
      <c r="M32" s="83">
        <v>25.2</v>
      </c>
      <c r="N32" s="83">
        <v>23.86</v>
      </c>
      <c r="O32" s="83">
        <v>24.19</v>
      </c>
      <c r="P32" s="83">
        <v>22.12</v>
      </c>
      <c r="Q32" s="83">
        <v>22.18</v>
      </c>
      <c r="R32" s="83">
        <v>22.12</v>
      </c>
      <c r="S32" s="83">
        <v>22.05</v>
      </c>
      <c r="T32" s="83">
        <v>22.12</v>
      </c>
      <c r="U32" s="83">
        <v>22.68</v>
      </c>
      <c r="V32" s="84">
        <v>35.619999999999997</v>
      </c>
      <c r="W32" s="84">
        <v>38.64</v>
      </c>
      <c r="X32" s="84">
        <v>27.22</v>
      </c>
      <c r="Y32" s="84">
        <v>38.64</v>
      </c>
      <c r="Z32" s="84">
        <v>42.34</v>
      </c>
      <c r="AA32" s="84">
        <v>38.64</v>
      </c>
      <c r="AB32" s="84">
        <v>36.29</v>
      </c>
      <c r="AC32" s="84">
        <v>28.77</v>
      </c>
      <c r="AD32" s="84">
        <v>28.53</v>
      </c>
      <c r="AE32" s="84">
        <v>28</v>
      </c>
      <c r="AF32" s="84">
        <v>27.93</v>
      </c>
      <c r="AG32" s="84">
        <v>27.72</v>
      </c>
      <c r="AH32" s="84">
        <v>39.479999999999997</v>
      </c>
      <c r="AI32" s="83">
        <f t="shared" si="1"/>
        <v>-6.48</v>
      </c>
      <c r="AJ32" s="83">
        <f t="shared" si="2"/>
        <v>-6.48</v>
      </c>
      <c r="AK32" s="83">
        <f t="shared" si="3"/>
        <v>-6.82</v>
      </c>
      <c r="AL32" s="83">
        <f t="shared" si="4"/>
        <v>-6.48</v>
      </c>
      <c r="AM32" s="83">
        <f t="shared" si="5"/>
        <v>-4.8000000000000007</v>
      </c>
      <c r="AN32" s="83">
        <f t="shared" si="6"/>
        <v>-6.1400000000000006</v>
      </c>
      <c r="AO32" s="83">
        <f t="shared" si="7"/>
        <v>-5.8099999999999987</v>
      </c>
      <c r="AP32" s="83">
        <f t="shared" si="8"/>
        <v>-7.879999999999999</v>
      </c>
      <c r="AQ32" s="83">
        <f t="shared" si="9"/>
        <v>-7.82</v>
      </c>
      <c r="AR32" s="83">
        <f t="shared" si="10"/>
        <v>-7.879999999999999</v>
      </c>
      <c r="AS32" s="83">
        <f t="shared" si="11"/>
        <v>-7.9499999999999993</v>
      </c>
      <c r="AT32" s="83">
        <f t="shared" si="12"/>
        <v>-7.879999999999999</v>
      </c>
      <c r="AU32" s="83">
        <f t="shared" si="13"/>
        <v>-7.32</v>
      </c>
      <c r="AV32" s="84">
        <f t="shared" si="14"/>
        <v>5.6199999999999974</v>
      </c>
      <c r="AW32" s="84">
        <f t="shared" si="15"/>
        <v>8.64</v>
      </c>
      <c r="AX32" s="84">
        <f t="shared" si="16"/>
        <v>-2.7800000000000011</v>
      </c>
      <c r="AY32" s="84">
        <f t="shared" si="17"/>
        <v>15.46</v>
      </c>
      <c r="AZ32" s="84">
        <f t="shared" si="18"/>
        <v>12.340000000000003</v>
      </c>
      <c r="BA32" s="84">
        <f t="shared" si="19"/>
        <v>8.64</v>
      </c>
      <c r="BB32" s="84">
        <f t="shared" si="20"/>
        <v>6.2899999999999991</v>
      </c>
      <c r="BC32" s="84">
        <f t="shared" si="21"/>
        <v>-1.2300000000000004</v>
      </c>
      <c r="BD32" s="84">
        <f t="shared" si="22"/>
        <v>-1.4699999999999989</v>
      </c>
      <c r="BE32" s="84">
        <f t="shared" si="23"/>
        <v>-2</v>
      </c>
      <c r="BF32" s="84">
        <f t="shared" si="24"/>
        <v>-2.0700000000000003</v>
      </c>
      <c r="BG32" s="84">
        <f t="shared" si="25"/>
        <v>-2.2800000000000011</v>
      </c>
      <c r="BH32" s="84">
        <f t="shared" si="26"/>
        <v>9.4799999999999969</v>
      </c>
      <c r="BI32" s="85">
        <f t="shared" si="59"/>
        <v>-657.07200000000012</v>
      </c>
      <c r="BJ32" s="85">
        <f t="shared" si="59"/>
        <v>-657.07200000000012</v>
      </c>
      <c r="BK32" s="85">
        <f t="shared" si="59"/>
        <v>-691.54800000000012</v>
      </c>
      <c r="BL32" s="85">
        <f t="shared" si="59"/>
        <v>-657.07200000000012</v>
      </c>
      <c r="BM32" s="85">
        <f t="shared" si="59"/>
        <v>-486.72000000000008</v>
      </c>
      <c r="BN32" s="85">
        <f t="shared" si="59"/>
        <v>-622.59600000000012</v>
      </c>
      <c r="BO32" s="85">
        <f t="shared" si="59"/>
        <v>-589.1339999999999</v>
      </c>
      <c r="BP32" s="85">
        <f t="shared" si="59"/>
        <v>-799.03199999999993</v>
      </c>
      <c r="BQ32" s="85">
        <f t="shared" si="59"/>
        <v>-792.94800000000009</v>
      </c>
      <c r="BR32" s="85">
        <f t="shared" si="59"/>
        <v>-799.03199999999993</v>
      </c>
      <c r="BS32" s="85">
        <f t="shared" si="59"/>
        <v>-806.13</v>
      </c>
      <c r="BT32" s="85">
        <f t="shared" si="59"/>
        <v>-799.03199999999993</v>
      </c>
      <c r="BU32" s="85">
        <f t="shared" si="61"/>
        <v>-742.24800000000005</v>
      </c>
      <c r="BV32" s="86">
        <f t="shared" si="60"/>
        <v>569.86799999999982</v>
      </c>
      <c r="BW32" s="86">
        <f t="shared" si="60"/>
        <v>876.09600000000012</v>
      </c>
      <c r="BX32" s="86">
        <f t="shared" si="60"/>
        <v>-281.89200000000011</v>
      </c>
      <c r="BY32" s="86">
        <f t="shared" si="60"/>
        <v>1567.6440000000002</v>
      </c>
      <c r="BZ32" s="86">
        <f t="shared" si="60"/>
        <v>1251.2760000000005</v>
      </c>
      <c r="CA32" s="86">
        <f t="shared" si="60"/>
        <v>876.09600000000012</v>
      </c>
      <c r="CB32" s="86">
        <f t="shared" si="60"/>
        <v>637.80599999999993</v>
      </c>
      <c r="CC32" s="86">
        <f t="shared" si="60"/>
        <v>-124.72200000000005</v>
      </c>
      <c r="CD32" s="86">
        <f t="shared" si="60"/>
        <v>-149.05799999999988</v>
      </c>
      <c r="CE32" s="86">
        <f t="shared" si="60"/>
        <v>-202.8</v>
      </c>
      <c r="CF32" s="86">
        <f t="shared" si="60"/>
        <v>-209.89800000000005</v>
      </c>
      <c r="CG32" s="86">
        <f t="shared" si="60"/>
        <v>-231.19200000000012</v>
      </c>
      <c r="CH32" s="86">
        <f t="shared" si="62"/>
        <v>961.27199999999971</v>
      </c>
    </row>
    <row r="33" spans="1:86" ht="15.75" customHeight="1">
      <c r="A33" s="77" t="s">
        <v>17</v>
      </c>
      <c r="B33" s="77" t="s">
        <v>64</v>
      </c>
      <c r="C33" s="77">
        <v>4133183</v>
      </c>
      <c r="D33" s="77" t="s">
        <v>15</v>
      </c>
      <c r="E33" s="77">
        <v>80</v>
      </c>
      <c r="F33" s="77">
        <f t="shared" si="0"/>
        <v>198.07</v>
      </c>
      <c r="G33" s="77" t="s">
        <v>2082</v>
      </c>
      <c r="H33" s="77">
        <f>F33-E33</f>
        <v>118.07</v>
      </c>
      <c r="I33" s="83">
        <v>26.21</v>
      </c>
      <c r="J33" s="83">
        <v>29.74</v>
      </c>
      <c r="K33" s="83">
        <v>29.99</v>
      </c>
      <c r="L33" s="83">
        <v>12.6</v>
      </c>
      <c r="M33" s="83">
        <v>13.86</v>
      </c>
      <c r="N33" s="83">
        <v>10.08</v>
      </c>
      <c r="O33" s="83">
        <v>11.59</v>
      </c>
      <c r="P33" s="83">
        <v>10.08</v>
      </c>
      <c r="Q33" s="83">
        <v>10.08</v>
      </c>
      <c r="R33" s="83">
        <v>10.33</v>
      </c>
      <c r="S33" s="83">
        <v>15.37</v>
      </c>
      <c r="T33" s="83">
        <v>20.16</v>
      </c>
      <c r="U33" s="83">
        <v>24.44</v>
      </c>
      <c r="V33" s="84">
        <v>108.11</v>
      </c>
      <c r="W33" s="84">
        <v>115.92</v>
      </c>
      <c r="X33" s="84">
        <v>198.07</v>
      </c>
      <c r="Y33" s="84">
        <v>114.91</v>
      </c>
      <c r="Z33" s="84">
        <v>95.76</v>
      </c>
      <c r="AA33" s="84">
        <v>89.46</v>
      </c>
      <c r="AB33" s="84">
        <v>72.58</v>
      </c>
      <c r="AC33" s="84">
        <v>67.03</v>
      </c>
      <c r="AD33" s="84">
        <v>72.319999999999993</v>
      </c>
      <c r="AE33" s="84">
        <v>72.83</v>
      </c>
      <c r="AF33" s="84">
        <v>100.3</v>
      </c>
      <c r="AG33" s="84">
        <v>91.98</v>
      </c>
      <c r="AH33" s="84">
        <v>104.83</v>
      </c>
      <c r="AI33" s="83">
        <f t="shared" si="1"/>
        <v>-53.79</v>
      </c>
      <c r="AJ33" s="83">
        <f t="shared" si="2"/>
        <v>-50.260000000000005</v>
      </c>
      <c r="AK33" s="83">
        <f t="shared" si="3"/>
        <v>-50.010000000000005</v>
      </c>
      <c r="AL33" s="83">
        <f t="shared" si="4"/>
        <v>-67.400000000000006</v>
      </c>
      <c r="AM33" s="83">
        <f t="shared" si="5"/>
        <v>-66.14</v>
      </c>
      <c r="AN33" s="83">
        <f t="shared" si="6"/>
        <v>-69.92</v>
      </c>
      <c r="AO33" s="83">
        <f t="shared" si="7"/>
        <v>-68.41</v>
      </c>
      <c r="AP33" s="83">
        <f t="shared" si="8"/>
        <v>-69.92</v>
      </c>
      <c r="AQ33" s="83">
        <f t="shared" si="9"/>
        <v>-69.92</v>
      </c>
      <c r="AR33" s="83">
        <f t="shared" si="10"/>
        <v>-69.67</v>
      </c>
      <c r="AS33" s="83">
        <f t="shared" si="11"/>
        <v>-64.63</v>
      </c>
      <c r="AT33" s="83">
        <f t="shared" si="12"/>
        <v>-59.84</v>
      </c>
      <c r="AU33" s="83">
        <f t="shared" si="13"/>
        <v>-55.56</v>
      </c>
      <c r="AV33" s="84">
        <f t="shared" si="14"/>
        <v>28.11</v>
      </c>
      <c r="AW33" s="84">
        <f t="shared" si="15"/>
        <v>35.92</v>
      </c>
      <c r="AX33" s="84">
        <f t="shared" si="16"/>
        <v>118.07</v>
      </c>
      <c r="AY33" s="84">
        <f t="shared" si="17"/>
        <v>84.92</v>
      </c>
      <c r="AZ33" s="84">
        <f t="shared" si="18"/>
        <v>15.760000000000005</v>
      </c>
      <c r="BA33" s="84">
        <f t="shared" si="19"/>
        <v>9.4599999999999937</v>
      </c>
      <c r="BB33" s="84">
        <f t="shared" si="20"/>
        <v>-7.4200000000000017</v>
      </c>
      <c r="BC33" s="84">
        <f t="shared" si="21"/>
        <v>-12.969999999999999</v>
      </c>
      <c r="BD33" s="84">
        <f t="shared" si="22"/>
        <v>-7.6800000000000068</v>
      </c>
      <c r="BE33" s="84">
        <f t="shared" si="23"/>
        <v>-7.1700000000000017</v>
      </c>
      <c r="BF33" s="84">
        <f t="shared" si="24"/>
        <v>20.299999999999997</v>
      </c>
      <c r="BG33" s="84">
        <f t="shared" si="25"/>
        <v>11.980000000000004</v>
      </c>
      <c r="BH33" s="84">
        <f t="shared" si="26"/>
        <v>24.83</v>
      </c>
      <c r="BI33" s="85">
        <f t="shared" si="59"/>
        <v>-5454.3060000000005</v>
      </c>
      <c r="BJ33" s="85">
        <f t="shared" si="59"/>
        <v>-5096.3640000000005</v>
      </c>
      <c r="BK33" s="85">
        <f t="shared" si="59"/>
        <v>-5071.014000000001</v>
      </c>
      <c r="BL33" s="85">
        <f t="shared" si="59"/>
        <v>-6834.3600000000006</v>
      </c>
      <c r="BM33" s="85">
        <f t="shared" si="59"/>
        <v>-6706.5960000000005</v>
      </c>
      <c r="BN33" s="85">
        <f t="shared" si="59"/>
        <v>-7089.8880000000008</v>
      </c>
      <c r="BO33" s="85">
        <f t="shared" si="59"/>
        <v>-6936.7740000000003</v>
      </c>
      <c r="BP33" s="85">
        <f t="shared" si="59"/>
        <v>-7089.8880000000008</v>
      </c>
      <c r="BQ33" s="85">
        <f t="shared" si="59"/>
        <v>-7089.8880000000008</v>
      </c>
      <c r="BR33" s="85">
        <f t="shared" si="59"/>
        <v>-7064.5380000000005</v>
      </c>
      <c r="BS33" s="85">
        <f t="shared" si="59"/>
        <v>-6553.482</v>
      </c>
      <c r="BT33" s="85">
        <f t="shared" si="59"/>
        <v>-6067.7760000000007</v>
      </c>
      <c r="BU33" s="85">
        <f t="shared" si="61"/>
        <v>-5633.7840000000006</v>
      </c>
      <c r="BV33" s="86">
        <f t="shared" si="60"/>
        <v>2850.3540000000003</v>
      </c>
      <c r="BW33" s="86">
        <f t="shared" si="60"/>
        <v>3642.2880000000005</v>
      </c>
      <c r="BX33" s="86">
        <f t="shared" si="60"/>
        <v>11972.298000000001</v>
      </c>
      <c r="BY33" s="86">
        <f t="shared" si="60"/>
        <v>8610.8880000000008</v>
      </c>
      <c r="BZ33" s="86">
        <f t="shared" si="60"/>
        <v>1598.0640000000005</v>
      </c>
      <c r="CA33" s="86">
        <f t="shared" si="60"/>
        <v>959.24399999999946</v>
      </c>
      <c r="CB33" s="86">
        <f t="shared" si="60"/>
        <v>-752.38800000000026</v>
      </c>
      <c r="CC33" s="86">
        <f t="shared" si="60"/>
        <v>-1315.1579999999999</v>
      </c>
      <c r="CD33" s="86">
        <f t="shared" si="60"/>
        <v>-778.75200000000075</v>
      </c>
      <c r="CE33" s="86">
        <f t="shared" si="60"/>
        <v>-727.03800000000024</v>
      </c>
      <c r="CF33" s="86">
        <f t="shared" si="60"/>
        <v>2058.4199999999996</v>
      </c>
      <c r="CG33" s="86">
        <f t="shared" si="60"/>
        <v>1214.7720000000004</v>
      </c>
      <c r="CH33" s="86">
        <f t="shared" si="62"/>
        <v>2517.7620000000002</v>
      </c>
    </row>
    <row r="34" spans="1:86" ht="15.75" customHeight="1">
      <c r="A34" s="77" t="s">
        <v>17</v>
      </c>
      <c r="B34" s="77" t="s">
        <v>66</v>
      </c>
      <c r="C34" s="77">
        <v>26051</v>
      </c>
      <c r="D34" s="77" t="s">
        <v>15</v>
      </c>
      <c r="E34" s="77">
        <v>55</v>
      </c>
      <c r="F34" s="77">
        <f t="shared" si="0"/>
        <v>33.94</v>
      </c>
      <c r="G34" s="77">
        <f>E34-F34</f>
        <v>21.060000000000002</v>
      </c>
      <c r="H34" s="77" t="s">
        <v>2082</v>
      </c>
      <c r="I34" s="83">
        <v>15.46</v>
      </c>
      <c r="J34" s="83">
        <v>14.11</v>
      </c>
      <c r="K34" s="83">
        <v>12.43</v>
      </c>
      <c r="L34" s="83">
        <v>24.53</v>
      </c>
      <c r="M34" s="83">
        <v>11.42</v>
      </c>
      <c r="N34" s="83">
        <v>12.1</v>
      </c>
      <c r="O34" s="83">
        <v>11.09</v>
      </c>
      <c r="P34" s="83">
        <v>13.78</v>
      </c>
      <c r="Q34" s="83">
        <v>22.85</v>
      </c>
      <c r="R34" s="83">
        <v>24.19</v>
      </c>
      <c r="S34" s="83">
        <v>22.18</v>
      </c>
      <c r="T34" s="83">
        <v>18.48</v>
      </c>
      <c r="U34" s="83">
        <v>15.79</v>
      </c>
      <c r="V34" s="84">
        <v>24.86</v>
      </c>
      <c r="W34" s="84">
        <v>28.22</v>
      </c>
      <c r="X34" s="84">
        <v>23.86</v>
      </c>
      <c r="Y34" s="84">
        <v>25.87</v>
      </c>
      <c r="Z34" s="84">
        <v>27.22</v>
      </c>
      <c r="AA34" s="84">
        <v>25.2</v>
      </c>
      <c r="AB34" s="84">
        <v>27.55</v>
      </c>
      <c r="AC34" s="84">
        <v>20.83</v>
      </c>
      <c r="AD34" s="84">
        <v>29.23</v>
      </c>
      <c r="AE34" s="84">
        <v>32.590000000000003</v>
      </c>
      <c r="AF34" s="84">
        <v>33.94</v>
      </c>
      <c r="AG34" s="84">
        <v>33.26</v>
      </c>
      <c r="AH34" s="84">
        <v>31.92</v>
      </c>
      <c r="AI34" s="83">
        <f t="shared" si="1"/>
        <v>-39.54</v>
      </c>
      <c r="AJ34" s="83">
        <f t="shared" si="2"/>
        <v>-40.89</v>
      </c>
      <c r="AK34" s="83">
        <f t="shared" si="3"/>
        <v>-42.57</v>
      </c>
      <c r="AL34" s="83">
        <f t="shared" si="4"/>
        <v>-30.47</v>
      </c>
      <c r="AM34" s="83">
        <f t="shared" si="5"/>
        <v>-43.58</v>
      </c>
      <c r="AN34" s="83">
        <f t="shared" si="6"/>
        <v>-42.9</v>
      </c>
      <c r="AO34" s="83">
        <f t="shared" si="7"/>
        <v>-43.91</v>
      </c>
      <c r="AP34" s="83">
        <f t="shared" si="8"/>
        <v>-41.22</v>
      </c>
      <c r="AQ34" s="83">
        <f t="shared" si="9"/>
        <v>-32.15</v>
      </c>
      <c r="AR34" s="83">
        <f t="shared" si="10"/>
        <v>-30.81</v>
      </c>
      <c r="AS34" s="83">
        <f t="shared" si="11"/>
        <v>-32.82</v>
      </c>
      <c r="AT34" s="83">
        <f t="shared" si="12"/>
        <v>-36.519999999999996</v>
      </c>
      <c r="AU34" s="83">
        <f t="shared" si="13"/>
        <v>-39.21</v>
      </c>
      <c r="AV34" s="84">
        <f t="shared" si="14"/>
        <v>-30.14</v>
      </c>
      <c r="AW34" s="84">
        <f t="shared" si="15"/>
        <v>-26.78</v>
      </c>
      <c r="AX34" s="84">
        <f t="shared" si="16"/>
        <v>-31.14</v>
      </c>
      <c r="AY34" s="84">
        <f t="shared" si="17"/>
        <v>13.440000000000001</v>
      </c>
      <c r="AZ34" s="84">
        <f t="shared" si="18"/>
        <v>-27.78</v>
      </c>
      <c r="BA34" s="84">
        <f t="shared" si="19"/>
        <v>-29.8</v>
      </c>
      <c r="BB34" s="84">
        <f t="shared" si="20"/>
        <v>-27.45</v>
      </c>
      <c r="BC34" s="84">
        <f t="shared" si="21"/>
        <v>-34.17</v>
      </c>
      <c r="BD34" s="84">
        <f t="shared" si="22"/>
        <v>-25.77</v>
      </c>
      <c r="BE34" s="84">
        <f t="shared" si="23"/>
        <v>-22.409999999999997</v>
      </c>
      <c r="BF34" s="84">
        <f t="shared" si="24"/>
        <v>-21.060000000000002</v>
      </c>
      <c r="BG34" s="84">
        <f t="shared" si="25"/>
        <v>-21.740000000000002</v>
      </c>
      <c r="BH34" s="84">
        <f t="shared" si="26"/>
        <v>-23.08</v>
      </c>
      <c r="BI34" s="85">
        <f t="shared" si="59"/>
        <v>-4009.3560000000002</v>
      </c>
      <c r="BJ34" s="85">
        <f t="shared" si="59"/>
        <v>-4146.2460000000001</v>
      </c>
      <c r="BK34" s="85">
        <f t="shared" si="59"/>
        <v>-4316.598</v>
      </c>
      <c r="BL34" s="85">
        <f t="shared" si="59"/>
        <v>-3089.6579999999999</v>
      </c>
      <c r="BM34" s="85">
        <f t="shared" si="59"/>
        <v>-4419.0119999999997</v>
      </c>
      <c r="BN34" s="85">
        <f t="shared" si="59"/>
        <v>-4350.0600000000004</v>
      </c>
      <c r="BO34" s="85">
        <f t="shared" si="59"/>
        <v>-4452.4740000000002</v>
      </c>
      <c r="BP34" s="85">
        <f t="shared" si="59"/>
        <v>-4179.7080000000005</v>
      </c>
      <c r="BQ34" s="85">
        <f t="shared" si="59"/>
        <v>-3260.01</v>
      </c>
      <c r="BR34" s="85">
        <f t="shared" si="59"/>
        <v>-3124.134</v>
      </c>
      <c r="BS34" s="85">
        <f t="shared" si="59"/>
        <v>-3327.9480000000003</v>
      </c>
      <c r="BT34" s="85">
        <f t="shared" si="59"/>
        <v>-3703.1279999999997</v>
      </c>
      <c r="BU34" s="85">
        <f t="shared" si="61"/>
        <v>-3975.8940000000002</v>
      </c>
      <c r="BV34" s="86">
        <f t="shared" si="60"/>
        <v>-3056.1960000000004</v>
      </c>
      <c r="BW34" s="86">
        <f t="shared" si="60"/>
        <v>-2715.4920000000002</v>
      </c>
      <c r="BX34" s="86">
        <f t="shared" si="60"/>
        <v>-3157.5960000000005</v>
      </c>
      <c r="BY34" s="86">
        <f t="shared" si="60"/>
        <v>1362.8160000000003</v>
      </c>
      <c r="BZ34" s="86">
        <f t="shared" si="60"/>
        <v>-2816.8920000000003</v>
      </c>
      <c r="CA34" s="86">
        <f t="shared" si="60"/>
        <v>-3021.7200000000003</v>
      </c>
      <c r="CB34" s="86">
        <f t="shared" si="60"/>
        <v>-2783.4300000000003</v>
      </c>
      <c r="CC34" s="86">
        <f t="shared" si="60"/>
        <v>-3464.8380000000002</v>
      </c>
      <c r="CD34" s="86">
        <f t="shared" si="60"/>
        <v>-2613.078</v>
      </c>
      <c r="CE34" s="86">
        <f t="shared" si="60"/>
        <v>-2272.3739999999998</v>
      </c>
      <c r="CF34" s="86">
        <f t="shared" si="60"/>
        <v>-2135.4840000000004</v>
      </c>
      <c r="CG34" s="86">
        <f t="shared" si="60"/>
        <v>-2204.4360000000001</v>
      </c>
      <c r="CH34" s="86">
        <f t="shared" si="62"/>
        <v>-2340.3119999999999</v>
      </c>
    </row>
    <row r="35" spans="1:86" ht="15.75" customHeight="1">
      <c r="A35" s="77" t="s">
        <v>17</v>
      </c>
      <c r="B35" s="77" t="s">
        <v>664</v>
      </c>
      <c r="C35" s="77">
        <v>2883304</v>
      </c>
      <c r="D35" s="77" t="s">
        <v>15</v>
      </c>
      <c r="E35" s="77">
        <v>95</v>
      </c>
      <c r="F35" s="77">
        <f t="shared" si="0"/>
        <v>103.15</v>
      </c>
      <c r="G35" s="77" t="s">
        <v>2082</v>
      </c>
      <c r="H35" s="77">
        <f>F35-E35</f>
        <v>8.1500000000000057</v>
      </c>
      <c r="I35" s="83">
        <v>19.149999999999999</v>
      </c>
      <c r="J35" s="83">
        <v>20.83</v>
      </c>
      <c r="K35" s="83">
        <v>44.18</v>
      </c>
      <c r="L35" s="83">
        <v>18.14</v>
      </c>
      <c r="M35" s="83">
        <v>12.26</v>
      </c>
      <c r="N35" s="83">
        <v>10.42</v>
      </c>
      <c r="O35" s="83">
        <v>13.78</v>
      </c>
      <c r="P35" s="83">
        <v>17.64</v>
      </c>
      <c r="Q35" s="83">
        <v>10.92</v>
      </c>
      <c r="R35" s="83">
        <v>15.12</v>
      </c>
      <c r="S35" s="83">
        <v>20.5</v>
      </c>
      <c r="T35" s="83">
        <v>19.32</v>
      </c>
      <c r="U35" s="83">
        <v>22.34</v>
      </c>
      <c r="V35" s="84">
        <v>97.94</v>
      </c>
      <c r="W35" s="84">
        <v>103.15</v>
      </c>
      <c r="X35" s="84">
        <v>92.74</v>
      </c>
      <c r="Y35" s="84">
        <v>83.66</v>
      </c>
      <c r="Z35" s="84">
        <v>65.52</v>
      </c>
      <c r="AA35" s="84">
        <v>63.67</v>
      </c>
      <c r="AB35" s="84">
        <v>55.27</v>
      </c>
      <c r="AC35" s="84">
        <v>61.32</v>
      </c>
      <c r="AD35" s="84">
        <v>61.66</v>
      </c>
      <c r="AE35" s="84">
        <v>85.68</v>
      </c>
      <c r="AF35" s="84">
        <v>76.27</v>
      </c>
      <c r="AG35" s="84">
        <v>90.38</v>
      </c>
      <c r="AH35" s="84">
        <v>88.87</v>
      </c>
      <c r="AI35" s="83">
        <f t="shared" si="1"/>
        <v>-75.849999999999994</v>
      </c>
      <c r="AJ35" s="83">
        <f t="shared" si="2"/>
        <v>-74.17</v>
      </c>
      <c r="AK35" s="83">
        <f t="shared" si="3"/>
        <v>-50.82</v>
      </c>
      <c r="AL35" s="83">
        <f t="shared" si="4"/>
        <v>-76.86</v>
      </c>
      <c r="AM35" s="83">
        <f t="shared" si="5"/>
        <v>-82.74</v>
      </c>
      <c r="AN35" s="83">
        <f t="shared" si="6"/>
        <v>-84.58</v>
      </c>
      <c r="AO35" s="83">
        <f t="shared" si="7"/>
        <v>-81.22</v>
      </c>
      <c r="AP35" s="83">
        <f t="shared" si="8"/>
        <v>-77.36</v>
      </c>
      <c r="AQ35" s="83">
        <f t="shared" si="9"/>
        <v>-84.08</v>
      </c>
      <c r="AR35" s="83">
        <f t="shared" si="10"/>
        <v>-79.88</v>
      </c>
      <c r="AS35" s="83">
        <f t="shared" si="11"/>
        <v>-74.5</v>
      </c>
      <c r="AT35" s="83">
        <f t="shared" si="12"/>
        <v>-75.680000000000007</v>
      </c>
      <c r="AU35" s="83">
        <f t="shared" si="13"/>
        <v>-72.66</v>
      </c>
      <c r="AV35" s="84">
        <f t="shared" si="14"/>
        <v>2.9399999999999977</v>
      </c>
      <c r="AW35" s="84">
        <f t="shared" si="15"/>
        <v>8.1500000000000057</v>
      </c>
      <c r="AX35" s="84">
        <f t="shared" si="16"/>
        <v>-2.2600000000000051</v>
      </c>
      <c r="AY35" s="84">
        <f t="shared" si="17"/>
        <v>39.479999999999997</v>
      </c>
      <c r="AZ35" s="84">
        <f t="shared" si="18"/>
        <v>-29.480000000000004</v>
      </c>
      <c r="BA35" s="84">
        <f t="shared" si="19"/>
        <v>-31.33</v>
      </c>
      <c r="BB35" s="84">
        <f t="shared" si="20"/>
        <v>-39.729999999999997</v>
      </c>
      <c r="BC35" s="84">
        <f t="shared" si="21"/>
        <v>-33.68</v>
      </c>
      <c r="BD35" s="84">
        <f t="shared" si="22"/>
        <v>-33.340000000000003</v>
      </c>
      <c r="BE35" s="84">
        <f t="shared" si="23"/>
        <v>-9.3199999999999932</v>
      </c>
      <c r="BF35" s="84">
        <f t="shared" si="24"/>
        <v>-18.730000000000004</v>
      </c>
      <c r="BG35" s="84">
        <f t="shared" si="25"/>
        <v>-4.6200000000000045</v>
      </c>
      <c r="BH35" s="84">
        <f t="shared" si="26"/>
        <v>-6.1299999999999955</v>
      </c>
      <c r="BI35" s="85">
        <f t="shared" si="59"/>
        <v>-7691.19</v>
      </c>
      <c r="BJ35" s="85">
        <f t="shared" si="59"/>
        <v>-7520.8380000000006</v>
      </c>
      <c r="BK35" s="85">
        <f t="shared" si="59"/>
        <v>-5153.1480000000001</v>
      </c>
      <c r="BL35" s="85">
        <f t="shared" si="59"/>
        <v>-7793.6040000000003</v>
      </c>
      <c r="BM35" s="85">
        <f t="shared" si="59"/>
        <v>-8389.8359999999993</v>
      </c>
      <c r="BN35" s="85">
        <f t="shared" si="59"/>
        <v>-8576.4120000000003</v>
      </c>
      <c r="BO35" s="85">
        <f t="shared" si="59"/>
        <v>-8235.7080000000005</v>
      </c>
      <c r="BP35" s="85">
        <f t="shared" si="59"/>
        <v>-7844.3040000000001</v>
      </c>
      <c r="BQ35" s="85">
        <f t="shared" si="59"/>
        <v>-8525.7119999999995</v>
      </c>
      <c r="BR35" s="85">
        <f t="shared" si="59"/>
        <v>-8099.8320000000003</v>
      </c>
      <c r="BS35" s="85">
        <f t="shared" si="59"/>
        <v>-7554.3</v>
      </c>
      <c r="BT35" s="85">
        <f t="shared" si="59"/>
        <v>-7673.9520000000011</v>
      </c>
      <c r="BU35" s="85">
        <f t="shared" si="61"/>
        <v>-7367.7240000000002</v>
      </c>
      <c r="BV35" s="86">
        <f t="shared" si="60"/>
        <v>298.11599999999976</v>
      </c>
      <c r="BW35" s="86">
        <f t="shared" si="60"/>
        <v>826.41000000000065</v>
      </c>
      <c r="BX35" s="86">
        <f t="shared" si="60"/>
        <v>-229.16400000000053</v>
      </c>
      <c r="BY35" s="86">
        <f t="shared" si="60"/>
        <v>4003.2719999999999</v>
      </c>
      <c r="BZ35" s="86">
        <f t="shared" si="60"/>
        <v>-2989.2720000000004</v>
      </c>
      <c r="CA35" s="86">
        <f t="shared" si="60"/>
        <v>-3176.8620000000001</v>
      </c>
      <c r="CB35" s="86">
        <f t="shared" si="60"/>
        <v>-4028.6219999999998</v>
      </c>
      <c r="CC35" s="86">
        <f t="shared" si="60"/>
        <v>-3415.152</v>
      </c>
      <c r="CD35" s="86">
        <f t="shared" si="60"/>
        <v>-3380.6760000000004</v>
      </c>
      <c r="CE35" s="86">
        <f t="shared" si="60"/>
        <v>-945.04799999999932</v>
      </c>
      <c r="CF35" s="86">
        <f t="shared" si="60"/>
        <v>-1899.2220000000004</v>
      </c>
      <c r="CG35" s="86">
        <f t="shared" si="60"/>
        <v>-468.46800000000047</v>
      </c>
      <c r="CH35" s="86">
        <f t="shared" si="62"/>
        <v>-621.58199999999954</v>
      </c>
    </row>
    <row r="36" spans="1:86" ht="15.75" customHeight="1">
      <c r="A36" s="10"/>
      <c r="B36" s="10"/>
      <c r="C36" s="10"/>
      <c r="D36" s="10"/>
      <c r="E36" s="10">
        <f>SUM(E5:E35)</f>
        <v>2644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</row>
    <row r="37" spans="1:86" ht="15.75" customHeight="1">
      <c r="A37" s="10"/>
      <c r="B37" s="10"/>
      <c r="C37" s="10"/>
      <c r="D37" s="10"/>
      <c r="E37" s="93">
        <f>E36*50.46</f>
        <v>133416.24</v>
      </c>
      <c r="F37" s="93"/>
      <c r="G37" s="93"/>
      <c r="H37" s="93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</row>
    <row r="38" spans="1:86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</row>
    <row r="39" spans="1:86" ht="15.75" customHeight="1">
      <c r="A39" s="10" t="s">
        <v>2085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</row>
    <row r="40" spans="1:86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</row>
    <row r="41" spans="1:86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</row>
    <row r="42" spans="1:86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</row>
    <row r="43" spans="1:86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</row>
    <row r="44" spans="1:86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</row>
    <row r="45" spans="1:86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</row>
    <row r="46" spans="1:8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</row>
    <row r="47" spans="1:86" ht="15.75" customHeight="1">
      <c r="A47" s="10"/>
      <c r="B47" s="10"/>
      <c r="C47" s="10"/>
      <c r="D47" s="10"/>
      <c r="E47" s="10">
        <v>1163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</row>
    <row r="48" spans="1:86" ht="15.75" customHeight="1">
      <c r="A48" s="10"/>
      <c r="B48" s="10"/>
      <c r="C48" s="10"/>
      <c r="D48" s="10"/>
      <c r="E48" s="93">
        <v>50.692459999999997</v>
      </c>
      <c r="F48" s="93"/>
      <c r="G48" s="93"/>
      <c r="H48" s="9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</row>
    <row r="49" spans="1:86" ht="15.75" customHeight="1">
      <c r="A49" s="10"/>
      <c r="B49" s="10"/>
      <c r="C49" s="10"/>
      <c r="D49" s="10"/>
      <c r="E49" s="93">
        <f>E47*E48</f>
        <v>58955.330979999999</v>
      </c>
      <c r="F49" s="93"/>
      <c r="G49" s="93"/>
      <c r="H49" s="93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</row>
    <row r="50" spans="1:86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</row>
    <row r="51" spans="1:86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</row>
    <row r="52" spans="1:86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</row>
    <row r="53" spans="1:86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</row>
    <row r="54" spans="1:86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</row>
    <row r="55" spans="1:86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</row>
    <row r="56" spans="1:8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</row>
    <row r="57" spans="1:86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</row>
    <row r="58" spans="1:86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</row>
    <row r="59" spans="1:86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</row>
    <row r="60" spans="1:8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</row>
    <row r="61" spans="1:86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</row>
    <row r="62" spans="1:86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</row>
    <row r="63" spans="1:86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</row>
    <row r="64" spans="1:86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</row>
    <row r="65" spans="1:86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</row>
    <row r="66" spans="1:8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</row>
    <row r="67" spans="1:86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</row>
    <row r="68" spans="1:86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</row>
    <row r="69" spans="1:86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</row>
    <row r="70" spans="1:86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</row>
    <row r="71" spans="1:86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</row>
    <row r="72" spans="1:86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</row>
    <row r="73" spans="1:86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</row>
    <row r="74" spans="1:86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</row>
    <row r="75" spans="1:86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</row>
    <row r="76" spans="1:8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</row>
    <row r="77" spans="1:86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</row>
    <row r="78" spans="1:86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</row>
    <row r="79" spans="1:86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</row>
    <row r="80" spans="1:86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</row>
    <row r="81" spans="1:86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</row>
    <row r="82" spans="1:86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</row>
    <row r="83" spans="1:86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</row>
    <row r="84" spans="1:86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</row>
    <row r="85" spans="1:86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</row>
    <row r="86" spans="1: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93"/>
      <c r="BW86" s="93"/>
      <c r="BX86" s="93"/>
      <c r="BY86" s="93"/>
      <c r="BZ86" s="93"/>
      <c r="CA86" s="93"/>
      <c r="CB86" s="93"/>
      <c r="CC86" s="93"/>
      <c r="CD86" s="93"/>
      <c r="CE86" s="93"/>
      <c r="CF86" s="93"/>
      <c r="CG86" s="93"/>
      <c r="CH86" s="93"/>
    </row>
    <row r="87" spans="1:86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93"/>
      <c r="CG87" s="93"/>
      <c r="CH87" s="93"/>
    </row>
    <row r="88" spans="1:86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93"/>
      <c r="BW88" s="93"/>
      <c r="BX88" s="93"/>
      <c r="BY88" s="93"/>
      <c r="BZ88" s="93"/>
      <c r="CA88" s="93"/>
      <c r="CB88" s="93"/>
      <c r="CC88" s="93"/>
      <c r="CD88" s="93"/>
      <c r="CE88" s="93"/>
      <c r="CF88" s="93"/>
      <c r="CG88" s="93"/>
      <c r="CH88" s="93"/>
    </row>
    <row r="89" spans="1:86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  <c r="CG89" s="93"/>
      <c r="CH89" s="93"/>
    </row>
    <row r="90" spans="1:86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93"/>
      <c r="BW90" s="93"/>
      <c r="BX90" s="93"/>
      <c r="BY90" s="93"/>
      <c r="BZ90" s="93"/>
      <c r="CA90" s="93"/>
      <c r="CB90" s="93"/>
      <c r="CC90" s="93"/>
      <c r="CD90" s="93"/>
      <c r="CE90" s="93"/>
      <c r="CF90" s="93"/>
      <c r="CG90" s="93"/>
      <c r="CH90" s="93"/>
    </row>
    <row r="91" spans="1:8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93"/>
      <c r="BW91" s="93"/>
      <c r="BX91" s="93"/>
      <c r="BY91" s="93"/>
      <c r="BZ91" s="93"/>
      <c r="CA91" s="93"/>
      <c r="CB91" s="93"/>
      <c r="CC91" s="93"/>
      <c r="CD91" s="93"/>
      <c r="CE91" s="93"/>
      <c r="CF91" s="93"/>
      <c r="CG91" s="93"/>
      <c r="CH91" s="93"/>
    </row>
    <row r="92" spans="1:8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93"/>
      <c r="BW92" s="93"/>
      <c r="BX92" s="93"/>
      <c r="BY92" s="93"/>
      <c r="BZ92" s="93"/>
      <c r="CA92" s="93"/>
      <c r="CB92" s="93"/>
      <c r="CC92" s="93"/>
      <c r="CD92" s="93"/>
      <c r="CE92" s="93"/>
      <c r="CF92" s="93"/>
      <c r="CG92" s="93"/>
      <c r="CH92" s="93"/>
    </row>
    <row r="93" spans="1:8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93"/>
      <c r="BW93" s="93"/>
      <c r="BX93" s="93"/>
      <c r="BY93" s="93"/>
      <c r="BZ93" s="93"/>
      <c r="CA93" s="93"/>
      <c r="CB93" s="93"/>
      <c r="CC93" s="93"/>
      <c r="CD93" s="93"/>
      <c r="CE93" s="93"/>
      <c r="CF93" s="93"/>
      <c r="CG93" s="93"/>
      <c r="CH93" s="93"/>
    </row>
    <row r="94" spans="1:86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93"/>
      <c r="BW94" s="93"/>
      <c r="BX94" s="93"/>
      <c r="BY94" s="93"/>
      <c r="BZ94" s="93"/>
      <c r="CA94" s="93"/>
      <c r="CB94" s="93"/>
      <c r="CC94" s="93"/>
      <c r="CD94" s="93"/>
      <c r="CE94" s="93"/>
      <c r="CF94" s="93"/>
      <c r="CG94" s="93"/>
      <c r="CH94" s="93"/>
    </row>
    <row r="95" spans="1:86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93"/>
      <c r="BW95" s="93"/>
      <c r="BX95" s="93"/>
      <c r="BY95" s="93"/>
      <c r="BZ95" s="93"/>
      <c r="CA95" s="93"/>
      <c r="CB95" s="93"/>
      <c r="CC95" s="93"/>
      <c r="CD95" s="93"/>
      <c r="CE95" s="93"/>
      <c r="CF95" s="93"/>
      <c r="CG95" s="93"/>
      <c r="CH95" s="93"/>
    </row>
    <row r="96" spans="1:8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93"/>
      <c r="BW96" s="93"/>
      <c r="BX96" s="93"/>
      <c r="BY96" s="93"/>
      <c r="BZ96" s="93"/>
      <c r="CA96" s="93"/>
      <c r="CB96" s="93"/>
      <c r="CC96" s="93"/>
      <c r="CD96" s="93"/>
      <c r="CE96" s="93"/>
      <c r="CF96" s="93"/>
      <c r="CG96" s="93"/>
      <c r="CH96" s="93"/>
    </row>
    <row r="97" spans="1:86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93"/>
      <c r="BW97" s="93"/>
      <c r="BX97" s="93"/>
      <c r="BY97" s="93"/>
      <c r="BZ97" s="93"/>
      <c r="CA97" s="93"/>
      <c r="CB97" s="93"/>
      <c r="CC97" s="93"/>
      <c r="CD97" s="93"/>
      <c r="CE97" s="93"/>
      <c r="CF97" s="93"/>
      <c r="CG97" s="93"/>
      <c r="CH97" s="93"/>
    </row>
    <row r="98" spans="1:86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93"/>
      <c r="BW98" s="93"/>
      <c r="BX98" s="93"/>
      <c r="BY98" s="93"/>
      <c r="BZ98" s="93"/>
      <c r="CA98" s="93"/>
      <c r="CB98" s="93"/>
      <c r="CC98" s="93"/>
      <c r="CD98" s="93"/>
      <c r="CE98" s="93"/>
      <c r="CF98" s="93"/>
      <c r="CG98" s="93"/>
      <c r="CH98" s="93"/>
    </row>
    <row r="99" spans="1:86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93"/>
      <c r="BW99" s="93"/>
      <c r="BX99" s="93"/>
      <c r="BY99" s="93"/>
      <c r="BZ99" s="93"/>
      <c r="CA99" s="93"/>
      <c r="CB99" s="93"/>
      <c r="CC99" s="93"/>
      <c r="CD99" s="93"/>
      <c r="CE99" s="93"/>
      <c r="CF99" s="93"/>
      <c r="CG99" s="93"/>
      <c r="CH99" s="93"/>
    </row>
    <row r="100" spans="1:86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93"/>
      <c r="BW100" s="93"/>
      <c r="BX100" s="93"/>
      <c r="BY100" s="93"/>
      <c r="BZ100" s="93"/>
      <c r="CA100" s="93"/>
      <c r="CB100" s="93"/>
      <c r="CC100" s="93"/>
      <c r="CD100" s="93"/>
      <c r="CE100" s="93"/>
      <c r="CF100" s="93"/>
      <c r="CG100" s="93"/>
      <c r="CH100" s="93"/>
    </row>
    <row r="101" spans="1:86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93"/>
      <c r="BW101" s="93"/>
      <c r="BX101" s="93"/>
      <c r="BY101" s="93"/>
      <c r="BZ101" s="93"/>
      <c r="CA101" s="93"/>
      <c r="CB101" s="93"/>
      <c r="CC101" s="93"/>
      <c r="CD101" s="93"/>
      <c r="CE101" s="93"/>
      <c r="CF101" s="93"/>
      <c r="CG101" s="93"/>
      <c r="CH101" s="93"/>
    </row>
    <row r="102" spans="1:86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93"/>
      <c r="BW102" s="93"/>
      <c r="BX102" s="93"/>
      <c r="BY102" s="93"/>
      <c r="BZ102" s="93"/>
      <c r="CA102" s="93"/>
      <c r="CB102" s="93"/>
      <c r="CC102" s="93"/>
      <c r="CD102" s="93"/>
      <c r="CE102" s="93"/>
      <c r="CF102" s="93"/>
      <c r="CG102" s="93"/>
      <c r="CH102" s="93"/>
    </row>
    <row r="103" spans="1:86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93"/>
      <c r="BW103" s="93"/>
      <c r="BX103" s="93"/>
      <c r="BY103" s="93"/>
      <c r="BZ103" s="93"/>
      <c r="CA103" s="93"/>
      <c r="CB103" s="93"/>
      <c r="CC103" s="93"/>
      <c r="CD103" s="93"/>
      <c r="CE103" s="93"/>
      <c r="CF103" s="93"/>
      <c r="CG103" s="93"/>
      <c r="CH103" s="93"/>
    </row>
    <row r="104" spans="1:86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93"/>
      <c r="BW104" s="93"/>
      <c r="BX104" s="93"/>
      <c r="BY104" s="93"/>
      <c r="BZ104" s="93"/>
      <c r="CA104" s="93"/>
      <c r="CB104" s="93"/>
      <c r="CC104" s="93"/>
      <c r="CD104" s="93"/>
      <c r="CE104" s="93"/>
      <c r="CF104" s="93"/>
      <c r="CG104" s="93"/>
      <c r="CH104" s="93"/>
    </row>
    <row r="105" spans="1:86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93"/>
      <c r="BW105" s="93"/>
      <c r="BX105" s="93"/>
      <c r="BY105" s="93"/>
      <c r="BZ105" s="93"/>
      <c r="CA105" s="93"/>
      <c r="CB105" s="93"/>
      <c r="CC105" s="93"/>
      <c r="CD105" s="93"/>
      <c r="CE105" s="93"/>
      <c r="CF105" s="93"/>
      <c r="CG105" s="93"/>
      <c r="CH105" s="93"/>
    </row>
    <row r="106" spans="1:8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93"/>
      <c r="BW106" s="93"/>
      <c r="BX106" s="93"/>
      <c r="BY106" s="93"/>
      <c r="BZ106" s="93"/>
      <c r="CA106" s="93"/>
      <c r="CB106" s="93"/>
      <c r="CC106" s="93"/>
      <c r="CD106" s="93"/>
      <c r="CE106" s="93"/>
      <c r="CF106" s="93"/>
      <c r="CG106" s="93"/>
      <c r="CH106" s="93"/>
    </row>
    <row r="107" spans="1:86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  <c r="CG107" s="93"/>
      <c r="CH107" s="93"/>
    </row>
    <row r="108" spans="1:86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93"/>
      <c r="BW108" s="93"/>
      <c r="BX108" s="93"/>
      <c r="BY108" s="93"/>
      <c r="BZ108" s="93"/>
      <c r="CA108" s="93"/>
      <c r="CB108" s="93"/>
      <c r="CC108" s="93"/>
      <c r="CD108" s="93"/>
      <c r="CE108" s="93"/>
      <c r="CF108" s="93"/>
      <c r="CG108" s="93"/>
      <c r="CH108" s="93"/>
    </row>
    <row r="109" spans="1:86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  <c r="CG109" s="93"/>
      <c r="CH109" s="93"/>
    </row>
    <row r="110" spans="1:86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  <c r="CG110" s="93"/>
      <c r="CH110" s="93"/>
    </row>
    <row r="111" spans="1:86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  <c r="CG111" s="93"/>
      <c r="CH111" s="93"/>
    </row>
    <row r="112" spans="1:86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</row>
    <row r="113" spans="1:86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</row>
    <row r="114" spans="1:86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</row>
    <row r="115" spans="1:86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</row>
    <row r="116" spans="1:8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</row>
    <row r="117" spans="1:86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</row>
    <row r="118" spans="1:86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</row>
    <row r="119" spans="1:86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</row>
    <row r="120" spans="1:86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</row>
    <row r="121" spans="1:86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93"/>
      <c r="BW121" s="93"/>
      <c r="BX121" s="93"/>
      <c r="BY121" s="93"/>
      <c r="BZ121" s="93"/>
      <c r="CA121" s="93"/>
      <c r="CB121" s="93"/>
      <c r="CC121" s="93"/>
      <c r="CD121" s="93"/>
      <c r="CE121" s="93"/>
      <c r="CF121" s="93"/>
      <c r="CG121" s="93"/>
      <c r="CH121" s="93"/>
    </row>
    <row r="122" spans="1:86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93"/>
      <c r="BW122" s="93"/>
      <c r="BX122" s="93"/>
      <c r="BY122" s="93"/>
      <c r="BZ122" s="93"/>
      <c r="CA122" s="93"/>
      <c r="CB122" s="93"/>
      <c r="CC122" s="93"/>
      <c r="CD122" s="93"/>
      <c r="CE122" s="93"/>
      <c r="CF122" s="93"/>
      <c r="CG122" s="93"/>
      <c r="CH122" s="93"/>
    </row>
    <row r="123" spans="1:8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93"/>
      <c r="BW123" s="93"/>
      <c r="BX123" s="93"/>
      <c r="BY123" s="93"/>
      <c r="BZ123" s="93"/>
      <c r="CA123" s="93"/>
      <c r="CB123" s="93"/>
      <c r="CC123" s="93"/>
      <c r="CD123" s="93"/>
      <c r="CE123" s="93"/>
      <c r="CF123" s="93"/>
      <c r="CG123" s="93"/>
      <c r="CH123" s="93"/>
    </row>
    <row r="124" spans="1:8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93"/>
      <c r="BW124" s="93"/>
      <c r="BX124" s="93"/>
      <c r="BY124" s="93"/>
      <c r="BZ124" s="93"/>
      <c r="CA124" s="93"/>
      <c r="CB124" s="93"/>
      <c r="CC124" s="93"/>
      <c r="CD124" s="93"/>
      <c r="CE124" s="93"/>
      <c r="CF124" s="93"/>
      <c r="CG124" s="93"/>
      <c r="CH124" s="93"/>
    </row>
    <row r="125" spans="1:8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</row>
    <row r="126" spans="1:8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</row>
    <row r="127" spans="1:8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</row>
    <row r="128" spans="1:8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</row>
    <row r="129" spans="1:8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</row>
    <row r="130" spans="1:8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</row>
    <row r="131" spans="1:8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93"/>
      <c r="BW131" s="93"/>
      <c r="BX131" s="93"/>
      <c r="BY131" s="93"/>
      <c r="BZ131" s="93"/>
      <c r="CA131" s="93"/>
      <c r="CB131" s="93"/>
      <c r="CC131" s="93"/>
      <c r="CD131" s="93"/>
      <c r="CE131" s="93"/>
      <c r="CF131" s="93"/>
      <c r="CG131" s="93"/>
      <c r="CH131" s="93"/>
    </row>
    <row r="132" spans="1:8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93"/>
      <c r="BW132" s="93"/>
      <c r="BX132" s="93"/>
      <c r="BY132" s="93"/>
      <c r="BZ132" s="93"/>
      <c r="CA132" s="93"/>
      <c r="CB132" s="93"/>
      <c r="CC132" s="93"/>
      <c r="CD132" s="93"/>
      <c r="CE132" s="93"/>
      <c r="CF132" s="93"/>
      <c r="CG132" s="93"/>
      <c r="CH132" s="93"/>
    </row>
    <row r="133" spans="1:8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93"/>
      <c r="BW133" s="93"/>
      <c r="BX133" s="93"/>
      <c r="BY133" s="93"/>
      <c r="BZ133" s="93"/>
      <c r="CA133" s="93"/>
      <c r="CB133" s="93"/>
      <c r="CC133" s="93"/>
      <c r="CD133" s="93"/>
      <c r="CE133" s="93"/>
      <c r="CF133" s="93"/>
      <c r="CG133" s="93"/>
      <c r="CH133" s="93"/>
    </row>
    <row r="134" spans="1:8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93"/>
      <c r="BW134" s="93"/>
      <c r="BX134" s="93"/>
      <c r="BY134" s="93"/>
      <c r="BZ134" s="93"/>
      <c r="CA134" s="93"/>
      <c r="CB134" s="93"/>
      <c r="CC134" s="93"/>
      <c r="CD134" s="93"/>
      <c r="CE134" s="93"/>
      <c r="CF134" s="93"/>
      <c r="CG134" s="93"/>
      <c r="CH134" s="93"/>
    </row>
    <row r="135" spans="1:8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93"/>
      <c r="BW135" s="93"/>
      <c r="BX135" s="93"/>
      <c r="BY135" s="93"/>
      <c r="BZ135" s="93"/>
      <c r="CA135" s="93"/>
      <c r="CB135" s="93"/>
      <c r="CC135" s="93"/>
      <c r="CD135" s="93"/>
      <c r="CE135" s="93"/>
      <c r="CF135" s="93"/>
      <c r="CG135" s="93"/>
      <c r="CH135" s="93"/>
    </row>
    <row r="136" spans="1:8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93"/>
      <c r="BW136" s="93"/>
      <c r="BX136" s="93"/>
      <c r="BY136" s="93"/>
      <c r="BZ136" s="93"/>
      <c r="CA136" s="93"/>
      <c r="CB136" s="93"/>
      <c r="CC136" s="93"/>
      <c r="CD136" s="93"/>
      <c r="CE136" s="93"/>
      <c r="CF136" s="93"/>
      <c r="CG136" s="93"/>
      <c r="CH136" s="93"/>
    </row>
    <row r="137" spans="1:8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93"/>
      <c r="BW137" s="93"/>
      <c r="BX137" s="93"/>
      <c r="BY137" s="93"/>
      <c r="BZ137" s="93"/>
      <c r="CA137" s="93"/>
      <c r="CB137" s="93"/>
      <c r="CC137" s="93"/>
      <c r="CD137" s="93"/>
      <c r="CE137" s="93"/>
      <c r="CF137" s="93"/>
      <c r="CG137" s="93"/>
      <c r="CH137" s="93"/>
    </row>
    <row r="138" spans="1:8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93"/>
      <c r="BW138" s="93"/>
      <c r="BX138" s="93"/>
      <c r="BY138" s="93"/>
      <c r="BZ138" s="93"/>
      <c r="CA138" s="93"/>
      <c r="CB138" s="93"/>
      <c r="CC138" s="93"/>
      <c r="CD138" s="93"/>
      <c r="CE138" s="93"/>
      <c r="CF138" s="93"/>
      <c r="CG138" s="93"/>
      <c r="CH138" s="93"/>
    </row>
    <row r="139" spans="1:8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  <c r="CG139" s="93"/>
      <c r="CH139" s="93"/>
    </row>
    <row r="140" spans="1:8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93"/>
      <c r="BW140" s="93"/>
      <c r="BX140" s="93"/>
      <c r="BY140" s="93"/>
      <c r="BZ140" s="93"/>
      <c r="CA140" s="93"/>
      <c r="CB140" s="93"/>
      <c r="CC140" s="93"/>
      <c r="CD140" s="93"/>
      <c r="CE140" s="93"/>
      <c r="CF140" s="93"/>
      <c r="CG140" s="93"/>
      <c r="CH140" s="93"/>
    </row>
    <row r="141" spans="1:8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93"/>
      <c r="BW141" s="93"/>
      <c r="BX141" s="93"/>
      <c r="BY141" s="93"/>
      <c r="BZ141" s="93"/>
      <c r="CA141" s="93"/>
      <c r="CB141" s="93"/>
      <c r="CC141" s="93"/>
      <c r="CD141" s="93"/>
      <c r="CE141" s="93"/>
      <c r="CF141" s="93"/>
      <c r="CG141" s="93"/>
      <c r="CH141" s="93"/>
    </row>
    <row r="142" spans="1:8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93"/>
      <c r="BW142" s="93"/>
      <c r="BX142" s="93"/>
      <c r="BY142" s="93"/>
      <c r="BZ142" s="93"/>
      <c r="CA142" s="93"/>
      <c r="CB142" s="93"/>
      <c r="CC142" s="93"/>
      <c r="CD142" s="93"/>
      <c r="CE142" s="93"/>
      <c r="CF142" s="93"/>
      <c r="CG142" s="93"/>
      <c r="CH142" s="93"/>
    </row>
    <row r="143" spans="1:8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93"/>
      <c r="BW143" s="93"/>
      <c r="BX143" s="93"/>
      <c r="BY143" s="93"/>
      <c r="BZ143" s="93"/>
      <c r="CA143" s="93"/>
      <c r="CB143" s="93"/>
      <c r="CC143" s="93"/>
      <c r="CD143" s="93"/>
      <c r="CE143" s="93"/>
      <c r="CF143" s="93"/>
      <c r="CG143" s="93"/>
      <c r="CH143" s="93"/>
    </row>
    <row r="144" spans="1:8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</row>
    <row r="145" spans="1:8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</row>
    <row r="146" spans="1:8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</row>
    <row r="147" spans="1:8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</row>
    <row r="148" spans="1:8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</row>
    <row r="149" spans="1:8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</row>
    <row r="150" spans="1:8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</row>
    <row r="151" spans="1:8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</row>
    <row r="152" spans="1:8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</row>
    <row r="153" spans="1:8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</row>
    <row r="154" spans="1:8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</row>
    <row r="155" spans="1:8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</row>
    <row r="156" spans="1:8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</row>
    <row r="157" spans="1:8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</row>
    <row r="158" spans="1:8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</row>
    <row r="159" spans="1:8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</row>
    <row r="160" spans="1:8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</row>
    <row r="161" spans="1:8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</row>
    <row r="162" spans="1:8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</row>
    <row r="163" spans="1:8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</row>
    <row r="164" spans="1:8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</row>
    <row r="165" spans="1:8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</row>
    <row r="166" spans="1:8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</row>
    <row r="167" spans="1:8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</row>
    <row r="168" spans="1:8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</row>
    <row r="169" spans="1:8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</row>
    <row r="170" spans="1:8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</row>
    <row r="171" spans="1:8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</row>
    <row r="172" spans="1:8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</row>
    <row r="173" spans="1:8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</row>
    <row r="174" spans="1:8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</row>
    <row r="175" spans="1:8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</row>
    <row r="176" spans="1:8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</row>
    <row r="177" spans="1:8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</row>
    <row r="178" spans="1:8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</row>
    <row r="179" spans="1:8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</row>
    <row r="180" spans="1:8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</row>
    <row r="181" spans="1:8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</row>
    <row r="182" spans="1:8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</row>
    <row r="183" spans="1:8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</row>
    <row r="184" spans="1:8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</row>
    <row r="185" spans="1:8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</row>
    <row r="186" spans="1: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</row>
    <row r="187" spans="1:8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</row>
    <row r="188" spans="1:8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</row>
    <row r="189" spans="1:8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</row>
    <row r="190" spans="1:8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</row>
    <row r="191" spans="1:8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</row>
    <row r="192" spans="1:8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</row>
    <row r="193" spans="1:8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</row>
    <row r="194" spans="1:8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</row>
    <row r="195" spans="1:8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</row>
    <row r="196" spans="1:8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</row>
    <row r="197" spans="1:8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</row>
    <row r="198" spans="1:8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</row>
    <row r="199" spans="1:8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</row>
    <row r="200" spans="1:8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</row>
    <row r="201" spans="1:8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</row>
    <row r="202" spans="1:8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</row>
    <row r="203" spans="1:8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</row>
    <row r="204" spans="1:8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</row>
    <row r="205" spans="1:8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</row>
    <row r="206" spans="1:8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</row>
    <row r="207" spans="1:8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</row>
    <row r="208" spans="1:8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</row>
    <row r="209" spans="1:8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</row>
    <row r="210" spans="1:8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</row>
    <row r="211" spans="1:8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</row>
    <row r="212" spans="1:8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</row>
    <row r="213" spans="1:8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</row>
    <row r="214" spans="1:8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</row>
    <row r="215" spans="1:8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</row>
    <row r="216" spans="1:8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</row>
    <row r="217" spans="1:8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</row>
    <row r="218" spans="1:8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</row>
    <row r="219" spans="1:8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</row>
    <row r="220" spans="1:8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</row>
    <row r="221" spans="1:8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</row>
    <row r="222" spans="1:8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</row>
    <row r="223" spans="1:8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</row>
    <row r="224" spans="1:8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</row>
    <row r="225" spans="1:8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</row>
    <row r="226" spans="1:8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</row>
    <row r="227" spans="1:8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</row>
    <row r="228" spans="1:8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</row>
    <row r="229" spans="1:8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</row>
    <row r="230" spans="1:8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</row>
    <row r="231" spans="1:8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</row>
    <row r="232" spans="1:8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</row>
    <row r="233" spans="1:8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</row>
    <row r="234" spans="1:8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</row>
    <row r="235" spans="1:8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</row>
    <row r="236" spans="1:8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</row>
    <row r="237" spans="1:8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</row>
    <row r="238" spans="1:8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</row>
    <row r="239" spans="1:8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</row>
    <row r="240" spans="1:8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</row>
    <row r="241" spans="1:8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</row>
    <row r="242" spans="1:8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</row>
    <row r="243" spans="1:8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</row>
    <row r="244" spans="1:8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</row>
    <row r="245" spans="1:8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</row>
    <row r="246" spans="1:8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</row>
    <row r="247" spans="1:8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</row>
    <row r="248" spans="1:8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</row>
    <row r="249" spans="1:8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</row>
    <row r="250" spans="1:8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</row>
    <row r="251" spans="1:8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</row>
    <row r="252" spans="1:8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</row>
    <row r="253" spans="1:8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</row>
    <row r="254" spans="1:8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</row>
    <row r="255" spans="1:8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</row>
    <row r="256" spans="1:8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</row>
    <row r="257" spans="1:8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</row>
    <row r="258" spans="1:8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</row>
    <row r="259" spans="1:8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</row>
    <row r="260" spans="1:8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</row>
    <row r="261" spans="1:8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</row>
    <row r="262" spans="1:8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</row>
    <row r="263" spans="1:8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</row>
    <row r="264" spans="1:8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</row>
    <row r="265" spans="1:8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</row>
    <row r="266" spans="1:8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</row>
    <row r="267" spans="1:8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</row>
    <row r="268" spans="1:8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</row>
    <row r="269" spans="1:8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</row>
    <row r="270" spans="1:8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</row>
    <row r="271" spans="1:8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</row>
    <row r="272" spans="1:8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</row>
    <row r="273" spans="1:8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</row>
    <row r="274" spans="1:8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</row>
    <row r="275" spans="1:8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</row>
    <row r="276" spans="1:8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</row>
    <row r="277" spans="1:8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</row>
    <row r="278" spans="1:8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</row>
    <row r="279" spans="1:8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</row>
    <row r="280" spans="1:8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</row>
    <row r="281" spans="1:8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</row>
    <row r="282" spans="1:8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</row>
    <row r="283" spans="1:8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</row>
    <row r="284" spans="1:8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</row>
    <row r="285" spans="1:8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</row>
    <row r="286" spans="1: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</row>
    <row r="287" spans="1:8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</row>
    <row r="288" spans="1:8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</row>
    <row r="289" spans="1:8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</row>
    <row r="290" spans="1:8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</row>
    <row r="291" spans="1:8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</row>
    <row r="292" spans="1:8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</row>
    <row r="293" spans="1:8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</row>
    <row r="294" spans="1:8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</row>
    <row r="295" spans="1:8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</row>
    <row r="296" spans="1:8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</row>
    <row r="297" spans="1:8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</row>
    <row r="298" spans="1:8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</row>
    <row r="299" spans="1:8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</row>
    <row r="300" spans="1:8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</row>
    <row r="301" spans="1:8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</row>
    <row r="302" spans="1:8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</row>
    <row r="303" spans="1:8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</row>
    <row r="304" spans="1:8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</row>
    <row r="305" spans="1:8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</row>
    <row r="306" spans="1:8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</row>
    <row r="307" spans="1:8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</row>
    <row r="308" spans="1:8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</row>
    <row r="309" spans="1:8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</row>
    <row r="310" spans="1:8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</row>
    <row r="311" spans="1:8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</row>
    <row r="312" spans="1:8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</row>
    <row r="313" spans="1:8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</row>
    <row r="314" spans="1:8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</row>
    <row r="315" spans="1:8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</row>
    <row r="316" spans="1:8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</row>
    <row r="317" spans="1:8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</row>
    <row r="318" spans="1:8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</row>
    <row r="319" spans="1:8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</row>
    <row r="320" spans="1:8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</row>
    <row r="321" spans="1:8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</row>
    <row r="322" spans="1:8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</row>
    <row r="323" spans="1:8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</row>
    <row r="324" spans="1:8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</row>
    <row r="325" spans="1:8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</row>
    <row r="326" spans="1:8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</row>
    <row r="327" spans="1:8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</row>
    <row r="328" spans="1:8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</row>
    <row r="329" spans="1:8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</row>
    <row r="330" spans="1:8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</row>
    <row r="331" spans="1:8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</row>
    <row r="332" spans="1:8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</row>
    <row r="333" spans="1:8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</row>
    <row r="334" spans="1:8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</row>
    <row r="335" spans="1:8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</row>
    <row r="336" spans="1:8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</row>
    <row r="337" spans="1:8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</row>
    <row r="338" spans="1:8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</row>
    <row r="339" spans="1:8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</row>
    <row r="340" spans="1:8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</row>
    <row r="341" spans="1:8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</row>
    <row r="342" spans="1:8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</row>
    <row r="343" spans="1:8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</row>
    <row r="344" spans="1:8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</row>
    <row r="345" spans="1:8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</row>
    <row r="346" spans="1:8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</row>
    <row r="347" spans="1:8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</row>
    <row r="348" spans="1:8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</row>
    <row r="349" spans="1:8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</row>
    <row r="350" spans="1:8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</row>
    <row r="351" spans="1:8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</row>
    <row r="352" spans="1:8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</row>
    <row r="353" spans="1:8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</row>
    <row r="354" spans="1:8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</row>
    <row r="355" spans="1:8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</row>
    <row r="356" spans="1:8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</row>
    <row r="357" spans="1:8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</row>
    <row r="358" spans="1:8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</row>
    <row r="359" spans="1:8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</row>
    <row r="360" spans="1:8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</row>
    <row r="361" spans="1:8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</row>
    <row r="362" spans="1:8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</row>
    <row r="363" spans="1:8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</row>
    <row r="364" spans="1:8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</row>
    <row r="365" spans="1:8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</row>
    <row r="366" spans="1:8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</row>
    <row r="367" spans="1:8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</row>
    <row r="368" spans="1:8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</row>
    <row r="369" spans="1:8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</row>
    <row r="370" spans="1:8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</row>
    <row r="371" spans="1:8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93"/>
      <c r="BW371" s="93"/>
      <c r="BX371" s="93"/>
      <c r="BY371" s="93"/>
      <c r="BZ371" s="93"/>
      <c r="CA371" s="93"/>
      <c r="CB371" s="93"/>
      <c r="CC371" s="93"/>
      <c r="CD371" s="93"/>
      <c r="CE371" s="93"/>
      <c r="CF371" s="93"/>
      <c r="CG371" s="93"/>
      <c r="CH371" s="93"/>
    </row>
    <row r="372" spans="1:8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93"/>
      <c r="BW372" s="93"/>
      <c r="BX372" s="93"/>
      <c r="BY372" s="93"/>
      <c r="BZ372" s="93"/>
      <c r="CA372" s="93"/>
      <c r="CB372" s="93"/>
      <c r="CC372" s="93"/>
      <c r="CD372" s="93"/>
      <c r="CE372" s="93"/>
      <c r="CF372" s="93"/>
      <c r="CG372" s="93"/>
      <c r="CH372" s="93"/>
    </row>
    <row r="373" spans="1:8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93"/>
      <c r="BW373" s="93"/>
      <c r="BX373" s="93"/>
      <c r="BY373" s="93"/>
      <c r="BZ373" s="93"/>
      <c r="CA373" s="93"/>
      <c r="CB373" s="93"/>
      <c r="CC373" s="93"/>
      <c r="CD373" s="93"/>
      <c r="CE373" s="93"/>
      <c r="CF373" s="93"/>
      <c r="CG373" s="93"/>
      <c r="CH373" s="93"/>
    </row>
    <row r="374" spans="1:8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93"/>
      <c r="BW374" s="93"/>
      <c r="BX374" s="93"/>
      <c r="BY374" s="93"/>
      <c r="BZ374" s="93"/>
      <c r="CA374" s="93"/>
      <c r="CB374" s="93"/>
      <c r="CC374" s="93"/>
      <c r="CD374" s="93"/>
      <c r="CE374" s="93"/>
      <c r="CF374" s="93"/>
      <c r="CG374" s="93"/>
      <c r="CH374" s="93"/>
    </row>
    <row r="375" spans="1:8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93"/>
      <c r="BW375" s="93"/>
      <c r="BX375" s="93"/>
      <c r="BY375" s="93"/>
      <c r="BZ375" s="93"/>
      <c r="CA375" s="93"/>
      <c r="CB375" s="93"/>
      <c r="CC375" s="93"/>
      <c r="CD375" s="93"/>
      <c r="CE375" s="93"/>
      <c r="CF375" s="93"/>
      <c r="CG375" s="93"/>
      <c r="CH375" s="93"/>
    </row>
    <row r="376" spans="1:8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93"/>
      <c r="BW376" s="93"/>
      <c r="BX376" s="93"/>
      <c r="BY376" s="93"/>
      <c r="BZ376" s="93"/>
      <c r="CA376" s="93"/>
      <c r="CB376" s="93"/>
      <c r="CC376" s="93"/>
      <c r="CD376" s="93"/>
      <c r="CE376" s="93"/>
      <c r="CF376" s="93"/>
      <c r="CG376" s="93"/>
      <c r="CH376" s="93"/>
    </row>
    <row r="377" spans="1:8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93"/>
      <c r="BW377" s="93"/>
      <c r="BX377" s="93"/>
      <c r="BY377" s="93"/>
      <c r="BZ377" s="93"/>
      <c r="CA377" s="93"/>
      <c r="CB377" s="93"/>
      <c r="CC377" s="93"/>
      <c r="CD377" s="93"/>
      <c r="CE377" s="93"/>
      <c r="CF377" s="93"/>
      <c r="CG377" s="93"/>
      <c r="CH377" s="93"/>
    </row>
    <row r="378" spans="1:8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93"/>
      <c r="BW378" s="93"/>
      <c r="BX378" s="93"/>
      <c r="BY378" s="93"/>
      <c r="BZ378" s="93"/>
      <c r="CA378" s="93"/>
      <c r="CB378" s="93"/>
      <c r="CC378" s="93"/>
      <c r="CD378" s="93"/>
      <c r="CE378" s="93"/>
      <c r="CF378" s="93"/>
      <c r="CG378" s="93"/>
      <c r="CH378" s="93"/>
    </row>
    <row r="379" spans="1:8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93"/>
      <c r="BW379" s="93"/>
      <c r="BX379" s="93"/>
      <c r="BY379" s="93"/>
      <c r="BZ379" s="93"/>
      <c r="CA379" s="93"/>
      <c r="CB379" s="93"/>
      <c r="CC379" s="93"/>
      <c r="CD379" s="93"/>
      <c r="CE379" s="93"/>
      <c r="CF379" s="93"/>
      <c r="CG379" s="93"/>
      <c r="CH379" s="93"/>
    </row>
    <row r="380" spans="1:8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93"/>
      <c r="BW380" s="93"/>
      <c r="BX380" s="93"/>
      <c r="BY380" s="93"/>
      <c r="BZ380" s="93"/>
      <c r="CA380" s="93"/>
      <c r="CB380" s="93"/>
      <c r="CC380" s="93"/>
      <c r="CD380" s="93"/>
      <c r="CE380" s="93"/>
      <c r="CF380" s="93"/>
      <c r="CG380" s="93"/>
      <c r="CH380" s="93"/>
    </row>
    <row r="381" spans="1:8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93"/>
      <c r="BW381" s="93"/>
      <c r="BX381" s="93"/>
      <c r="BY381" s="93"/>
      <c r="BZ381" s="93"/>
      <c r="CA381" s="93"/>
      <c r="CB381" s="93"/>
      <c r="CC381" s="93"/>
      <c r="CD381" s="93"/>
      <c r="CE381" s="93"/>
      <c r="CF381" s="93"/>
      <c r="CG381" s="93"/>
      <c r="CH381" s="93"/>
    </row>
    <row r="382" spans="1:8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93"/>
      <c r="BW382" s="93"/>
      <c r="BX382" s="93"/>
      <c r="BY382" s="93"/>
      <c r="BZ382" s="93"/>
      <c r="CA382" s="93"/>
      <c r="CB382" s="93"/>
      <c r="CC382" s="93"/>
      <c r="CD382" s="93"/>
      <c r="CE382" s="93"/>
      <c r="CF382" s="93"/>
      <c r="CG382" s="93"/>
      <c r="CH382" s="93"/>
    </row>
    <row r="383" spans="1:8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93"/>
      <c r="BW383" s="93"/>
      <c r="BX383" s="93"/>
      <c r="BY383" s="93"/>
      <c r="BZ383" s="93"/>
      <c r="CA383" s="93"/>
      <c r="CB383" s="93"/>
      <c r="CC383" s="93"/>
      <c r="CD383" s="93"/>
      <c r="CE383" s="93"/>
      <c r="CF383" s="93"/>
      <c r="CG383" s="93"/>
      <c r="CH383" s="93"/>
    </row>
    <row r="384" spans="1:8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93"/>
      <c r="BW384" s="93"/>
      <c r="BX384" s="93"/>
      <c r="BY384" s="93"/>
      <c r="BZ384" s="93"/>
      <c r="CA384" s="93"/>
      <c r="CB384" s="93"/>
      <c r="CC384" s="93"/>
      <c r="CD384" s="93"/>
      <c r="CE384" s="93"/>
      <c r="CF384" s="93"/>
      <c r="CG384" s="93"/>
      <c r="CH384" s="93"/>
    </row>
    <row r="385" spans="1:8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93"/>
      <c r="BW385" s="93"/>
      <c r="BX385" s="93"/>
      <c r="BY385" s="93"/>
      <c r="BZ385" s="93"/>
      <c r="CA385" s="93"/>
      <c r="CB385" s="93"/>
      <c r="CC385" s="93"/>
      <c r="CD385" s="93"/>
      <c r="CE385" s="93"/>
      <c r="CF385" s="93"/>
      <c r="CG385" s="93"/>
      <c r="CH385" s="93"/>
    </row>
    <row r="386" spans="1: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93"/>
      <c r="BW386" s="93"/>
      <c r="BX386" s="93"/>
      <c r="BY386" s="93"/>
      <c r="BZ386" s="93"/>
      <c r="CA386" s="93"/>
      <c r="CB386" s="93"/>
      <c r="CC386" s="93"/>
      <c r="CD386" s="93"/>
      <c r="CE386" s="93"/>
      <c r="CF386" s="93"/>
      <c r="CG386" s="93"/>
      <c r="CH386" s="93"/>
    </row>
    <row r="387" spans="1:8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93"/>
      <c r="BW387" s="93"/>
      <c r="BX387" s="93"/>
      <c r="BY387" s="93"/>
      <c r="BZ387" s="93"/>
      <c r="CA387" s="93"/>
      <c r="CB387" s="93"/>
      <c r="CC387" s="93"/>
      <c r="CD387" s="93"/>
      <c r="CE387" s="93"/>
      <c r="CF387" s="93"/>
      <c r="CG387" s="93"/>
      <c r="CH387" s="93"/>
    </row>
    <row r="388" spans="1:8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93"/>
      <c r="BW388" s="93"/>
      <c r="BX388" s="93"/>
      <c r="BY388" s="93"/>
      <c r="BZ388" s="93"/>
      <c r="CA388" s="93"/>
      <c r="CB388" s="93"/>
      <c r="CC388" s="93"/>
      <c r="CD388" s="93"/>
      <c r="CE388" s="93"/>
      <c r="CF388" s="93"/>
      <c r="CG388" s="93"/>
      <c r="CH388" s="93"/>
    </row>
    <row r="389" spans="1:8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93"/>
      <c r="BW389" s="93"/>
      <c r="BX389" s="93"/>
      <c r="BY389" s="93"/>
      <c r="BZ389" s="93"/>
      <c r="CA389" s="93"/>
      <c r="CB389" s="93"/>
      <c r="CC389" s="93"/>
      <c r="CD389" s="93"/>
      <c r="CE389" s="93"/>
      <c r="CF389" s="93"/>
      <c r="CG389" s="93"/>
      <c r="CH389" s="93"/>
    </row>
    <row r="390" spans="1:8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93"/>
      <c r="BW390" s="93"/>
      <c r="BX390" s="93"/>
      <c r="BY390" s="93"/>
      <c r="BZ390" s="93"/>
      <c r="CA390" s="93"/>
      <c r="CB390" s="93"/>
      <c r="CC390" s="93"/>
      <c r="CD390" s="93"/>
      <c r="CE390" s="93"/>
      <c r="CF390" s="93"/>
      <c r="CG390" s="93"/>
      <c r="CH390" s="93"/>
    </row>
    <row r="391" spans="1:8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93"/>
      <c r="BW391" s="93"/>
      <c r="BX391" s="93"/>
      <c r="BY391" s="93"/>
      <c r="BZ391" s="93"/>
      <c r="CA391" s="93"/>
      <c r="CB391" s="93"/>
      <c r="CC391" s="93"/>
      <c r="CD391" s="93"/>
      <c r="CE391" s="93"/>
      <c r="CF391" s="93"/>
      <c r="CG391" s="93"/>
      <c r="CH391" s="93"/>
    </row>
    <row r="392" spans="1:8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93"/>
      <c r="BW392" s="93"/>
      <c r="BX392" s="93"/>
      <c r="BY392" s="93"/>
      <c r="BZ392" s="93"/>
      <c r="CA392" s="93"/>
      <c r="CB392" s="93"/>
      <c r="CC392" s="93"/>
      <c r="CD392" s="93"/>
      <c r="CE392" s="93"/>
      <c r="CF392" s="93"/>
      <c r="CG392" s="93"/>
      <c r="CH392" s="93"/>
    </row>
    <row r="393" spans="1:8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93"/>
      <c r="BW393" s="93"/>
      <c r="BX393" s="93"/>
      <c r="BY393" s="93"/>
      <c r="BZ393" s="93"/>
      <c r="CA393" s="93"/>
      <c r="CB393" s="93"/>
      <c r="CC393" s="93"/>
      <c r="CD393" s="93"/>
      <c r="CE393" s="93"/>
      <c r="CF393" s="93"/>
      <c r="CG393" s="93"/>
      <c r="CH393" s="93"/>
    </row>
    <row r="394" spans="1:8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93"/>
      <c r="BW394" s="93"/>
      <c r="BX394" s="93"/>
      <c r="BY394" s="93"/>
      <c r="BZ394" s="93"/>
      <c r="CA394" s="93"/>
      <c r="CB394" s="93"/>
      <c r="CC394" s="93"/>
      <c r="CD394" s="93"/>
      <c r="CE394" s="93"/>
      <c r="CF394" s="93"/>
      <c r="CG394" s="93"/>
      <c r="CH394" s="93"/>
    </row>
    <row r="395" spans="1:8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93"/>
      <c r="BW395" s="93"/>
      <c r="BX395" s="93"/>
      <c r="BY395" s="93"/>
      <c r="BZ395" s="93"/>
      <c r="CA395" s="93"/>
      <c r="CB395" s="93"/>
      <c r="CC395" s="93"/>
      <c r="CD395" s="93"/>
      <c r="CE395" s="93"/>
      <c r="CF395" s="93"/>
      <c r="CG395" s="93"/>
      <c r="CH395" s="93"/>
    </row>
    <row r="396" spans="1:8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93"/>
      <c r="BW396" s="93"/>
      <c r="BX396" s="93"/>
      <c r="BY396" s="93"/>
      <c r="BZ396" s="93"/>
      <c r="CA396" s="93"/>
      <c r="CB396" s="93"/>
      <c r="CC396" s="93"/>
      <c r="CD396" s="93"/>
      <c r="CE396" s="93"/>
      <c r="CF396" s="93"/>
      <c r="CG396" s="93"/>
      <c r="CH396" s="93"/>
    </row>
    <row r="397" spans="1:8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93"/>
      <c r="BW397" s="93"/>
      <c r="BX397" s="93"/>
      <c r="BY397" s="93"/>
      <c r="BZ397" s="93"/>
      <c r="CA397" s="93"/>
      <c r="CB397" s="93"/>
      <c r="CC397" s="93"/>
      <c r="CD397" s="93"/>
      <c r="CE397" s="93"/>
      <c r="CF397" s="93"/>
      <c r="CG397" s="93"/>
      <c r="CH397" s="93"/>
    </row>
    <row r="398" spans="1:8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93"/>
      <c r="BW398" s="93"/>
      <c r="BX398" s="93"/>
      <c r="BY398" s="93"/>
      <c r="BZ398" s="93"/>
      <c r="CA398" s="93"/>
      <c r="CB398" s="93"/>
      <c r="CC398" s="93"/>
      <c r="CD398" s="93"/>
      <c r="CE398" s="93"/>
      <c r="CF398" s="93"/>
      <c r="CG398" s="93"/>
      <c r="CH398" s="93"/>
    </row>
    <row r="399" spans="1:8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93"/>
      <c r="BW399" s="93"/>
      <c r="BX399" s="93"/>
      <c r="BY399" s="93"/>
      <c r="BZ399" s="93"/>
      <c r="CA399" s="93"/>
      <c r="CB399" s="93"/>
      <c r="CC399" s="93"/>
      <c r="CD399" s="93"/>
      <c r="CE399" s="93"/>
      <c r="CF399" s="93"/>
      <c r="CG399" s="93"/>
      <c r="CH399" s="93"/>
    </row>
    <row r="400" spans="1:8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93"/>
      <c r="BW400" s="93"/>
      <c r="BX400" s="93"/>
      <c r="BY400" s="93"/>
      <c r="BZ400" s="93"/>
      <c r="CA400" s="93"/>
      <c r="CB400" s="93"/>
      <c r="CC400" s="93"/>
      <c r="CD400" s="93"/>
      <c r="CE400" s="93"/>
      <c r="CF400" s="93"/>
      <c r="CG400" s="93"/>
      <c r="CH400" s="93"/>
    </row>
    <row r="401" spans="1:8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93"/>
      <c r="BW401" s="93"/>
      <c r="BX401" s="93"/>
      <c r="BY401" s="93"/>
      <c r="BZ401" s="93"/>
      <c r="CA401" s="93"/>
      <c r="CB401" s="93"/>
      <c r="CC401" s="93"/>
      <c r="CD401" s="93"/>
      <c r="CE401" s="93"/>
      <c r="CF401" s="93"/>
      <c r="CG401" s="93"/>
      <c r="CH401" s="93"/>
    </row>
    <row r="402" spans="1:8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93"/>
      <c r="BW402" s="93"/>
      <c r="BX402" s="93"/>
      <c r="BY402" s="93"/>
      <c r="BZ402" s="93"/>
      <c r="CA402" s="93"/>
      <c r="CB402" s="93"/>
      <c r="CC402" s="93"/>
      <c r="CD402" s="93"/>
      <c r="CE402" s="93"/>
      <c r="CF402" s="93"/>
      <c r="CG402" s="93"/>
      <c r="CH402" s="93"/>
    </row>
    <row r="403" spans="1:8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93"/>
      <c r="BW403" s="93"/>
      <c r="BX403" s="93"/>
      <c r="BY403" s="93"/>
      <c r="BZ403" s="93"/>
      <c r="CA403" s="93"/>
      <c r="CB403" s="93"/>
      <c r="CC403" s="93"/>
      <c r="CD403" s="93"/>
      <c r="CE403" s="93"/>
      <c r="CF403" s="93"/>
      <c r="CG403" s="93"/>
      <c r="CH403" s="93"/>
    </row>
    <row r="404" spans="1:8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</row>
    <row r="405" spans="1:8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93"/>
      <c r="BW405" s="93"/>
      <c r="BX405" s="93"/>
      <c r="BY405" s="93"/>
      <c r="BZ405" s="93"/>
      <c r="CA405" s="93"/>
      <c r="CB405" s="93"/>
      <c r="CC405" s="93"/>
      <c r="CD405" s="93"/>
      <c r="CE405" s="93"/>
      <c r="CF405" s="93"/>
      <c r="CG405" s="93"/>
      <c r="CH405" s="93"/>
    </row>
    <row r="406" spans="1:8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93"/>
      <c r="BW406" s="93"/>
      <c r="BX406" s="93"/>
      <c r="BY406" s="93"/>
      <c r="BZ406" s="93"/>
      <c r="CA406" s="93"/>
      <c r="CB406" s="93"/>
      <c r="CC406" s="93"/>
      <c r="CD406" s="93"/>
      <c r="CE406" s="93"/>
      <c r="CF406" s="93"/>
      <c r="CG406" s="93"/>
      <c r="CH406" s="93"/>
    </row>
    <row r="407" spans="1:8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93"/>
      <c r="BW407" s="93"/>
      <c r="BX407" s="93"/>
      <c r="BY407" s="93"/>
      <c r="BZ407" s="93"/>
      <c r="CA407" s="93"/>
      <c r="CB407" s="93"/>
      <c r="CC407" s="93"/>
      <c r="CD407" s="93"/>
      <c r="CE407" s="93"/>
      <c r="CF407" s="93"/>
      <c r="CG407" s="93"/>
      <c r="CH407" s="93"/>
    </row>
    <row r="408" spans="1:86"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</row>
    <row r="409" spans="1:86"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</row>
    <row r="410" spans="1:86"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</row>
    <row r="411" spans="1:86"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</row>
    <row r="412" spans="1:86"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</row>
    <row r="413" spans="1:86">
      <c r="BV413" s="87"/>
      <c r="BW413" s="87"/>
      <c r="BX413" s="87"/>
      <c r="BY413" s="87"/>
      <c r="BZ413" s="87"/>
      <c r="CA413" s="87"/>
      <c r="CB413" s="87"/>
      <c r="CC413" s="87"/>
      <c r="CD413" s="87"/>
      <c r="CE413" s="87"/>
      <c r="CF413" s="87"/>
      <c r="CG413" s="87"/>
      <c r="CH413" s="87"/>
    </row>
    <row r="414" spans="1:86"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</row>
    <row r="415" spans="1:86"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</row>
    <row r="416" spans="1:86"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</row>
    <row r="417" spans="74:86"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</row>
    <row r="418" spans="74:86"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</row>
    <row r="419" spans="74:86"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</row>
    <row r="420" spans="74:86"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</row>
    <row r="421" spans="74:86"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</row>
    <row r="422" spans="74:86"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</row>
    <row r="423" spans="74:86"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</row>
    <row r="424" spans="74:86"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</row>
    <row r="425" spans="74:86"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</row>
    <row r="426" spans="74:86"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</row>
    <row r="427" spans="74:86"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</row>
    <row r="428" spans="74:86">
      <c r="BV428" s="87"/>
      <c r="BW428" s="87"/>
      <c r="BX428" s="87"/>
      <c r="BY428" s="87"/>
      <c r="BZ428" s="87"/>
      <c r="CA428" s="87"/>
      <c r="CB428" s="87"/>
      <c r="CC428" s="87"/>
      <c r="CD428" s="87"/>
      <c r="CE428" s="87"/>
      <c r="CF428" s="87"/>
      <c r="CG428" s="87"/>
      <c r="CH428" s="87"/>
    </row>
    <row r="429" spans="74:86">
      <c r="BV429" s="87"/>
      <c r="BW429" s="87"/>
      <c r="BX429" s="87"/>
      <c r="BY429" s="87"/>
      <c r="BZ429" s="87"/>
      <c r="CA429" s="87"/>
      <c r="CB429" s="87"/>
      <c r="CC429" s="87"/>
      <c r="CD429" s="87"/>
      <c r="CE429" s="87"/>
      <c r="CF429" s="87"/>
      <c r="CG429" s="87"/>
      <c r="CH429" s="87"/>
    </row>
    <row r="430" spans="74:86">
      <c r="BV430" s="87"/>
      <c r="BW430" s="87"/>
      <c r="BX430" s="87"/>
      <c r="BY430" s="87"/>
      <c r="BZ430" s="87"/>
      <c r="CA430" s="87"/>
      <c r="CB430" s="87"/>
      <c r="CC430" s="87"/>
      <c r="CD430" s="87"/>
      <c r="CE430" s="87"/>
      <c r="CF430" s="87"/>
      <c r="CG430" s="87"/>
      <c r="CH430" s="87"/>
    </row>
    <row r="431" spans="74:86">
      <c r="BV431" s="87"/>
      <c r="BW431" s="87"/>
      <c r="BX431" s="87"/>
      <c r="BY431" s="87"/>
      <c r="BZ431" s="87"/>
      <c r="CA431" s="87"/>
      <c r="CB431" s="87"/>
      <c r="CC431" s="87"/>
      <c r="CD431" s="87"/>
      <c r="CE431" s="87"/>
      <c r="CF431" s="87"/>
      <c r="CG431" s="87"/>
      <c r="CH431" s="87"/>
    </row>
    <row r="432" spans="74:86">
      <c r="BV432" s="87"/>
      <c r="BW432" s="87"/>
      <c r="BX432" s="87"/>
      <c r="BY432" s="87"/>
      <c r="BZ432" s="87"/>
      <c r="CA432" s="87"/>
      <c r="CB432" s="87"/>
      <c r="CC432" s="87"/>
      <c r="CD432" s="87"/>
      <c r="CE432" s="87"/>
      <c r="CF432" s="87"/>
      <c r="CG432" s="87"/>
      <c r="CH432" s="87"/>
    </row>
    <row r="433" spans="74:86">
      <c r="BV433" s="87"/>
      <c r="BW433" s="87"/>
      <c r="BX433" s="87"/>
      <c r="BY433" s="87"/>
      <c r="BZ433" s="87"/>
      <c r="CA433" s="87"/>
      <c r="CB433" s="87"/>
      <c r="CC433" s="87"/>
      <c r="CD433" s="87"/>
      <c r="CE433" s="87"/>
      <c r="CF433" s="87"/>
      <c r="CG433" s="87"/>
      <c r="CH433" s="87"/>
    </row>
    <row r="434" spans="74:86">
      <c r="BV434" s="87"/>
      <c r="BW434" s="87"/>
      <c r="BX434" s="87"/>
      <c r="BY434" s="87"/>
      <c r="BZ434" s="87"/>
      <c r="CA434" s="87"/>
      <c r="CB434" s="87"/>
      <c r="CC434" s="87"/>
      <c r="CD434" s="87"/>
      <c r="CE434" s="87"/>
      <c r="CF434" s="87"/>
      <c r="CG434" s="87"/>
      <c r="CH434" s="87"/>
    </row>
    <row r="435" spans="74:86">
      <c r="BV435" s="87"/>
      <c r="BW435" s="87"/>
      <c r="BX435" s="87"/>
      <c r="BY435" s="87"/>
      <c r="BZ435" s="87"/>
      <c r="CA435" s="87"/>
      <c r="CB435" s="87"/>
      <c r="CC435" s="87"/>
      <c r="CD435" s="87"/>
      <c r="CE435" s="87"/>
      <c r="CF435" s="87"/>
      <c r="CG435" s="87"/>
      <c r="CH435" s="87"/>
    </row>
    <row r="436" spans="74:86">
      <c r="BV436" s="87"/>
      <c r="BW436" s="87"/>
      <c r="BX436" s="87"/>
      <c r="BY436" s="87"/>
      <c r="BZ436" s="87"/>
      <c r="CA436" s="87"/>
      <c r="CB436" s="87"/>
      <c r="CC436" s="87"/>
      <c r="CD436" s="87"/>
      <c r="CE436" s="87"/>
      <c r="CF436" s="87"/>
      <c r="CG436" s="87"/>
      <c r="CH436" s="87"/>
    </row>
    <row r="437" spans="74:86">
      <c r="BV437" s="87"/>
      <c r="BW437" s="87"/>
      <c r="BX437" s="87"/>
      <c r="BY437" s="87"/>
      <c r="BZ437" s="87"/>
      <c r="CA437" s="87"/>
      <c r="CB437" s="87"/>
      <c r="CC437" s="87"/>
      <c r="CD437" s="87"/>
      <c r="CE437" s="87"/>
      <c r="CF437" s="87"/>
      <c r="CG437" s="87"/>
      <c r="CH437" s="87"/>
    </row>
    <row r="438" spans="74:86">
      <c r="BV438" s="87"/>
      <c r="BW438" s="87"/>
      <c r="BX438" s="87"/>
      <c r="BY438" s="87"/>
      <c r="BZ438" s="87"/>
      <c r="CA438" s="87"/>
      <c r="CB438" s="87"/>
      <c r="CC438" s="87"/>
      <c r="CD438" s="87"/>
      <c r="CE438" s="87"/>
      <c r="CF438" s="87"/>
      <c r="CG438" s="87"/>
      <c r="CH438" s="87"/>
    </row>
    <row r="439" spans="74:86">
      <c r="BV439" s="87"/>
      <c r="BW439" s="87"/>
      <c r="BX439" s="87"/>
      <c r="BY439" s="87"/>
      <c r="BZ439" s="87"/>
      <c r="CA439" s="87"/>
      <c r="CB439" s="87"/>
      <c r="CC439" s="87"/>
      <c r="CD439" s="87"/>
      <c r="CE439" s="87"/>
      <c r="CF439" s="87"/>
      <c r="CG439" s="87"/>
      <c r="CH439" s="87"/>
    </row>
    <row r="440" spans="74:86">
      <c r="BV440" s="87"/>
      <c r="BW440" s="87"/>
      <c r="BX440" s="87"/>
      <c r="BY440" s="87"/>
      <c r="BZ440" s="87"/>
      <c r="CA440" s="87"/>
      <c r="CB440" s="87"/>
      <c r="CC440" s="87"/>
      <c r="CD440" s="87"/>
      <c r="CE440" s="87"/>
      <c r="CF440" s="87"/>
      <c r="CG440" s="87"/>
      <c r="CH440" s="87"/>
    </row>
    <row r="441" spans="74:86">
      <c r="BV441" s="87"/>
      <c r="BW441" s="87"/>
      <c r="BX441" s="87"/>
      <c r="BY441" s="87"/>
      <c r="BZ441" s="87"/>
      <c r="CA441" s="87"/>
      <c r="CB441" s="87"/>
      <c r="CC441" s="87"/>
      <c r="CD441" s="87"/>
      <c r="CE441" s="87"/>
      <c r="CF441" s="87"/>
      <c r="CG441" s="87"/>
      <c r="CH441" s="87"/>
    </row>
    <row r="442" spans="74:86">
      <c r="BV442" s="87"/>
      <c r="BW442" s="87"/>
      <c r="BX442" s="87"/>
      <c r="BY442" s="87"/>
      <c r="BZ442" s="87"/>
      <c r="CA442" s="87"/>
      <c r="CB442" s="87"/>
      <c r="CC442" s="87"/>
      <c r="CD442" s="87"/>
      <c r="CE442" s="87"/>
      <c r="CF442" s="87"/>
      <c r="CG442" s="87"/>
      <c r="CH442" s="87"/>
    </row>
    <row r="443" spans="74:86">
      <c r="BV443" s="87"/>
      <c r="BW443" s="87"/>
      <c r="BX443" s="87"/>
      <c r="BY443" s="87"/>
      <c r="BZ443" s="87"/>
      <c r="CA443" s="87"/>
      <c r="CB443" s="87"/>
      <c r="CC443" s="87"/>
      <c r="CD443" s="87"/>
      <c r="CE443" s="87"/>
      <c r="CF443" s="87"/>
      <c r="CG443" s="87"/>
      <c r="CH443" s="87"/>
    </row>
    <row r="444" spans="74:86">
      <c r="BV444" s="87"/>
      <c r="BW444" s="87"/>
      <c r="BX444" s="87"/>
      <c r="BY444" s="87"/>
      <c r="BZ444" s="87"/>
      <c r="CA444" s="87"/>
      <c r="CB444" s="87"/>
      <c r="CC444" s="87"/>
      <c r="CD444" s="87"/>
      <c r="CE444" s="87"/>
      <c r="CF444" s="87"/>
      <c r="CG444" s="87"/>
      <c r="CH444" s="87"/>
    </row>
    <row r="445" spans="74:86">
      <c r="BV445" s="87"/>
      <c r="BW445" s="87"/>
      <c r="BX445" s="87"/>
      <c r="BY445" s="87"/>
      <c r="BZ445" s="87"/>
      <c r="CA445" s="87"/>
      <c r="CB445" s="87"/>
      <c r="CC445" s="87"/>
      <c r="CD445" s="87"/>
      <c r="CE445" s="87"/>
      <c r="CF445" s="87"/>
      <c r="CG445" s="87"/>
      <c r="CH445" s="87"/>
    </row>
    <row r="446" spans="74:86">
      <c r="BV446" s="87"/>
      <c r="BW446" s="87"/>
      <c r="BX446" s="87"/>
      <c r="BY446" s="87"/>
      <c r="BZ446" s="87"/>
      <c r="CA446" s="87"/>
      <c r="CB446" s="87"/>
      <c r="CC446" s="87"/>
      <c r="CD446" s="87"/>
      <c r="CE446" s="87"/>
      <c r="CF446" s="87"/>
      <c r="CG446" s="87"/>
      <c r="CH446" s="87"/>
    </row>
    <row r="447" spans="74:86">
      <c r="BV447" s="87"/>
      <c r="BW447" s="87"/>
      <c r="BX447" s="87"/>
      <c r="BY447" s="87"/>
      <c r="BZ447" s="87"/>
      <c r="CA447" s="87"/>
      <c r="CB447" s="87"/>
      <c r="CC447" s="87"/>
      <c r="CD447" s="87"/>
      <c r="CE447" s="87"/>
      <c r="CF447" s="87"/>
      <c r="CG447" s="87"/>
      <c r="CH447" s="87"/>
    </row>
    <row r="448" spans="74:86"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</row>
    <row r="449" spans="74:86">
      <c r="BV449" s="87"/>
      <c r="BW449" s="87"/>
      <c r="BX449" s="87"/>
      <c r="BY449" s="87"/>
      <c r="BZ449" s="87"/>
      <c r="CA449" s="87"/>
      <c r="CB449" s="87"/>
      <c r="CC449" s="87"/>
      <c r="CD449" s="87"/>
      <c r="CE449" s="87"/>
      <c r="CF449" s="87"/>
      <c r="CG449" s="87"/>
      <c r="CH449" s="87"/>
    </row>
    <row r="450" spans="74:86">
      <c r="BV450" s="87"/>
      <c r="BW450" s="87"/>
      <c r="BX450" s="87"/>
      <c r="BY450" s="87"/>
      <c r="BZ450" s="87"/>
      <c r="CA450" s="87"/>
      <c r="CB450" s="87"/>
      <c r="CC450" s="87"/>
      <c r="CD450" s="87"/>
      <c r="CE450" s="87"/>
      <c r="CF450" s="87"/>
      <c r="CG450" s="87"/>
      <c r="CH450" s="87"/>
    </row>
    <row r="451" spans="74:86">
      <c r="BV451" s="87"/>
      <c r="BW451" s="87"/>
      <c r="BX451" s="87"/>
      <c r="BY451" s="87"/>
      <c r="BZ451" s="87"/>
      <c r="CA451" s="87"/>
      <c r="CB451" s="87"/>
      <c r="CC451" s="87"/>
      <c r="CD451" s="87"/>
      <c r="CE451" s="87"/>
      <c r="CF451" s="87"/>
      <c r="CG451" s="87"/>
      <c r="CH451" s="87"/>
    </row>
    <row r="452" spans="74:86">
      <c r="BV452" s="87"/>
      <c r="BW452" s="87"/>
      <c r="BX452" s="87"/>
      <c r="BY452" s="87"/>
      <c r="BZ452" s="87"/>
      <c r="CA452" s="87"/>
      <c r="CB452" s="87"/>
      <c r="CC452" s="87"/>
      <c r="CD452" s="87"/>
      <c r="CE452" s="87"/>
      <c r="CF452" s="87"/>
      <c r="CG452" s="87"/>
      <c r="CH452" s="87"/>
    </row>
    <row r="453" spans="74:86">
      <c r="BV453" s="87"/>
      <c r="BW453" s="87"/>
      <c r="BX453" s="87"/>
      <c r="BY453" s="87"/>
      <c r="BZ453" s="87"/>
      <c r="CA453" s="87"/>
      <c r="CB453" s="87"/>
      <c r="CC453" s="87"/>
      <c r="CD453" s="87"/>
      <c r="CE453" s="87"/>
      <c r="CF453" s="87"/>
      <c r="CG453" s="87"/>
      <c r="CH453" s="87"/>
    </row>
    <row r="454" spans="74:86">
      <c r="BV454" s="87"/>
      <c r="BW454" s="87"/>
      <c r="BX454" s="87"/>
      <c r="BY454" s="87"/>
      <c r="BZ454" s="87"/>
      <c r="CA454" s="87"/>
      <c r="CB454" s="87"/>
      <c r="CC454" s="87"/>
      <c r="CD454" s="87"/>
      <c r="CE454" s="87"/>
      <c r="CF454" s="87"/>
      <c r="CG454" s="87"/>
      <c r="CH454" s="87"/>
    </row>
    <row r="455" spans="74:86">
      <c r="BV455" s="87"/>
      <c r="BW455" s="87"/>
      <c r="BX455" s="87"/>
      <c r="BY455" s="87"/>
      <c r="BZ455" s="87"/>
      <c r="CA455" s="87"/>
      <c r="CB455" s="87"/>
      <c r="CC455" s="87"/>
      <c r="CD455" s="87"/>
      <c r="CE455" s="87"/>
      <c r="CF455" s="87"/>
      <c r="CG455" s="87"/>
      <c r="CH455" s="87"/>
    </row>
    <row r="456" spans="74:86">
      <c r="BV456" s="87"/>
      <c r="BW456" s="87"/>
      <c r="BX456" s="87"/>
      <c r="BY456" s="87"/>
      <c r="BZ456" s="87"/>
      <c r="CA456" s="87"/>
      <c r="CB456" s="87"/>
      <c r="CC456" s="87"/>
      <c r="CD456" s="87"/>
      <c r="CE456" s="87"/>
      <c r="CF456" s="87"/>
      <c r="CG456" s="87"/>
      <c r="CH456" s="87"/>
    </row>
    <row r="457" spans="74:86">
      <c r="BV457" s="87"/>
      <c r="BW457" s="87"/>
      <c r="BX457" s="87"/>
      <c r="BY457" s="87"/>
      <c r="BZ457" s="87"/>
      <c r="CA457" s="87"/>
      <c r="CB457" s="87"/>
      <c r="CC457" s="87"/>
      <c r="CD457" s="87"/>
      <c r="CE457" s="87"/>
      <c r="CF457" s="87"/>
      <c r="CG457" s="87"/>
      <c r="CH457" s="87"/>
    </row>
    <row r="458" spans="74:86">
      <c r="BV458" s="87"/>
      <c r="BW458" s="87"/>
      <c r="BX458" s="87"/>
      <c r="BY458" s="87"/>
      <c r="BZ458" s="87"/>
      <c r="CA458" s="87"/>
      <c r="CB458" s="87"/>
      <c r="CC458" s="87"/>
      <c r="CD458" s="87"/>
      <c r="CE458" s="87"/>
      <c r="CF458" s="87"/>
      <c r="CG458" s="87"/>
      <c r="CH458" s="87"/>
    </row>
    <row r="459" spans="74:86">
      <c r="BV459" s="87"/>
      <c r="BW459" s="87"/>
      <c r="BX459" s="87"/>
      <c r="BY459" s="87"/>
      <c r="BZ459" s="87"/>
      <c r="CA459" s="87"/>
      <c r="CB459" s="87"/>
      <c r="CC459" s="87"/>
      <c r="CD459" s="87"/>
      <c r="CE459" s="87"/>
      <c r="CF459" s="87"/>
      <c r="CG459" s="87"/>
      <c r="CH459" s="87"/>
    </row>
    <row r="460" spans="74:86">
      <c r="BV460" s="87"/>
      <c r="BW460" s="87"/>
      <c r="BX460" s="87"/>
      <c r="BY460" s="87"/>
      <c r="BZ460" s="87"/>
      <c r="CA460" s="87"/>
      <c r="CB460" s="87"/>
      <c r="CC460" s="87"/>
      <c r="CD460" s="87"/>
      <c r="CE460" s="87"/>
      <c r="CF460" s="87"/>
      <c r="CG460" s="87"/>
      <c r="CH460" s="87"/>
    </row>
    <row r="461" spans="74:86">
      <c r="BV461" s="87"/>
      <c r="BW461" s="87"/>
      <c r="BX461" s="87"/>
      <c r="BY461" s="87"/>
      <c r="BZ461" s="87"/>
      <c r="CA461" s="87"/>
      <c r="CB461" s="87"/>
      <c r="CC461" s="87"/>
      <c r="CD461" s="87"/>
      <c r="CE461" s="87"/>
      <c r="CF461" s="87"/>
      <c r="CG461" s="87"/>
      <c r="CH461" s="87"/>
    </row>
    <row r="462" spans="74:86">
      <c r="BV462" s="87"/>
      <c r="BW462" s="87"/>
      <c r="BX462" s="87"/>
      <c r="BY462" s="87"/>
      <c r="BZ462" s="87"/>
      <c r="CA462" s="87"/>
      <c r="CB462" s="87"/>
      <c r="CC462" s="87"/>
      <c r="CD462" s="87"/>
      <c r="CE462" s="87"/>
      <c r="CF462" s="87"/>
      <c r="CG462" s="87"/>
      <c r="CH462" s="87"/>
    </row>
    <row r="463" spans="74:86">
      <c r="BV463" s="87"/>
      <c r="BW463" s="87"/>
      <c r="BX463" s="87"/>
      <c r="BY463" s="87"/>
      <c r="BZ463" s="87"/>
      <c r="CA463" s="87"/>
      <c r="CB463" s="87"/>
      <c r="CC463" s="87"/>
      <c r="CD463" s="87"/>
      <c r="CE463" s="87"/>
      <c r="CF463" s="87"/>
      <c r="CG463" s="87"/>
      <c r="CH463" s="87"/>
    </row>
    <row r="464" spans="74:86">
      <c r="BV464" s="87"/>
      <c r="BW464" s="87"/>
      <c r="BX464" s="87"/>
      <c r="BY464" s="87"/>
      <c r="BZ464" s="87"/>
      <c r="CA464" s="87"/>
      <c r="CB464" s="87"/>
      <c r="CC464" s="87"/>
      <c r="CD464" s="87"/>
      <c r="CE464" s="87"/>
      <c r="CF464" s="87"/>
      <c r="CG464" s="87"/>
      <c r="CH464" s="87"/>
    </row>
    <row r="465" spans="74:86">
      <c r="BV465" s="87"/>
      <c r="BW465" s="87"/>
      <c r="BX465" s="87"/>
      <c r="BY465" s="87"/>
      <c r="BZ465" s="87"/>
      <c r="CA465" s="87"/>
      <c r="CB465" s="87"/>
      <c r="CC465" s="87"/>
      <c r="CD465" s="87"/>
      <c r="CE465" s="87"/>
      <c r="CF465" s="87"/>
      <c r="CG465" s="87"/>
      <c r="CH465" s="87"/>
    </row>
    <row r="466" spans="74:86">
      <c r="BV466" s="87"/>
      <c r="BW466" s="87"/>
      <c r="BX466" s="87"/>
      <c r="BY466" s="87"/>
      <c r="BZ466" s="87"/>
      <c r="CA466" s="87"/>
      <c r="CB466" s="87"/>
      <c r="CC466" s="87"/>
      <c r="CD466" s="87"/>
      <c r="CE466" s="87"/>
      <c r="CF466" s="87"/>
      <c r="CG466" s="87"/>
      <c r="CH466" s="87"/>
    </row>
    <row r="467" spans="74:86">
      <c r="BV467" s="87"/>
      <c r="BW467" s="87"/>
      <c r="BX467" s="87"/>
      <c r="BY467" s="87"/>
      <c r="BZ467" s="87"/>
      <c r="CA467" s="87"/>
      <c r="CB467" s="87"/>
      <c r="CC467" s="87"/>
      <c r="CD467" s="87"/>
      <c r="CE467" s="87"/>
      <c r="CF467" s="87"/>
      <c r="CG467" s="87"/>
      <c r="CH467" s="87"/>
    </row>
    <row r="468" spans="74:86">
      <c r="BV468" s="87"/>
      <c r="BW468" s="87"/>
      <c r="BX468" s="87"/>
      <c r="BY468" s="87"/>
      <c r="BZ468" s="87"/>
      <c r="CA468" s="87"/>
      <c r="CB468" s="87"/>
      <c r="CC468" s="87"/>
      <c r="CD468" s="87"/>
      <c r="CE468" s="87"/>
      <c r="CF468" s="87"/>
      <c r="CG468" s="87"/>
      <c r="CH468" s="87"/>
    </row>
    <row r="469" spans="74:86">
      <c r="BV469" s="87"/>
      <c r="BW469" s="87"/>
      <c r="BX469" s="87"/>
      <c r="BY469" s="87"/>
      <c r="BZ469" s="87"/>
      <c r="CA469" s="87"/>
      <c r="CB469" s="87"/>
      <c r="CC469" s="87"/>
      <c r="CD469" s="87"/>
      <c r="CE469" s="87"/>
      <c r="CF469" s="87"/>
      <c r="CG469" s="87"/>
      <c r="CH469" s="87"/>
    </row>
    <row r="470" spans="74:86">
      <c r="BV470" s="87"/>
      <c r="BW470" s="87"/>
      <c r="BX470" s="87"/>
      <c r="BY470" s="87"/>
      <c r="BZ470" s="87"/>
      <c r="CA470" s="87"/>
      <c r="CB470" s="87"/>
      <c r="CC470" s="87"/>
      <c r="CD470" s="87"/>
      <c r="CE470" s="87"/>
      <c r="CF470" s="87"/>
      <c r="CG470" s="87"/>
      <c r="CH470" s="87"/>
    </row>
    <row r="471" spans="74:86">
      <c r="BV471" s="87"/>
      <c r="BW471" s="87"/>
      <c r="BX471" s="87"/>
      <c r="BY471" s="87"/>
      <c r="BZ471" s="87"/>
      <c r="CA471" s="87"/>
      <c r="CB471" s="87"/>
      <c r="CC471" s="87"/>
      <c r="CD471" s="87"/>
      <c r="CE471" s="87"/>
      <c r="CF471" s="87"/>
      <c r="CG471" s="87"/>
      <c r="CH471" s="87"/>
    </row>
    <row r="472" spans="74:86">
      <c r="BV472" s="87"/>
      <c r="BW472" s="87"/>
      <c r="BX472" s="87"/>
      <c r="BY472" s="87"/>
      <c r="BZ472" s="87"/>
      <c r="CA472" s="87"/>
      <c r="CB472" s="87"/>
      <c r="CC472" s="87"/>
      <c r="CD472" s="87"/>
      <c r="CE472" s="87"/>
      <c r="CF472" s="87"/>
      <c r="CG472" s="87"/>
      <c r="CH472" s="87"/>
    </row>
    <row r="473" spans="74:86">
      <c r="BV473" s="87"/>
      <c r="BW473" s="87"/>
      <c r="BX473" s="87"/>
      <c r="BY473" s="87"/>
      <c r="BZ473" s="87"/>
      <c r="CA473" s="87"/>
      <c r="CB473" s="87"/>
      <c r="CC473" s="87"/>
      <c r="CD473" s="87"/>
      <c r="CE473" s="87"/>
      <c r="CF473" s="87"/>
      <c r="CG473" s="87"/>
      <c r="CH473" s="87"/>
    </row>
    <row r="474" spans="74:86">
      <c r="BV474" s="87"/>
      <c r="BW474" s="87"/>
      <c r="BX474" s="87"/>
      <c r="BY474" s="87"/>
      <c r="BZ474" s="87"/>
      <c r="CA474" s="87"/>
      <c r="CB474" s="87"/>
      <c r="CC474" s="87"/>
      <c r="CD474" s="87"/>
      <c r="CE474" s="87"/>
      <c r="CF474" s="87"/>
      <c r="CG474" s="87"/>
      <c r="CH474" s="87"/>
    </row>
    <row r="475" spans="74:86">
      <c r="BV475" s="87"/>
      <c r="BW475" s="87"/>
      <c r="BX475" s="87"/>
      <c r="BY475" s="87"/>
      <c r="BZ475" s="87"/>
      <c r="CA475" s="87"/>
      <c r="CB475" s="87"/>
      <c r="CC475" s="87"/>
      <c r="CD475" s="87"/>
      <c r="CE475" s="87"/>
      <c r="CF475" s="87"/>
      <c r="CG475" s="87"/>
      <c r="CH475" s="87"/>
    </row>
    <row r="476" spans="74:86">
      <c r="BV476" s="87"/>
      <c r="BW476" s="87"/>
      <c r="BX476" s="87"/>
      <c r="BY476" s="87"/>
      <c r="BZ476" s="87"/>
      <c r="CA476" s="87"/>
      <c r="CB476" s="87"/>
      <c r="CC476" s="87"/>
      <c r="CD476" s="87"/>
      <c r="CE476" s="87"/>
      <c r="CF476" s="87"/>
      <c r="CG476" s="87"/>
      <c r="CH476" s="87"/>
    </row>
    <row r="477" spans="74:86">
      <c r="BV477" s="87"/>
      <c r="BW477" s="87"/>
      <c r="BX477" s="87"/>
      <c r="BY477" s="87"/>
      <c r="BZ477" s="87"/>
      <c r="CA477" s="87"/>
      <c r="CB477" s="87"/>
      <c r="CC477" s="87"/>
      <c r="CD477" s="87"/>
      <c r="CE477" s="87"/>
      <c r="CF477" s="87"/>
      <c r="CG477" s="87"/>
      <c r="CH477" s="87"/>
    </row>
    <row r="478" spans="74:86">
      <c r="BV478" s="87"/>
      <c r="BW478" s="87"/>
      <c r="BX478" s="87"/>
      <c r="BY478" s="87"/>
      <c r="BZ478" s="87"/>
      <c r="CA478" s="87"/>
      <c r="CB478" s="87"/>
      <c r="CC478" s="87"/>
      <c r="CD478" s="87"/>
      <c r="CE478" s="87"/>
      <c r="CF478" s="87"/>
      <c r="CG478" s="87"/>
      <c r="CH478" s="87"/>
    </row>
    <row r="479" spans="74:86">
      <c r="BV479" s="87"/>
      <c r="BW479" s="87"/>
      <c r="BX479" s="87"/>
      <c r="BY479" s="87"/>
      <c r="BZ479" s="87"/>
      <c r="CA479" s="87"/>
      <c r="CB479" s="87"/>
      <c r="CC479" s="87"/>
      <c r="CD479" s="87"/>
      <c r="CE479" s="87"/>
      <c r="CF479" s="87"/>
      <c r="CG479" s="87"/>
      <c r="CH479" s="87"/>
    </row>
    <row r="480" spans="74:86">
      <c r="BV480" s="87"/>
      <c r="BW480" s="87"/>
      <c r="BX480" s="87"/>
      <c r="BY480" s="87"/>
      <c r="BZ480" s="87"/>
      <c r="CA480" s="87"/>
      <c r="CB480" s="87"/>
      <c r="CC480" s="87"/>
      <c r="CD480" s="87"/>
      <c r="CE480" s="87"/>
      <c r="CF480" s="87"/>
      <c r="CG480" s="87"/>
      <c r="CH480" s="87"/>
    </row>
    <row r="481" spans="74:86">
      <c r="BV481" s="87"/>
      <c r="BW481" s="87"/>
      <c r="BX481" s="87"/>
      <c r="BY481" s="87"/>
      <c r="BZ481" s="87"/>
      <c r="CA481" s="87"/>
      <c r="CB481" s="87"/>
      <c r="CC481" s="87"/>
      <c r="CD481" s="87"/>
      <c r="CE481" s="87"/>
      <c r="CF481" s="87"/>
      <c r="CG481" s="87"/>
      <c r="CH481" s="87"/>
    </row>
    <row r="482" spans="74:86">
      <c r="BV482" s="87"/>
      <c r="BW482" s="87"/>
      <c r="BX482" s="87"/>
      <c r="BY482" s="87"/>
      <c r="BZ482" s="87"/>
      <c r="CA482" s="87"/>
      <c r="CB482" s="87"/>
      <c r="CC482" s="87"/>
      <c r="CD482" s="87"/>
      <c r="CE482" s="87"/>
      <c r="CF482" s="87"/>
      <c r="CG482" s="87"/>
      <c r="CH482" s="87"/>
    </row>
    <row r="483" spans="74:86">
      <c r="BV483" s="87"/>
      <c r="BW483" s="87"/>
      <c r="BX483" s="87"/>
      <c r="BY483" s="87"/>
      <c r="BZ483" s="87"/>
      <c r="CA483" s="87"/>
      <c r="CB483" s="87"/>
      <c r="CC483" s="87"/>
      <c r="CD483" s="87"/>
      <c r="CE483" s="87"/>
      <c r="CF483" s="87"/>
      <c r="CG483" s="87"/>
      <c r="CH483" s="87"/>
    </row>
    <row r="484" spans="74:86">
      <c r="BV484" s="87"/>
      <c r="BW484" s="87"/>
      <c r="BX484" s="87"/>
      <c r="BY484" s="87"/>
      <c r="BZ484" s="87"/>
      <c r="CA484" s="87"/>
      <c r="CB484" s="87"/>
      <c r="CC484" s="87"/>
      <c r="CD484" s="87"/>
      <c r="CE484" s="87"/>
      <c r="CF484" s="87"/>
      <c r="CG484" s="87"/>
      <c r="CH484" s="87"/>
    </row>
    <row r="485" spans="74:86">
      <c r="BV485" s="87"/>
      <c r="BW485" s="87"/>
      <c r="BX485" s="87"/>
      <c r="BY485" s="87"/>
      <c r="BZ485" s="87"/>
      <c r="CA485" s="87"/>
      <c r="CB485" s="87"/>
      <c r="CC485" s="87"/>
      <c r="CD485" s="87"/>
      <c r="CE485" s="87"/>
      <c r="CF485" s="87"/>
      <c r="CG485" s="87"/>
      <c r="CH485" s="87"/>
    </row>
    <row r="486" spans="74:86">
      <c r="BV486" s="87"/>
      <c r="BW486" s="87"/>
      <c r="BX486" s="87"/>
      <c r="BY486" s="87"/>
      <c r="BZ486" s="87"/>
      <c r="CA486" s="87"/>
      <c r="CB486" s="87"/>
      <c r="CC486" s="87"/>
      <c r="CD486" s="87"/>
      <c r="CE486" s="87"/>
      <c r="CF486" s="87"/>
      <c r="CG486" s="87"/>
      <c r="CH486" s="87"/>
    </row>
    <row r="487" spans="74:86">
      <c r="BV487" s="87"/>
      <c r="BW487" s="87"/>
      <c r="BX487" s="87"/>
      <c r="BY487" s="87"/>
      <c r="BZ487" s="87"/>
      <c r="CA487" s="87"/>
      <c r="CB487" s="87"/>
      <c r="CC487" s="87"/>
      <c r="CD487" s="87"/>
      <c r="CE487" s="87"/>
      <c r="CF487" s="87"/>
      <c r="CG487" s="87"/>
      <c r="CH487" s="87"/>
    </row>
    <row r="488" spans="74:86">
      <c r="BV488" s="87"/>
      <c r="BW488" s="87"/>
      <c r="BX488" s="87"/>
      <c r="BY488" s="87"/>
      <c r="BZ488" s="87"/>
      <c r="CA488" s="87"/>
      <c r="CB488" s="87"/>
      <c r="CC488" s="87"/>
      <c r="CD488" s="87"/>
      <c r="CE488" s="87"/>
      <c r="CF488" s="87"/>
      <c r="CG488" s="87"/>
      <c r="CH488" s="87"/>
    </row>
    <row r="489" spans="74:86">
      <c r="BV489" s="87"/>
      <c r="BW489" s="87"/>
      <c r="BX489" s="87"/>
      <c r="BY489" s="87"/>
      <c r="BZ489" s="87"/>
      <c r="CA489" s="87"/>
      <c r="CB489" s="87"/>
      <c r="CC489" s="87"/>
      <c r="CD489" s="87"/>
      <c r="CE489" s="87"/>
      <c r="CF489" s="87"/>
      <c r="CG489" s="87"/>
      <c r="CH489" s="87"/>
    </row>
    <row r="490" spans="74:86">
      <c r="BV490" s="87"/>
      <c r="BW490" s="87"/>
      <c r="BX490" s="87"/>
      <c r="BY490" s="87"/>
      <c r="BZ490" s="87"/>
      <c r="CA490" s="87"/>
      <c r="CB490" s="87"/>
      <c r="CC490" s="87"/>
      <c r="CD490" s="87"/>
      <c r="CE490" s="87"/>
      <c r="CF490" s="87"/>
      <c r="CG490" s="87"/>
      <c r="CH490" s="87"/>
    </row>
    <row r="491" spans="74:86">
      <c r="BV491" s="87"/>
      <c r="BW491" s="87"/>
      <c r="BX491" s="87"/>
      <c r="BY491" s="87"/>
      <c r="BZ491" s="87"/>
      <c r="CA491" s="87"/>
      <c r="CB491" s="87"/>
      <c r="CC491" s="87"/>
      <c r="CD491" s="87"/>
      <c r="CE491" s="87"/>
      <c r="CF491" s="87"/>
      <c r="CG491" s="87"/>
      <c r="CH491" s="87"/>
    </row>
    <row r="492" spans="74:86">
      <c r="BV492" s="87"/>
      <c r="BW492" s="87"/>
      <c r="BX492" s="87"/>
      <c r="BY492" s="87"/>
      <c r="BZ492" s="87"/>
      <c r="CA492" s="87"/>
      <c r="CB492" s="87"/>
      <c r="CC492" s="87"/>
      <c r="CD492" s="87"/>
      <c r="CE492" s="87"/>
      <c r="CF492" s="87"/>
      <c r="CG492" s="87"/>
      <c r="CH492" s="87"/>
    </row>
    <row r="493" spans="74:86">
      <c r="BV493" s="87"/>
      <c r="BW493" s="87"/>
      <c r="BX493" s="87"/>
      <c r="BY493" s="87"/>
      <c r="BZ493" s="87"/>
      <c r="CA493" s="87"/>
      <c r="CB493" s="87"/>
      <c r="CC493" s="87"/>
      <c r="CD493" s="87"/>
      <c r="CE493" s="87"/>
      <c r="CF493" s="87"/>
      <c r="CG493" s="87"/>
      <c r="CH493" s="87"/>
    </row>
    <row r="494" spans="74:86">
      <c r="BV494" s="87"/>
      <c r="BW494" s="87"/>
      <c r="BX494" s="87"/>
      <c r="BY494" s="87"/>
      <c r="BZ494" s="87"/>
      <c r="CA494" s="87"/>
      <c r="CB494" s="87"/>
      <c r="CC494" s="87"/>
      <c r="CD494" s="87"/>
      <c r="CE494" s="87"/>
      <c r="CF494" s="87"/>
      <c r="CG494" s="87"/>
      <c r="CH494" s="87"/>
    </row>
    <row r="495" spans="74:86">
      <c r="BV495" s="87"/>
      <c r="BW495" s="87"/>
      <c r="BX495" s="87"/>
      <c r="BY495" s="87"/>
      <c r="BZ495" s="87"/>
      <c r="CA495" s="87"/>
      <c r="CB495" s="87"/>
      <c r="CC495" s="87"/>
      <c r="CD495" s="87"/>
      <c r="CE495" s="87"/>
      <c r="CF495" s="87"/>
      <c r="CG495" s="87"/>
      <c r="CH495" s="87"/>
    </row>
    <row r="496" spans="74:86">
      <c r="BV496" s="87"/>
      <c r="BW496" s="87"/>
      <c r="BX496" s="87"/>
      <c r="BY496" s="87"/>
      <c r="BZ496" s="87"/>
      <c r="CA496" s="87"/>
      <c r="CB496" s="87"/>
      <c r="CC496" s="87"/>
      <c r="CD496" s="87"/>
      <c r="CE496" s="87"/>
      <c r="CF496" s="87"/>
      <c r="CG496" s="87"/>
      <c r="CH496" s="87"/>
    </row>
    <row r="497" spans="74:86">
      <c r="BV497" s="87"/>
      <c r="BW497" s="87"/>
      <c r="BX497" s="87"/>
      <c r="BY497" s="87"/>
      <c r="BZ497" s="87"/>
      <c r="CA497" s="87"/>
      <c r="CB497" s="87"/>
      <c r="CC497" s="87"/>
      <c r="CD497" s="87"/>
      <c r="CE497" s="87"/>
      <c r="CF497" s="87"/>
      <c r="CG497" s="87"/>
      <c r="CH497" s="87"/>
    </row>
    <row r="498" spans="74:86">
      <c r="BV498" s="87"/>
      <c r="BW498" s="87"/>
      <c r="BX498" s="87"/>
      <c r="BY498" s="87"/>
      <c r="BZ498" s="87"/>
      <c r="CA498" s="87"/>
      <c r="CB498" s="87"/>
      <c r="CC498" s="87"/>
      <c r="CD498" s="87"/>
      <c r="CE498" s="87"/>
      <c r="CF498" s="87"/>
      <c r="CG498" s="87"/>
      <c r="CH498" s="87"/>
    </row>
    <row r="499" spans="74:86">
      <c r="BV499" s="87"/>
      <c r="BW499" s="87"/>
      <c r="BX499" s="87"/>
      <c r="BY499" s="87"/>
      <c r="BZ499" s="87"/>
      <c r="CA499" s="87"/>
      <c r="CB499" s="87"/>
      <c r="CC499" s="87"/>
      <c r="CD499" s="87"/>
      <c r="CE499" s="87"/>
      <c r="CF499" s="87"/>
      <c r="CG499" s="87"/>
      <c r="CH499" s="87"/>
    </row>
    <row r="500" spans="74:86">
      <c r="BV500" s="87"/>
      <c r="BW500" s="87"/>
      <c r="BX500" s="87"/>
      <c r="BY500" s="87"/>
      <c r="BZ500" s="87"/>
      <c r="CA500" s="87"/>
      <c r="CB500" s="87"/>
      <c r="CC500" s="87"/>
      <c r="CD500" s="87"/>
      <c r="CE500" s="87"/>
      <c r="CF500" s="87"/>
      <c r="CG500" s="87"/>
      <c r="CH500" s="87"/>
    </row>
    <row r="501" spans="74:86">
      <c r="BV501" s="87"/>
      <c r="BW501" s="87"/>
      <c r="BX501" s="87"/>
      <c r="BY501" s="87"/>
      <c r="BZ501" s="87"/>
      <c r="CA501" s="87"/>
      <c r="CB501" s="87"/>
      <c r="CC501" s="87"/>
      <c r="CD501" s="87"/>
      <c r="CE501" s="87"/>
      <c r="CF501" s="87"/>
      <c r="CG501" s="87"/>
      <c r="CH501" s="87"/>
    </row>
    <row r="502" spans="74:86">
      <c r="BV502" s="87"/>
      <c r="BW502" s="87"/>
      <c r="BX502" s="87"/>
      <c r="BY502" s="87"/>
      <c r="BZ502" s="87"/>
      <c r="CA502" s="87"/>
      <c r="CB502" s="87"/>
      <c r="CC502" s="87"/>
      <c r="CD502" s="87"/>
      <c r="CE502" s="87"/>
      <c r="CF502" s="87"/>
      <c r="CG502" s="87"/>
      <c r="CH502" s="87"/>
    </row>
    <row r="503" spans="74:86">
      <c r="BV503" s="87"/>
      <c r="BW503" s="87"/>
      <c r="BX503" s="87"/>
      <c r="BY503" s="87"/>
      <c r="BZ503" s="87"/>
      <c r="CA503" s="87"/>
      <c r="CB503" s="87"/>
      <c r="CC503" s="87"/>
      <c r="CD503" s="87"/>
      <c r="CE503" s="87"/>
      <c r="CF503" s="87"/>
      <c r="CG503" s="87"/>
      <c r="CH503" s="87"/>
    </row>
    <row r="504" spans="74:86">
      <c r="BV504" s="87"/>
      <c r="BW504" s="87"/>
      <c r="BX504" s="87"/>
      <c r="BY504" s="87"/>
      <c r="BZ504" s="87"/>
      <c r="CA504" s="87"/>
      <c r="CB504" s="87"/>
      <c r="CC504" s="87"/>
      <c r="CD504" s="87"/>
      <c r="CE504" s="87"/>
      <c r="CF504" s="87"/>
      <c r="CG504" s="87"/>
      <c r="CH504" s="87"/>
    </row>
    <row r="505" spans="74:86">
      <c r="BV505" s="87"/>
      <c r="BW505" s="87"/>
      <c r="BX505" s="87"/>
      <c r="BY505" s="87"/>
      <c r="BZ505" s="87"/>
      <c r="CA505" s="87"/>
      <c r="CB505" s="87"/>
      <c r="CC505" s="87"/>
      <c r="CD505" s="87"/>
      <c r="CE505" s="87"/>
      <c r="CF505" s="87"/>
      <c r="CG505" s="87"/>
      <c r="CH505" s="87"/>
    </row>
    <row r="506" spans="74:86">
      <c r="BV506" s="87"/>
      <c r="BW506" s="87"/>
      <c r="BX506" s="87"/>
      <c r="BY506" s="87"/>
      <c r="BZ506" s="87"/>
      <c r="CA506" s="87"/>
      <c r="CB506" s="87"/>
      <c r="CC506" s="87"/>
      <c r="CD506" s="87"/>
      <c r="CE506" s="87"/>
      <c r="CF506" s="87"/>
      <c r="CG506" s="87"/>
      <c r="CH506" s="87"/>
    </row>
    <row r="507" spans="74:86">
      <c r="BV507" s="87"/>
      <c r="BW507" s="87"/>
      <c r="BX507" s="87"/>
      <c r="BY507" s="87"/>
      <c r="BZ507" s="87"/>
      <c r="CA507" s="87"/>
      <c r="CB507" s="87"/>
      <c r="CC507" s="87"/>
      <c r="CD507" s="87"/>
      <c r="CE507" s="87"/>
      <c r="CF507" s="87"/>
      <c r="CG507" s="87"/>
      <c r="CH507" s="87"/>
    </row>
    <row r="508" spans="74:86">
      <c r="BV508" s="87"/>
      <c r="BW508" s="87"/>
      <c r="BX508" s="87"/>
      <c r="BY508" s="87"/>
      <c r="BZ508" s="87"/>
      <c r="CA508" s="87"/>
      <c r="CB508" s="87"/>
      <c r="CC508" s="87"/>
      <c r="CD508" s="87"/>
      <c r="CE508" s="87"/>
      <c r="CF508" s="87"/>
      <c r="CG508" s="87"/>
      <c r="CH508" s="87"/>
    </row>
    <row r="509" spans="74:86">
      <c r="BV509" s="87"/>
      <c r="BW509" s="87"/>
      <c r="BX509" s="87"/>
      <c r="BY509" s="87"/>
      <c r="BZ509" s="87"/>
      <c r="CA509" s="87"/>
      <c r="CB509" s="87"/>
      <c r="CC509" s="87"/>
      <c r="CD509" s="87"/>
      <c r="CE509" s="87"/>
      <c r="CF509" s="87"/>
      <c r="CG509" s="87"/>
      <c r="CH509" s="87"/>
    </row>
    <row r="510" spans="74:86">
      <c r="BV510" s="87"/>
      <c r="BW510" s="87"/>
      <c r="BX510" s="87"/>
      <c r="BY510" s="87"/>
      <c r="BZ510" s="87"/>
      <c r="CA510" s="87"/>
      <c r="CB510" s="87"/>
      <c r="CC510" s="87"/>
      <c r="CD510" s="87"/>
      <c r="CE510" s="87"/>
      <c r="CF510" s="87"/>
      <c r="CG510" s="87"/>
      <c r="CH510" s="87"/>
    </row>
    <row r="511" spans="74:86">
      <c r="BV511" s="87"/>
      <c r="BW511" s="87"/>
      <c r="BX511" s="87"/>
      <c r="BY511" s="87"/>
      <c r="BZ511" s="87"/>
      <c r="CA511" s="87"/>
      <c r="CB511" s="87"/>
      <c r="CC511" s="87"/>
      <c r="CD511" s="87"/>
      <c r="CE511" s="87"/>
      <c r="CF511" s="87"/>
      <c r="CG511" s="87"/>
      <c r="CH511" s="87"/>
    </row>
    <row r="512" spans="74:86">
      <c r="BV512" s="87"/>
      <c r="BW512" s="87"/>
      <c r="BX512" s="87"/>
      <c r="BY512" s="87"/>
      <c r="BZ512" s="87"/>
      <c r="CA512" s="87"/>
      <c r="CB512" s="87"/>
      <c r="CC512" s="87"/>
      <c r="CD512" s="87"/>
      <c r="CE512" s="87"/>
      <c r="CF512" s="87"/>
      <c r="CG512" s="87"/>
      <c r="CH512" s="87"/>
    </row>
    <row r="513" spans="74:86">
      <c r="BV513" s="87"/>
      <c r="BW513" s="87"/>
      <c r="BX513" s="87"/>
      <c r="BY513" s="87"/>
      <c r="BZ513" s="87"/>
      <c r="CA513" s="87"/>
      <c r="CB513" s="87"/>
      <c r="CC513" s="87"/>
      <c r="CD513" s="87"/>
      <c r="CE513" s="87"/>
      <c r="CF513" s="87"/>
      <c r="CG513" s="87"/>
      <c r="CH513" s="87"/>
    </row>
    <row r="514" spans="74:86">
      <c r="BV514" s="87"/>
      <c r="BW514" s="87"/>
      <c r="BX514" s="87"/>
      <c r="BY514" s="87"/>
      <c r="BZ514" s="87"/>
      <c r="CA514" s="87"/>
      <c r="CB514" s="87"/>
      <c r="CC514" s="87"/>
      <c r="CD514" s="87"/>
      <c r="CE514" s="87"/>
      <c r="CF514" s="87"/>
      <c r="CG514" s="87"/>
      <c r="CH514" s="87"/>
    </row>
    <row r="515" spans="74:86">
      <c r="BV515" s="87"/>
      <c r="BW515" s="87"/>
      <c r="BX515" s="87"/>
      <c r="BY515" s="87"/>
      <c r="BZ515" s="87"/>
      <c r="CA515" s="87"/>
      <c r="CB515" s="87"/>
      <c r="CC515" s="87"/>
      <c r="CD515" s="87"/>
      <c r="CE515" s="87"/>
      <c r="CF515" s="87"/>
      <c r="CG515" s="87"/>
      <c r="CH515" s="87"/>
    </row>
    <row r="516" spans="74:86">
      <c r="BV516" s="87"/>
      <c r="BW516" s="87"/>
      <c r="BX516" s="87"/>
      <c r="BY516" s="87"/>
      <c r="BZ516" s="87"/>
      <c r="CA516" s="87"/>
      <c r="CB516" s="87"/>
      <c r="CC516" s="87"/>
      <c r="CD516" s="87"/>
      <c r="CE516" s="87"/>
      <c r="CF516" s="87"/>
      <c r="CG516" s="87"/>
      <c r="CH516" s="87"/>
    </row>
    <row r="517" spans="74:86">
      <c r="BV517" s="87"/>
      <c r="BW517" s="87"/>
      <c r="BX517" s="87"/>
      <c r="BY517" s="87"/>
      <c r="BZ517" s="87"/>
      <c r="CA517" s="87"/>
      <c r="CB517" s="87"/>
      <c r="CC517" s="87"/>
      <c r="CD517" s="87"/>
      <c r="CE517" s="87"/>
      <c r="CF517" s="87"/>
      <c r="CG517" s="87"/>
      <c r="CH517" s="87"/>
    </row>
    <row r="518" spans="74:86">
      <c r="BV518" s="87"/>
      <c r="BW518" s="87"/>
      <c r="BX518" s="87"/>
      <c r="BY518" s="87"/>
      <c r="BZ518" s="87"/>
      <c r="CA518" s="87"/>
      <c r="CB518" s="87"/>
      <c r="CC518" s="87"/>
      <c r="CD518" s="87"/>
      <c r="CE518" s="87"/>
      <c r="CF518" s="87"/>
      <c r="CG518" s="87"/>
      <c r="CH518" s="87"/>
    </row>
    <row r="519" spans="74:86">
      <c r="BV519" s="87"/>
      <c r="BW519" s="87"/>
      <c r="BX519" s="87"/>
      <c r="BY519" s="87"/>
      <c r="BZ519" s="87"/>
      <c r="CA519" s="87"/>
      <c r="CB519" s="87"/>
      <c r="CC519" s="87"/>
      <c r="CD519" s="87"/>
      <c r="CE519" s="87"/>
      <c r="CF519" s="87"/>
      <c r="CG519" s="87"/>
      <c r="CH519" s="87"/>
    </row>
    <row r="520" spans="74:86">
      <c r="BV520" s="87"/>
      <c r="BW520" s="87"/>
      <c r="BX520" s="87"/>
      <c r="BY520" s="87"/>
      <c r="BZ520" s="87"/>
      <c r="CA520" s="87"/>
      <c r="CB520" s="87"/>
      <c r="CC520" s="87"/>
      <c r="CD520" s="87"/>
      <c r="CE520" s="87"/>
      <c r="CF520" s="87"/>
      <c r="CG520" s="87"/>
      <c r="CH520" s="87"/>
    </row>
    <row r="521" spans="74:86">
      <c r="BV521" s="87"/>
      <c r="BW521" s="87"/>
      <c r="BX521" s="87"/>
      <c r="BY521" s="87"/>
      <c r="BZ521" s="87"/>
      <c r="CA521" s="87"/>
      <c r="CB521" s="87"/>
      <c r="CC521" s="87"/>
      <c r="CD521" s="87"/>
      <c r="CE521" s="87"/>
      <c r="CF521" s="87"/>
      <c r="CG521" s="87"/>
      <c r="CH521" s="87"/>
    </row>
    <row r="522" spans="74:86">
      <c r="BV522" s="87"/>
      <c r="BW522" s="87"/>
      <c r="BX522" s="87"/>
      <c r="BY522" s="87"/>
      <c r="BZ522" s="87"/>
      <c r="CA522" s="87"/>
      <c r="CB522" s="87"/>
      <c r="CC522" s="87"/>
      <c r="CD522" s="87"/>
      <c r="CE522" s="87"/>
      <c r="CF522" s="87"/>
      <c r="CG522" s="87"/>
      <c r="CH522" s="87"/>
    </row>
    <row r="523" spans="74:86">
      <c r="BV523" s="87"/>
      <c r="BW523" s="87"/>
      <c r="BX523" s="87"/>
      <c r="BY523" s="87"/>
      <c r="BZ523" s="87"/>
      <c r="CA523" s="87"/>
      <c r="CB523" s="87"/>
      <c r="CC523" s="87"/>
      <c r="CD523" s="87"/>
      <c r="CE523" s="87"/>
      <c r="CF523" s="87"/>
      <c r="CG523" s="87"/>
      <c r="CH523" s="87"/>
    </row>
    <row r="524" spans="74:86">
      <c r="BV524" s="87"/>
      <c r="BW524" s="87"/>
      <c r="BX524" s="87"/>
      <c r="BY524" s="87"/>
      <c r="BZ524" s="87"/>
      <c r="CA524" s="87"/>
      <c r="CB524" s="87"/>
      <c r="CC524" s="87"/>
      <c r="CD524" s="87"/>
      <c r="CE524" s="87"/>
      <c r="CF524" s="87"/>
      <c r="CG524" s="87"/>
      <c r="CH524" s="87"/>
    </row>
    <row r="525" spans="74:86">
      <c r="BV525" s="87"/>
      <c r="BW525" s="87"/>
      <c r="BX525" s="87"/>
      <c r="BY525" s="87"/>
      <c r="BZ525" s="87"/>
      <c r="CA525" s="87"/>
      <c r="CB525" s="87"/>
      <c r="CC525" s="87"/>
      <c r="CD525" s="87"/>
      <c r="CE525" s="87"/>
      <c r="CF525" s="87"/>
      <c r="CG525" s="87"/>
      <c r="CH525" s="87"/>
    </row>
    <row r="526" spans="74:86">
      <c r="BV526" s="87"/>
      <c r="BW526" s="87"/>
      <c r="BX526" s="87"/>
      <c r="BY526" s="87"/>
      <c r="BZ526" s="87"/>
      <c r="CA526" s="87"/>
      <c r="CB526" s="87"/>
      <c r="CC526" s="87"/>
      <c r="CD526" s="87"/>
      <c r="CE526" s="87"/>
      <c r="CF526" s="87"/>
      <c r="CG526" s="87"/>
      <c r="CH526" s="87"/>
    </row>
    <row r="527" spans="74:86">
      <c r="BV527" s="87"/>
      <c r="BW527" s="87"/>
      <c r="BX527" s="87"/>
      <c r="BY527" s="87"/>
      <c r="BZ527" s="87"/>
      <c r="CA527" s="87"/>
      <c r="CB527" s="87"/>
      <c r="CC527" s="87"/>
      <c r="CD527" s="87"/>
      <c r="CE527" s="87"/>
      <c r="CF527" s="87"/>
      <c r="CG527" s="87"/>
      <c r="CH527" s="87"/>
    </row>
    <row r="528" spans="74:86">
      <c r="BV528" s="87"/>
      <c r="BW528" s="87"/>
      <c r="BX528" s="87"/>
      <c r="BY528" s="87"/>
      <c r="BZ528" s="87"/>
      <c r="CA528" s="87"/>
      <c r="CB528" s="87"/>
      <c r="CC528" s="87"/>
      <c r="CD528" s="87"/>
      <c r="CE528" s="87"/>
      <c r="CF528" s="87"/>
      <c r="CG528" s="87"/>
      <c r="CH528" s="87"/>
    </row>
    <row r="529" spans="74:86">
      <c r="BV529" s="87"/>
      <c r="BW529" s="87"/>
      <c r="BX529" s="87"/>
      <c r="BY529" s="87"/>
      <c r="BZ529" s="87"/>
      <c r="CA529" s="87"/>
      <c r="CB529" s="87"/>
      <c r="CC529" s="87"/>
      <c r="CD529" s="87"/>
      <c r="CE529" s="87"/>
      <c r="CF529" s="87"/>
      <c r="CG529" s="87"/>
      <c r="CH529" s="87"/>
    </row>
    <row r="530" spans="74:86">
      <c r="BV530" s="87"/>
      <c r="BW530" s="87"/>
      <c r="BX530" s="87"/>
      <c r="BY530" s="87"/>
      <c r="BZ530" s="87"/>
      <c r="CA530" s="87"/>
      <c r="CB530" s="87"/>
      <c r="CC530" s="87"/>
      <c r="CD530" s="87"/>
      <c r="CE530" s="87"/>
      <c r="CF530" s="87"/>
      <c r="CG530" s="87"/>
      <c r="CH530" s="87"/>
    </row>
    <row r="531" spans="74:86">
      <c r="BV531" s="87"/>
      <c r="BW531" s="87"/>
      <c r="BX531" s="87"/>
      <c r="BY531" s="87"/>
      <c r="BZ531" s="87"/>
      <c r="CA531" s="87"/>
      <c r="CB531" s="87"/>
      <c r="CC531" s="87"/>
      <c r="CD531" s="87"/>
      <c r="CE531" s="87"/>
      <c r="CF531" s="87"/>
      <c r="CG531" s="87"/>
      <c r="CH531" s="87"/>
    </row>
    <row r="532" spans="74:86">
      <c r="BV532" s="87"/>
      <c r="BW532" s="87"/>
      <c r="BX532" s="87"/>
      <c r="BY532" s="87"/>
      <c r="BZ532" s="87"/>
      <c r="CA532" s="87"/>
      <c r="CB532" s="87"/>
      <c r="CC532" s="87"/>
      <c r="CD532" s="87"/>
      <c r="CE532" s="87"/>
      <c r="CF532" s="87"/>
      <c r="CG532" s="87"/>
      <c r="CH532" s="87"/>
    </row>
    <row r="533" spans="74:86">
      <c r="BV533" s="87"/>
      <c r="BW533" s="87"/>
      <c r="BX533" s="87"/>
      <c r="BY533" s="87"/>
      <c r="BZ533" s="87"/>
      <c r="CA533" s="87"/>
      <c r="CB533" s="87"/>
      <c r="CC533" s="87"/>
      <c r="CD533" s="87"/>
      <c r="CE533" s="87"/>
      <c r="CF533" s="87"/>
      <c r="CG533" s="87"/>
      <c r="CH533" s="87"/>
    </row>
    <row r="534" spans="74:86">
      <c r="BV534" s="87"/>
      <c r="BW534" s="87"/>
      <c r="BX534" s="87"/>
      <c r="BY534" s="87"/>
      <c r="BZ534" s="87"/>
      <c r="CA534" s="87"/>
      <c r="CB534" s="87"/>
      <c r="CC534" s="87"/>
      <c r="CD534" s="87"/>
      <c r="CE534" s="87"/>
      <c r="CF534" s="87"/>
      <c r="CG534" s="87"/>
      <c r="CH534" s="87"/>
    </row>
    <row r="535" spans="74:86">
      <c r="BV535" s="87"/>
      <c r="BW535" s="87"/>
      <c r="BX535" s="87"/>
      <c r="BY535" s="87"/>
      <c r="BZ535" s="87"/>
      <c r="CA535" s="87"/>
      <c r="CB535" s="87"/>
      <c r="CC535" s="87"/>
      <c r="CD535" s="87"/>
      <c r="CE535" s="87"/>
      <c r="CF535" s="87"/>
      <c r="CG535" s="87"/>
      <c r="CH535" s="87"/>
    </row>
    <row r="536" spans="74:86">
      <c r="BV536" s="87"/>
      <c r="BW536" s="87"/>
      <c r="BX536" s="87"/>
      <c r="BY536" s="87"/>
      <c r="BZ536" s="87"/>
      <c r="CA536" s="87"/>
      <c r="CB536" s="87"/>
      <c r="CC536" s="87"/>
      <c r="CD536" s="87"/>
      <c r="CE536" s="87"/>
      <c r="CF536" s="87"/>
      <c r="CG536" s="87"/>
      <c r="CH536" s="87"/>
    </row>
    <row r="537" spans="74:86">
      <c r="BV537" s="87"/>
      <c r="BW537" s="87"/>
      <c r="BX537" s="87"/>
      <c r="BY537" s="87"/>
      <c r="BZ537" s="87"/>
      <c r="CA537" s="87"/>
      <c r="CB537" s="87"/>
      <c r="CC537" s="87"/>
      <c r="CD537" s="87"/>
      <c r="CE537" s="87"/>
      <c r="CF537" s="87"/>
      <c r="CG537" s="87"/>
      <c r="CH537" s="87"/>
    </row>
    <row r="538" spans="74:86">
      <c r="BV538" s="87"/>
      <c r="BW538" s="87"/>
      <c r="BX538" s="87"/>
      <c r="BY538" s="87"/>
      <c r="BZ538" s="87"/>
      <c r="CA538" s="87"/>
      <c r="CB538" s="87"/>
      <c r="CC538" s="87"/>
      <c r="CD538" s="87"/>
      <c r="CE538" s="87"/>
      <c r="CF538" s="87"/>
      <c r="CG538" s="87"/>
      <c r="CH538" s="87"/>
    </row>
    <row r="539" spans="74:86">
      <c r="BV539" s="87"/>
      <c r="BW539" s="87"/>
      <c r="BX539" s="87"/>
      <c r="BY539" s="87"/>
      <c r="BZ539" s="87"/>
      <c r="CA539" s="87"/>
      <c r="CB539" s="87"/>
      <c r="CC539" s="87"/>
      <c r="CD539" s="87"/>
      <c r="CE539" s="87"/>
      <c r="CF539" s="87"/>
      <c r="CG539" s="87"/>
      <c r="CH539" s="87"/>
    </row>
    <row r="540" spans="74:86">
      <c r="BV540" s="87"/>
      <c r="BW540" s="87"/>
      <c r="BX540" s="87"/>
      <c r="BY540" s="87"/>
      <c r="BZ540" s="87"/>
      <c r="CA540" s="87"/>
      <c r="CB540" s="87"/>
      <c r="CC540" s="87"/>
      <c r="CD540" s="87"/>
      <c r="CE540" s="87"/>
      <c r="CF540" s="87"/>
      <c r="CG540" s="87"/>
      <c r="CH540" s="87"/>
    </row>
    <row r="541" spans="74:86">
      <c r="BV541" s="87"/>
      <c r="BW541" s="87"/>
      <c r="BX541" s="87"/>
      <c r="BY541" s="87"/>
      <c r="BZ541" s="87"/>
      <c r="CA541" s="87"/>
      <c r="CB541" s="87"/>
      <c r="CC541" s="87"/>
      <c r="CD541" s="87"/>
      <c r="CE541" s="87"/>
      <c r="CF541" s="87"/>
      <c r="CG541" s="87"/>
      <c r="CH541" s="87"/>
    </row>
    <row r="542" spans="74:86">
      <c r="BV542" s="87"/>
      <c r="BW542" s="87"/>
      <c r="BX542" s="87"/>
      <c r="BY542" s="87"/>
      <c r="BZ542" s="87"/>
      <c r="CA542" s="87"/>
      <c r="CB542" s="87"/>
      <c r="CC542" s="87"/>
      <c r="CD542" s="87"/>
      <c r="CE542" s="87"/>
      <c r="CF542" s="87"/>
      <c r="CG542" s="87"/>
      <c r="CH542" s="87"/>
    </row>
    <row r="543" spans="74:86">
      <c r="BV543" s="87"/>
      <c r="BW543" s="87"/>
      <c r="BX543" s="87"/>
      <c r="BY543" s="87"/>
      <c r="BZ543" s="87"/>
      <c r="CA543" s="87"/>
      <c r="CB543" s="87"/>
      <c r="CC543" s="87"/>
      <c r="CD543" s="87"/>
      <c r="CE543" s="87"/>
      <c r="CF543" s="87"/>
      <c r="CG543" s="87"/>
      <c r="CH543" s="87"/>
    </row>
    <row r="544" spans="74:86">
      <c r="BV544" s="87"/>
      <c r="BW544" s="87"/>
      <c r="BX544" s="87"/>
      <c r="BY544" s="87"/>
      <c r="BZ544" s="87"/>
      <c r="CA544" s="87"/>
      <c r="CB544" s="87"/>
      <c r="CC544" s="87"/>
      <c r="CD544" s="87"/>
      <c r="CE544" s="87"/>
      <c r="CF544" s="87"/>
      <c r="CG544" s="87"/>
      <c r="CH544" s="87"/>
    </row>
    <row r="545" spans="74:86">
      <c r="BV545" s="87"/>
      <c r="BW545" s="87"/>
      <c r="BX545" s="87"/>
      <c r="BY545" s="87"/>
      <c r="BZ545" s="87"/>
      <c r="CA545" s="87"/>
      <c r="CB545" s="87"/>
      <c r="CC545" s="87"/>
      <c r="CD545" s="87"/>
      <c r="CE545" s="87"/>
      <c r="CF545" s="87"/>
      <c r="CG545" s="87"/>
      <c r="CH545" s="87"/>
    </row>
    <row r="546" spans="74:86">
      <c r="BV546" s="87"/>
      <c r="BW546" s="87"/>
      <c r="BX546" s="87"/>
      <c r="BY546" s="87"/>
      <c r="BZ546" s="87"/>
      <c r="CA546" s="87"/>
      <c r="CB546" s="87"/>
      <c r="CC546" s="87"/>
      <c r="CD546" s="87"/>
      <c r="CE546" s="87"/>
      <c r="CF546" s="87"/>
      <c r="CG546" s="87"/>
      <c r="CH546" s="87"/>
    </row>
    <row r="547" spans="74:86">
      <c r="BV547" s="87"/>
      <c r="BW547" s="87"/>
      <c r="BX547" s="87"/>
      <c r="BY547" s="87"/>
      <c r="BZ547" s="87"/>
      <c r="CA547" s="87"/>
      <c r="CB547" s="87"/>
      <c r="CC547" s="87"/>
      <c r="CD547" s="87"/>
      <c r="CE547" s="87"/>
      <c r="CF547" s="87"/>
      <c r="CG547" s="87"/>
      <c r="CH547" s="87"/>
    </row>
    <row r="548" spans="74:86">
      <c r="BV548" s="87"/>
      <c r="BW548" s="87"/>
      <c r="BX548" s="87"/>
      <c r="BY548" s="87"/>
      <c r="BZ548" s="87"/>
      <c r="CA548" s="87"/>
      <c r="CB548" s="87"/>
      <c r="CC548" s="87"/>
      <c r="CD548" s="87"/>
      <c r="CE548" s="87"/>
      <c r="CF548" s="87"/>
      <c r="CG548" s="87"/>
      <c r="CH548" s="87"/>
    </row>
    <row r="549" spans="74:86">
      <c r="BV549" s="87"/>
      <c r="BW549" s="87"/>
      <c r="BX549" s="87"/>
      <c r="BY549" s="87"/>
      <c r="BZ549" s="87"/>
      <c r="CA549" s="87"/>
      <c r="CB549" s="87"/>
      <c r="CC549" s="87"/>
      <c r="CD549" s="87"/>
      <c r="CE549" s="87"/>
      <c r="CF549" s="87"/>
      <c r="CG549" s="87"/>
      <c r="CH549" s="87"/>
    </row>
    <row r="550" spans="74:86">
      <c r="BV550" s="87"/>
      <c r="BW550" s="87"/>
      <c r="BX550" s="87"/>
      <c r="BY550" s="87"/>
      <c r="BZ550" s="87"/>
      <c r="CA550" s="87"/>
      <c r="CB550" s="87"/>
      <c r="CC550" s="87"/>
      <c r="CD550" s="87"/>
      <c r="CE550" s="87"/>
      <c r="CF550" s="87"/>
      <c r="CG550" s="87"/>
      <c r="CH550" s="87"/>
    </row>
    <row r="551" spans="74:86">
      <c r="BV551" s="87"/>
      <c r="BW551" s="87"/>
      <c r="BX551" s="87"/>
      <c r="BY551" s="87"/>
      <c r="BZ551" s="87"/>
      <c r="CA551" s="87"/>
      <c r="CB551" s="87"/>
      <c r="CC551" s="87"/>
      <c r="CD551" s="87"/>
      <c r="CE551" s="87"/>
      <c r="CF551" s="87"/>
      <c r="CG551" s="87"/>
      <c r="CH551" s="87"/>
    </row>
    <row r="552" spans="74:86">
      <c r="BV552" s="87"/>
      <c r="BW552" s="87"/>
      <c r="BX552" s="87"/>
      <c r="BY552" s="87"/>
      <c r="BZ552" s="87"/>
      <c r="CA552" s="87"/>
      <c r="CB552" s="87"/>
      <c r="CC552" s="87"/>
      <c r="CD552" s="87"/>
      <c r="CE552" s="87"/>
      <c r="CF552" s="87"/>
      <c r="CG552" s="87"/>
      <c r="CH552" s="87"/>
    </row>
    <row r="553" spans="74:86">
      <c r="BV553" s="87"/>
      <c r="BW553" s="87"/>
      <c r="BX553" s="87"/>
      <c r="BY553" s="87"/>
      <c r="BZ553" s="87"/>
      <c r="CA553" s="87"/>
      <c r="CB553" s="87"/>
      <c r="CC553" s="87"/>
      <c r="CD553" s="87"/>
      <c r="CE553" s="87"/>
      <c r="CF553" s="87"/>
      <c r="CG553" s="87"/>
      <c r="CH553" s="87"/>
    </row>
    <row r="554" spans="74:86">
      <c r="BV554" s="87"/>
      <c r="BW554" s="87"/>
      <c r="BX554" s="87"/>
      <c r="BY554" s="87"/>
      <c r="BZ554" s="87"/>
      <c r="CA554" s="87"/>
      <c r="CB554" s="87"/>
      <c r="CC554" s="87"/>
      <c r="CD554" s="87"/>
      <c r="CE554" s="87"/>
      <c r="CF554" s="87"/>
      <c r="CG554" s="87"/>
      <c r="CH554" s="87"/>
    </row>
    <row r="555" spans="74:86">
      <c r="BV555" s="87"/>
      <c r="BW555" s="87"/>
      <c r="BX555" s="87"/>
      <c r="BY555" s="87"/>
      <c r="BZ555" s="87"/>
      <c r="CA555" s="87"/>
      <c r="CB555" s="87"/>
      <c r="CC555" s="87"/>
      <c r="CD555" s="87"/>
      <c r="CE555" s="87"/>
      <c r="CF555" s="87"/>
      <c r="CG555" s="87"/>
      <c r="CH555" s="87"/>
    </row>
    <row r="556" spans="74:86">
      <c r="BV556" s="87"/>
      <c r="BW556" s="87"/>
      <c r="BX556" s="87"/>
      <c r="BY556" s="87"/>
      <c r="BZ556" s="87"/>
      <c r="CA556" s="87"/>
      <c r="CB556" s="87"/>
      <c r="CC556" s="87"/>
      <c r="CD556" s="87"/>
      <c r="CE556" s="87"/>
      <c r="CF556" s="87"/>
      <c r="CG556" s="87"/>
      <c r="CH556" s="87"/>
    </row>
    <row r="557" spans="74:86">
      <c r="BV557" s="87"/>
      <c r="BW557" s="87"/>
      <c r="BX557" s="87"/>
      <c r="BY557" s="87"/>
      <c r="BZ557" s="87"/>
      <c r="CA557" s="87"/>
      <c r="CB557" s="87"/>
      <c r="CC557" s="87"/>
      <c r="CD557" s="87"/>
      <c r="CE557" s="87"/>
      <c r="CF557" s="87"/>
      <c r="CG557" s="87"/>
      <c r="CH557" s="87"/>
    </row>
    <row r="558" spans="74:86">
      <c r="BV558" s="87"/>
      <c r="BW558" s="87"/>
      <c r="BX558" s="87"/>
      <c r="BY558" s="87"/>
      <c r="BZ558" s="87"/>
      <c r="CA558" s="87"/>
      <c r="CB558" s="87"/>
      <c r="CC558" s="87"/>
      <c r="CD558" s="87"/>
      <c r="CE558" s="87"/>
      <c r="CF558" s="87"/>
      <c r="CG558" s="87"/>
      <c r="CH558" s="87"/>
    </row>
    <row r="559" spans="74:86">
      <c r="BV559" s="87"/>
      <c r="BW559" s="87"/>
      <c r="BX559" s="87"/>
      <c r="BY559" s="87"/>
      <c r="BZ559" s="87"/>
      <c r="CA559" s="87"/>
      <c r="CB559" s="87"/>
      <c r="CC559" s="87"/>
      <c r="CD559" s="87"/>
      <c r="CE559" s="87"/>
      <c r="CF559" s="87"/>
      <c r="CG559" s="87"/>
      <c r="CH559" s="87"/>
    </row>
    <row r="560" spans="74:86">
      <c r="BV560" s="87"/>
      <c r="BW560" s="87"/>
      <c r="BX560" s="87"/>
      <c r="BY560" s="87"/>
      <c r="BZ560" s="87"/>
      <c r="CA560" s="87"/>
      <c r="CB560" s="87"/>
      <c r="CC560" s="87"/>
      <c r="CD560" s="87"/>
      <c r="CE560" s="87"/>
      <c r="CF560" s="87"/>
      <c r="CG560" s="87"/>
      <c r="CH560" s="87"/>
    </row>
    <row r="561" spans="74:86">
      <c r="BV561" s="87"/>
      <c r="BW561" s="87"/>
      <c r="BX561" s="87"/>
      <c r="BY561" s="87"/>
      <c r="BZ561" s="87"/>
      <c r="CA561" s="87"/>
      <c r="CB561" s="87"/>
      <c r="CC561" s="87"/>
      <c r="CD561" s="87"/>
      <c r="CE561" s="87"/>
      <c r="CF561" s="87"/>
      <c r="CG561" s="87"/>
      <c r="CH561" s="87"/>
    </row>
    <row r="562" spans="74:86">
      <c r="BV562" s="87"/>
      <c r="BW562" s="87"/>
      <c r="BX562" s="87"/>
      <c r="BY562" s="87"/>
      <c r="BZ562" s="87"/>
      <c r="CA562" s="87"/>
      <c r="CB562" s="87"/>
      <c r="CC562" s="87"/>
      <c r="CD562" s="87"/>
      <c r="CE562" s="87"/>
      <c r="CF562" s="87"/>
      <c r="CG562" s="87"/>
      <c r="CH562" s="87"/>
    </row>
    <row r="563" spans="74:86">
      <c r="BV563" s="87"/>
      <c r="BW563" s="87"/>
      <c r="BX563" s="87"/>
      <c r="BY563" s="87"/>
      <c r="BZ563" s="87"/>
      <c r="CA563" s="87"/>
      <c r="CB563" s="87"/>
      <c r="CC563" s="87"/>
      <c r="CD563" s="87"/>
      <c r="CE563" s="87"/>
      <c r="CF563" s="87"/>
      <c r="CG563" s="87"/>
      <c r="CH563" s="87"/>
    </row>
    <row r="564" spans="74:86">
      <c r="BV564" s="87"/>
      <c r="BW564" s="87"/>
      <c r="BX564" s="87"/>
      <c r="BY564" s="87"/>
      <c r="BZ564" s="87"/>
      <c r="CA564" s="87"/>
      <c r="CB564" s="87"/>
      <c r="CC564" s="87"/>
      <c r="CD564" s="87"/>
      <c r="CE564" s="87"/>
      <c r="CF564" s="87"/>
      <c r="CG564" s="87"/>
      <c r="CH564" s="87"/>
    </row>
    <row r="565" spans="74:86">
      <c r="BV565" s="87"/>
      <c r="BW565" s="87"/>
      <c r="BX565" s="87"/>
      <c r="BY565" s="87"/>
      <c r="BZ565" s="87"/>
      <c r="CA565" s="87"/>
      <c r="CB565" s="87"/>
      <c r="CC565" s="87"/>
      <c r="CD565" s="87"/>
      <c r="CE565" s="87"/>
      <c r="CF565" s="87"/>
      <c r="CG565" s="87"/>
      <c r="CH565" s="87"/>
    </row>
    <row r="566" spans="74:86">
      <c r="BV566" s="87"/>
      <c r="BW566" s="87"/>
      <c r="BX566" s="87"/>
      <c r="BY566" s="87"/>
      <c r="BZ566" s="87"/>
      <c r="CA566" s="87"/>
      <c r="CB566" s="87"/>
      <c r="CC566" s="87"/>
      <c r="CD566" s="87"/>
      <c r="CE566" s="87"/>
      <c r="CF566" s="87"/>
      <c r="CG566" s="87"/>
      <c r="CH566" s="87"/>
    </row>
    <row r="567" spans="74:86">
      <c r="BV567" s="87"/>
      <c r="BW567" s="87"/>
      <c r="BX567" s="87"/>
      <c r="BY567" s="87"/>
      <c r="BZ567" s="87"/>
      <c r="CA567" s="87"/>
      <c r="CB567" s="87"/>
      <c r="CC567" s="87"/>
      <c r="CD567" s="87"/>
      <c r="CE567" s="87"/>
      <c r="CF567" s="87"/>
      <c r="CG567" s="87"/>
      <c r="CH567" s="87"/>
    </row>
    <row r="568" spans="74:86">
      <c r="BV568" s="87"/>
      <c r="BW568" s="87"/>
      <c r="BX568" s="87"/>
      <c r="BY568" s="87"/>
      <c r="BZ568" s="87"/>
      <c r="CA568" s="87"/>
      <c r="CB568" s="87"/>
      <c r="CC568" s="87"/>
      <c r="CD568" s="87"/>
      <c r="CE568" s="87"/>
      <c r="CF568" s="87"/>
      <c r="CG568" s="87"/>
      <c r="CH568" s="87"/>
    </row>
    <row r="569" spans="74:86">
      <c r="BV569" s="87"/>
      <c r="BW569" s="87"/>
      <c r="BX569" s="87"/>
      <c r="BY569" s="87"/>
      <c r="BZ569" s="87"/>
      <c r="CA569" s="87"/>
      <c r="CB569" s="87"/>
      <c r="CC569" s="87"/>
      <c r="CD569" s="87"/>
      <c r="CE569" s="87"/>
      <c r="CF569" s="87"/>
      <c r="CG569" s="87"/>
      <c r="CH569" s="87"/>
    </row>
    <row r="570" spans="74:86">
      <c r="BV570" s="87"/>
      <c r="BW570" s="87"/>
      <c r="BX570" s="87"/>
      <c r="BY570" s="87"/>
      <c r="BZ570" s="87"/>
      <c r="CA570" s="87"/>
      <c r="CB570" s="87"/>
      <c r="CC570" s="87"/>
      <c r="CD570" s="87"/>
      <c r="CE570" s="87"/>
      <c r="CF570" s="87"/>
      <c r="CG570" s="87"/>
      <c r="CH570" s="87"/>
    </row>
    <row r="571" spans="74:86">
      <c r="BV571" s="87"/>
      <c r="BW571" s="87"/>
      <c r="BX571" s="87"/>
      <c r="BY571" s="87"/>
      <c r="BZ571" s="87"/>
      <c r="CA571" s="87"/>
      <c r="CB571" s="87"/>
      <c r="CC571" s="87"/>
      <c r="CD571" s="87"/>
      <c r="CE571" s="87"/>
      <c r="CF571" s="87"/>
      <c r="CG571" s="87"/>
      <c r="CH571" s="87"/>
    </row>
    <row r="572" spans="74:86">
      <c r="BV572" s="87"/>
      <c r="BW572" s="87"/>
      <c r="BX572" s="87"/>
      <c r="BY572" s="87"/>
      <c r="BZ572" s="87"/>
      <c r="CA572" s="87"/>
      <c r="CB572" s="87"/>
      <c r="CC572" s="87"/>
      <c r="CD572" s="87"/>
      <c r="CE572" s="87"/>
      <c r="CF572" s="87"/>
      <c r="CG572" s="87"/>
      <c r="CH572" s="87"/>
    </row>
    <row r="573" spans="74:86">
      <c r="BV573" s="87"/>
      <c r="BW573" s="87"/>
      <c r="BX573" s="87"/>
      <c r="BY573" s="87"/>
      <c r="BZ573" s="87"/>
      <c r="CA573" s="87"/>
      <c r="CB573" s="87"/>
      <c r="CC573" s="87"/>
      <c r="CD573" s="87"/>
      <c r="CE573" s="87"/>
      <c r="CF573" s="87"/>
      <c r="CG573" s="87"/>
      <c r="CH573" s="87"/>
    </row>
    <row r="574" spans="74:86">
      <c r="BV574" s="87"/>
      <c r="BW574" s="87"/>
      <c r="BX574" s="87"/>
      <c r="BY574" s="87"/>
      <c r="BZ574" s="87"/>
      <c r="CA574" s="87"/>
      <c r="CB574" s="87"/>
      <c r="CC574" s="87"/>
      <c r="CD574" s="87"/>
      <c r="CE574" s="87"/>
      <c r="CF574" s="87"/>
      <c r="CG574" s="87"/>
      <c r="CH574" s="87"/>
    </row>
    <row r="575" spans="74:86">
      <c r="BV575" s="87"/>
      <c r="BW575" s="87"/>
      <c r="BX575" s="87"/>
      <c r="BY575" s="87"/>
      <c r="BZ575" s="87"/>
      <c r="CA575" s="87"/>
      <c r="CB575" s="87"/>
      <c r="CC575" s="87"/>
      <c r="CD575" s="87"/>
      <c r="CE575" s="87"/>
      <c r="CF575" s="87"/>
      <c r="CG575" s="87"/>
      <c r="CH575" s="87"/>
    </row>
    <row r="576" spans="74:86">
      <c r="BV576" s="87"/>
      <c r="BW576" s="87"/>
      <c r="BX576" s="87"/>
      <c r="BY576" s="87"/>
      <c r="BZ576" s="87"/>
      <c r="CA576" s="87"/>
      <c r="CB576" s="87"/>
      <c r="CC576" s="87"/>
      <c r="CD576" s="87"/>
      <c r="CE576" s="87"/>
      <c r="CF576" s="87"/>
      <c r="CG576" s="87"/>
      <c r="CH576" s="87"/>
    </row>
    <row r="577" spans="74:86">
      <c r="BV577" s="87"/>
      <c r="BW577" s="87"/>
      <c r="BX577" s="87"/>
      <c r="BY577" s="87"/>
      <c r="BZ577" s="87"/>
      <c r="CA577" s="87"/>
      <c r="CB577" s="87"/>
      <c r="CC577" s="87"/>
      <c r="CD577" s="87"/>
      <c r="CE577" s="87"/>
      <c r="CF577" s="87"/>
      <c r="CG577" s="87"/>
      <c r="CH577" s="87"/>
    </row>
    <row r="578" spans="74:86">
      <c r="BV578" s="87"/>
      <c r="BW578" s="87"/>
      <c r="BX578" s="87"/>
      <c r="BY578" s="87"/>
      <c r="BZ578" s="87"/>
      <c r="CA578" s="87"/>
      <c r="CB578" s="87"/>
      <c r="CC578" s="87"/>
      <c r="CD578" s="87"/>
      <c r="CE578" s="87"/>
      <c r="CF578" s="87"/>
      <c r="CG578" s="87"/>
      <c r="CH578" s="87"/>
    </row>
    <row r="579" spans="74:86">
      <c r="BV579" s="87"/>
      <c r="BW579" s="87"/>
      <c r="BX579" s="87"/>
      <c r="BY579" s="87"/>
      <c r="BZ579" s="87"/>
      <c r="CA579" s="87"/>
      <c r="CB579" s="87"/>
      <c r="CC579" s="87"/>
      <c r="CD579" s="87"/>
      <c r="CE579" s="87"/>
      <c r="CF579" s="87"/>
      <c r="CG579" s="87"/>
      <c r="CH579" s="87"/>
    </row>
    <row r="580" spans="74:86">
      <c r="BV580" s="87"/>
      <c r="BW580" s="87"/>
      <c r="BX580" s="87"/>
      <c r="BY580" s="87"/>
      <c r="BZ580" s="87"/>
      <c r="CA580" s="87"/>
      <c r="CB580" s="87"/>
      <c r="CC580" s="87"/>
      <c r="CD580" s="87"/>
      <c r="CE580" s="87"/>
      <c r="CF580" s="87"/>
      <c r="CG580" s="87"/>
      <c r="CH580" s="87"/>
    </row>
    <row r="581" spans="74:86">
      <c r="BV581" s="87"/>
      <c r="BW581" s="87"/>
      <c r="BX581" s="87"/>
      <c r="BY581" s="87"/>
      <c r="BZ581" s="87"/>
      <c r="CA581" s="87"/>
      <c r="CB581" s="87"/>
      <c r="CC581" s="87"/>
      <c r="CD581" s="87"/>
      <c r="CE581" s="87"/>
      <c r="CF581" s="87"/>
      <c r="CG581" s="87"/>
      <c r="CH581" s="87"/>
    </row>
    <row r="582" spans="74:86">
      <c r="BV582" s="87"/>
      <c r="BW582" s="87"/>
      <c r="BX582" s="87"/>
      <c r="BY582" s="87"/>
      <c r="BZ582" s="87"/>
      <c r="CA582" s="87"/>
      <c r="CB582" s="87"/>
      <c r="CC582" s="87"/>
      <c r="CD582" s="87"/>
      <c r="CE582" s="87"/>
      <c r="CF582" s="87"/>
      <c r="CG582" s="87"/>
      <c r="CH582" s="87"/>
    </row>
    <row r="583" spans="74:86">
      <c r="BV583" s="87"/>
      <c r="BW583" s="87"/>
      <c r="BX583" s="87"/>
      <c r="BY583" s="87"/>
      <c r="BZ583" s="87"/>
      <c r="CA583" s="87"/>
      <c r="CB583" s="87"/>
      <c r="CC583" s="87"/>
      <c r="CD583" s="87"/>
      <c r="CE583" s="87"/>
      <c r="CF583" s="87"/>
      <c r="CG583" s="87"/>
      <c r="CH583" s="87"/>
    </row>
    <row r="584" spans="74:86">
      <c r="BV584" s="87"/>
      <c r="BW584" s="87"/>
      <c r="BX584" s="87"/>
      <c r="BY584" s="87"/>
      <c r="BZ584" s="87"/>
      <c r="CA584" s="87"/>
      <c r="CB584" s="87"/>
      <c r="CC584" s="87"/>
      <c r="CD584" s="87"/>
      <c r="CE584" s="87"/>
      <c r="CF584" s="87"/>
      <c r="CG584" s="87"/>
      <c r="CH584" s="87"/>
    </row>
    <row r="585" spans="74:86">
      <c r="BV585" s="87"/>
      <c r="BW585" s="87"/>
      <c r="BX585" s="87"/>
      <c r="BY585" s="87"/>
      <c r="BZ585" s="87"/>
      <c r="CA585" s="87"/>
      <c r="CB585" s="87"/>
      <c r="CC585" s="87"/>
      <c r="CD585" s="87"/>
      <c r="CE585" s="87"/>
      <c r="CF585" s="87"/>
      <c r="CG585" s="87"/>
      <c r="CH585" s="87"/>
    </row>
    <row r="586" spans="74:86">
      <c r="BV586" s="87"/>
      <c r="BW586" s="87"/>
      <c r="BX586" s="87"/>
      <c r="BY586" s="87"/>
      <c r="BZ586" s="87"/>
      <c r="CA586" s="87"/>
      <c r="CB586" s="87"/>
      <c r="CC586" s="87"/>
      <c r="CD586" s="87"/>
      <c r="CE586" s="87"/>
      <c r="CF586" s="87"/>
      <c r="CG586" s="87"/>
      <c r="CH586" s="87"/>
    </row>
    <row r="587" spans="74:86">
      <c r="BV587" s="87"/>
      <c r="BW587" s="87"/>
      <c r="BX587" s="87"/>
      <c r="BY587" s="87"/>
      <c r="BZ587" s="87"/>
      <c r="CA587" s="87"/>
      <c r="CB587" s="87"/>
      <c r="CC587" s="87"/>
      <c r="CD587" s="87"/>
      <c r="CE587" s="87"/>
      <c r="CF587" s="87"/>
      <c r="CG587" s="87"/>
      <c r="CH587" s="87"/>
    </row>
    <row r="588" spans="74:86">
      <c r="BV588" s="87"/>
      <c r="BW588" s="87"/>
      <c r="BX588" s="87"/>
      <c r="BY588" s="87"/>
      <c r="BZ588" s="87"/>
      <c r="CA588" s="87"/>
      <c r="CB588" s="87"/>
      <c r="CC588" s="87"/>
      <c r="CD588" s="87"/>
      <c r="CE588" s="87"/>
      <c r="CF588" s="87"/>
      <c r="CG588" s="87"/>
      <c r="CH588" s="87"/>
    </row>
    <row r="589" spans="74:86">
      <c r="BV589" s="87"/>
      <c r="BW589" s="87"/>
      <c r="BX589" s="87"/>
      <c r="BY589" s="87"/>
      <c r="BZ589" s="87"/>
      <c r="CA589" s="87"/>
      <c r="CB589" s="87"/>
      <c r="CC589" s="87"/>
      <c r="CD589" s="87"/>
      <c r="CE589" s="87"/>
      <c r="CF589" s="87"/>
      <c r="CG589" s="87"/>
      <c r="CH589" s="87"/>
    </row>
    <row r="590" spans="74:86">
      <c r="BV590" s="87"/>
      <c r="BW590" s="87"/>
      <c r="BX590" s="87"/>
      <c r="BY590" s="87"/>
      <c r="BZ590" s="87"/>
      <c r="CA590" s="87"/>
      <c r="CB590" s="87"/>
      <c r="CC590" s="87"/>
      <c r="CD590" s="87"/>
      <c r="CE590" s="87"/>
      <c r="CF590" s="87"/>
      <c r="CG590" s="87"/>
      <c r="CH590" s="87"/>
    </row>
    <row r="591" spans="74:86">
      <c r="BV591" s="87"/>
      <c r="BW591" s="87"/>
      <c r="BX591" s="87"/>
      <c r="BY591" s="87"/>
      <c r="BZ591" s="87"/>
      <c r="CA591" s="87"/>
      <c r="CB591" s="87"/>
      <c r="CC591" s="87"/>
      <c r="CD591" s="87"/>
      <c r="CE591" s="87"/>
      <c r="CF591" s="87"/>
      <c r="CG591" s="87"/>
      <c r="CH591" s="87"/>
    </row>
    <row r="592" spans="74:86">
      <c r="BV592" s="87"/>
      <c r="BW592" s="87"/>
      <c r="BX592" s="87"/>
      <c r="BY592" s="87"/>
      <c r="BZ592" s="87"/>
      <c r="CA592" s="87"/>
      <c r="CB592" s="87"/>
      <c r="CC592" s="87"/>
      <c r="CD592" s="87"/>
      <c r="CE592" s="87"/>
      <c r="CF592" s="87"/>
      <c r="CG592" s="87"/>
      <c r="CH592" s="87"/>
    </row>
    <row r="593" spans="74:86">
      <c r="BV593" s="87"/>
      <c r="BW593" s="87"/>
      <c r="BX593" s="87"/>
      <c r="BY593" s="87"/>
      <c r="BZ593" s="87"/>
      <c r="CA593" s="87"/>
      <c r="CB593" s="87"/>
      <c r="CC593" s="87"/>
      <c r="CD593" s="87"/>
      <c r="CE593" s="87"/>
      <c r="CF593" s="87"/>
      <c r="CG593" s="87"/>
      <c r="CH593" s="87"/>
    </row>
    <row r="594" spans="74:86">
      <c r="BV594" s="87"/>
      <c r="BW594" s="87"/>
      <c r="BX594" s="87"/>
      <c r="BY594" s="87"/>
      <c r="BZ594" s="87"/>
      <c r="CA594" s="87"/>
      <c r="CB594" s="87"/>
      <c r="CC594" s="87"/>
      <c r="CD594" s="87"/>
      <c r="CE594" s="87"/>
      <c r="CF594" s="87"/>
      <c r="CG594" s="87"/>
      <c r="CH594" s="87"/>
    </row>
    <row r="595" spans="74:86">
      <c r="BV595" s="87"/>
      <c r="BW595" s="87"/>
      <c r="BX595" s="87"/>
      <c r="BY595" s="87"/>
      <c r="BZ595" s="87"/>
      <c r="CA595" s="87"/>
      <c r="CB595" s="87"/>
      <c r="CC595" s="87"/>
      <c r="CD595" s="87"/>
      <c r="CE595" s="87"/>
      <c r="CF595" s="87"/>
      <c r="CG595" s="87"/>
      <c r="CH595" s="87"/>
    </row>
    <row r="596" spans="74:86">
      <c r="BV596" s="87"/>
      <c r="BW596" s="87"/>
      <c r="BX596" s="87"/>
      <c r="BY596" s="87"/>
      <c r="BZ596" s="87"/>
      <c r="CA596" s="87"/>
      <c r="CB596" s="87"/>
      <c r="CC596" s="87"/>
      <c r="CD596" s="87"/>
      <c r="CE596" s="87"/>
      <c r="CF596" s="87"/>
      <c r="CG596" s="87"/>
      <c r="CH596" s="87"/>
    </row>
    <row r="597" spans="74:86">
      <c r="BV597" s="87"/>
      <c r="BW597" s="87"/>
      <c r="BX597" s="87"/>
      <c r="BY597" s="87"/>
      <c r="BZ597" s="87"/>
      <c r="CA597" s="87"/>
      <c r="CB597" s="87"/>
      <c r="CC597" s="87"/>
      <c r="CD597" s="87"/>
      <c r="CE597" s="87"/>
      <c r="CF597" s="87"/>
      <c r="CG597" s="87"/>
      <c r="CH597" s="87"/>
    </row>
    <row r="598" spans="74:86">
      <c r="BV598" s="87"/>
      <c r="BW598" s="87"/>
      <c r="BX598" s="87"/>
      <c r="BY598" s="87"/>
      <c r="BZ598" s="87"/>
      <c r="CA598" s="87"/>
      <c r="CB598" s="87"/>
      <c r="CC598" s="87"/>
      <c r="CD598" s="87"/>
      <c r="CE598" s="87"/>
      <c r="CF598" s="87"/>
      <c r="CG598" s="87"/>
      <c r="CH598" s="87"/>
    </row>
    <row r="599" spans="74:86">
      <c r="BV599" s="87"/>
      <c r="BW599" s="87"/>
      <c r="BX599" s="87"/>
      <c r="BY599" s="87"/>
      <c r="BZ599" s="87"/>
      <c r="CA599" s="87"/>
      <c r="CB599" s="87"/>
      <c r="CC599" s="87"/>
      <c r="CD599" s="87"/>
      <c r="CE599" s="87"/>
      <c r="CF599" s="87"/>
      <c r="CG599" s="87"/>
      <c r="CH599" s="87"/>
    </row>
    <row r="600" spans="74:86">
      <c r="BV600" s="87"/>
      <c r="BW600" s="87"/>
      <c r="BX600" s="87"/>
      <c r="BY600" s="87"/>
      <c r="BZ600" s="87"/>
      <c r="CA600" s="87"/>
      <c r="CB600" s="87"/>
      <c r="CC600" s="87"/>
      <c r="CD600" s="87"/>
      <c r="CE600" s="87"/>
      <c r="CF600" s="87"/>
      <c r="CG600" s="87"/>
      <c r="CH600" s="87"/>
    </row>
    <row r="601" spans="74:86">
      <c r="BV601" s="87"/>
      <c r="BW601" s="87"/>
      <c r="BX601" s="87"/>
      <c r="BY601" s="87"/>
      <c r="BZ601" s="87"/>
      <c r="CA601" s="87"/>
      <c r="CB601" s="87"/>
      <c r="CC601" s="87"/>
      <c r="CD601" s="87"/>
      <c r="CE601" s="87"/>
      <c r="CF601" s="87"/>
      <c r="CG601" s="87"/>
      <c r="CH601" s="87"/>
    </row>
    <row r="602" spans="74:86">
      <c r="BV602" s="87"/>
      <c r="BW602" s="87"/>
      <c r="BX602" s="87"/>
      <c r="BY602" s="87"/>
      <c r="BZ602" s="87"/>
      <c r="CA602" s="87"/>
      <c r="CB602" s="87"/>
      <c r="CC602" s="87"/>
      <c r="CD602" s="87"/>
      <c r="CE602" s="87"/>
      <c r="CF602" s="87"/>
      <c r="CG602" s="87"/>
      <c r="CH602" s="87"/>
    </row>
    <row r="603" spans="74:86">
      <c r="BV603" s="87"/>
      <c r="BW603" s="87"/>
      <c r="BX603" s="87"/>
      <c r="BY603" s="87"/>
      <c r="BZ603" s="87"/>
      <c r="CA603" s="87"/>
      <c r="CB603" s="87"/>
      <c r="CC603" s="87"/>
      <c r="CD603" s="87"/>
      <c r="CE603" s="87"/>
      <c r="CF603" s="87"/>
      <c r="CG603" s="87"/>
      <c r="CH603" s="87"/>
    </row>
    <row r="604" spans="74:86">
      <c r="BV604" s="87"/>
      <c r="BW604" s="87"/>
      <c r="BX604" s="87"/>
      <c r="BY604" s="87"/>
      <c r="BZ604" s="87"/>
      <c r="CA604" s="87"/>
      <c r="CB604" s="87"/>
      <c r="CC604" s="87"/>
      <c r="CD604" s="87"/>
      <c r="CE604" s="87"/>
      <c r="CF604" s="87"/>
      <c r="CG604" s="87"/>
      <c r="CH604" s="87"/>
    </row>
    <row r="605" spans="74:86">
      <c r="BV605" s="87"/>
      <c r="BW605" s="87"/>
      <c r="BX605" s="87"/>
      <c r="BY605" s="87"/>
      <c r="BZ605" s="87"/>
      <c r="CA605" s="87"/>
      <c r="CB605" s="87"/>
      <c r="CC605" s="87"/>
      <c r="CD605" s="87"/>
      <c r="CE605" s="87"/>
      <c r="CF605" s="87"/>
      <c r="CG605" s="87"/>
      <c r="CH605" s="87"/>
    </row>
    <row r="606" spans="74:86">
      <c r="BV606" s="87"/>
      <c r="BW606" s="87"/>
      <c r="BX606" s="87"/>
      <c r="BY606" s="87"/>
      <c r="BZ606" s="87"/>
      <c r="CA606" s="87"/>
      <c r="CB606" s="87"/>
      <c r="CC606" s="87"/>
      <c r="CD606" s="87"/>
      <c r="CE606" s="87"/>
      <c r="CF606" s="87"/>
      <c r="CG606" s="87"/>
      <c r="CH606" s="87"/>
    </row>
    <row r="607" spans="74:86">
      <c r="BV607" s="87"/>
      <c r="BW607" s="87"/>
      <c r="BX607" s="87"/>
      <c r="BY607" s="87"/>
      <c r="BZ607" s="87"/>
      <c r="CA607" s="87"/>
      <c r="CB607" s="87"/>
      <c r="CC607" s="87"/>
      <c r="CD607" s="87"/>
      <c r="CE607" s="87"/>
      <c r="CF607" s="87"/>
      <c r="CG607" s="87"/>
      <c r="CH607" s="87"/>
    </row>
    <row r="608" spans="74:86">
      <c r="BV608" s="87"/>
      <c r="BW608" s="87"/>
      <c r="BX608" s="87"/>
      <c r="BY608" s="87"/>
      <c r="BZ608" s="87"/>
      <c r="CA608" s="87"/>
      <c r="CB608" s="87"/>
      <c r="CC608" s="87"/>
      <c r="CD608" s="87"/>
      <c r="CE608" s="87"/>
      <c r="CF608" s="87"/>
      <c r="CG608" s="87"/>
      <c r="CH608" s="87"/>
    </row>
    <row r="609" spans="74:86">
      <c r="BV609" s="87"/>
      <c r="BW609" s="87"/>
      <c r="BX609" s="87"/>
      <c r="BY609" s="87"/>
      <c r="BZ609" s="87"/>
      <c r="CA609" s="87"/>
      <c r="CB609" s="87"/>
      <c r="CC609" s="87"/>
      <c r="CD609" s="87"/>
      <c r="CE609" s="87"/>
      <c r="CF609" s="87"/>
      <c r="CG609" s="87"/>
      <c r="CH609" s="87"/>
    </row>
    <row r="610" spans="74:86">
      <c r="BV610" s="87"/>
      <c r="BW610" s="87"/>
      <c r="BX610" s="87"/>
      <c r="BY610" s="87"/>
      <c r="BZ610" s="87"/>
      <c r="CA610" s="87"/>
      <c r="CB610" s="87"/>
      <c r="CC610" s="87"/>
      <c r="CD610" s="87"/>
      <c r="CE610" s="87"/>
      <c r="CF610" s="87"/>
      <c r="CG610" s="87"/>
      <c r="CH610" s="87"/>
    </row>
    <row r="611" spans="74:86">
      <c r="BV611" s="87"/>
      <c r="BW611" s="87"/>
      <c r="BX611" s="87"/>
      <c r="BY611" s="87"/>
      <c r="BZ611" s="87"/>
      <c r="CA611" s="87"/>
      <c r="CB611" s="87"/>
      <c r="CC611" s="87"/>
      <c r="CD611" s="87"/>
      <c r="CE611" s="87"/>
      <c r="CF611" s="87"/>
      <c r="CG611" s="87"/>
      <c r="CH611" s="87"/>
    </row>
    <row r="612" spans="74:86">
      <c r="BV612" s="87"/>
      <c r="BW612" s="87"/>
      <c r="BX612" s="87"/>
      <c r="BY612" s="87"/>
      <c r="BZ612" s="87"/>
      <c r="CA612" s="87"/>
      <c r="CB612" s="87"/>
      <c r="CC612" s="87"/>
      <c r="CD612" s="87"/>
      <c r="CE612" s="87"/>
      <c r="CF612" s="87"/>
      <c r="CG612" s="87"/>
      <c r="CH612" s="87"/>
    </row>
    <row r="613" spans="74:86">
      <c r="BV613" s="87"/>
      <c r="BW613" s="87"/>
      <c r="BX613" s="87"/>
      <c r="BY613" s="87"/>
      <c r="BZ613" s="87"/>
      <c r="CA613" s="87"/>
      <c r="CB613" s="87"/>
      <c r="CC613" s="87"/>
      <c r="CD613" s="87"/>
      <c r="CE613" s="87"/>
      <c r="CF613" s="87"/>
      <c r="CG613" s="87"/>
      <c r="CH613" s="87"/>
    </row>
    <row r="614" spans="74:86">
      <c r="BV614" s="87"/>
      <c r="BW614" s="87"/>
      <c r="BX614" s="87"/>
      <c r="BY614" s="87"/>
      <c r="BZ614" s="87"/>
      <c r="CA614" s="87"/>
      <c r="CB614" s="87"/>
      <c r="CC614" s="87"/>
      <c r="CD614" s="87"/>
      <c r="CE614" s="87"/>
      <c r="CF614" s="87"/>
      <c r="CG614" s="87"/>
      <c r="CH614" s="87"/>
    </row>
    <row r="615" spans="74:86">
      <c r="BV615" s="87"/>
      <c r="BW615" s="87"/>
      <c r="BX615" s="87"/>
      <c r="BY615" s="87"/>
      <c r="BZ615" s="87"/>
      <c r="CA615" s="87"/>
      <c r="CB615" s="87"/>
      <c r="CC615" s="87"/>
      <c r="CD615" s="87"/>
      <c r="CE615" s="87"/>
      <c r="CF615" s="87"/>
      <c r="CG615" s="87"/>
      <c r="CH615" s="87"/>
    </row>
    <row r="616" spans="74:86">
      <c r="BV616" s="87"/>
      <c r="BW616" s="87"/>
      <c r="BX616" s="87"/>
      <c r="BY616" s="87"/>
      <c r="BZ616" s="87"/>
      <c r="CA616" s="87"/>
      <c r="CB616" s="87"/>
      <c r="CC616" s="87"/>
      <c r="CD616" s="87"/>
      <c r="CE616" s="87"/>
      <c r="CF616" s="87"/>
      <c r="CG616" s="87"/>
      <c r="CH616" s="87"/>
    </row>
    <row r="617" spans="74:86">
      <c r="BV617" s="87"/>
      <c r="BW617" s="87"/>
      <c r="BX617" s="87"/>
      <c r="BY617" s="87"/>
      <c r="BZ617" s="87"/>
      <c r="CA617" s="87"/>
      <c r="CB617" s="87"/>
      <c r="CC617" s="87"/>
      <c r="CD617" s="87"/>
      <c r="CE617" s="87"/>
      <c r="CF617" s="87"/>
      <c r="CG617" s="87"/>
      <c r="CH617" s="87"/>
    </row>
    <row r="618" spans="74:86">
      <c r="BV618" s="87"/>
      <c r="BW618" s="87"/>
      <c r="BX618" s="87"/>
      <c r="BY618" s="87"/>
      <c r="BZ618" s="87"/>
      <c r="CA618" s="87"/>
      <c r="CB618" s="87"/>
      <c r="CC618" s="87"/>
      <c r="CD618" s="87"/>
      <c r="CE618" s="87"/>
      <c r="CF618" s="87"/>
      <c r="CG618" s="87"/>
      <c r="CH618" s="87"/>
    </row>
    <row r="619" spans="74:86">
      <c r="BV619" s="87"/>
      <c r="BW619" s="87"/>
      <c r="BX619" s="87"/>
      <c r="BY619" s="87"/>
      <c r="BZ619" s="87"/>
      <c r="CA619" s="87"/>
      <c r="CB619" s="87"/>
      <c r="CC619" s="87"/>
      <c r="CD619" s="87"/>
      <c r="CE619" s="87"/>
      <c r="CF619" s="87"/>
      <c r="CG619" s="87"/>
      <c r="CH619" s="87"/>
    </row>
    <row r="620" spans="74:86">
      <c r="BV620" s="87"/>
      <c r="BW620" s="87"/>
      <c r="BX620" s="87"/>
      <c r="BY620" s="87"/>
      <c r="BZ620" s="87"/>
      <c r="CA620" s="87"/>
      <c r="CB620" s="87"/>
      <c r="CC620" s="87"/>
      <c r="CD620" s="87"/>
      <c r="CE620" s="87"/>
      <c r="CF620" s="87"/>
      <c r="CG620" s="87"/>
      <c r="CH620" s="87"/>
    </row>
    <row r="621" spans="74:86">
      <c r="BV621" s="87"/>
      <c r="BW621" s="87"/>
      <c r="BX621" s="87"/>
      <c r="BY621" s="87"/>
      <c r="BZ621" s="87"/>
      <c r="CA621" s="87"/>
      <c r="CB621" s="87"/>
      <c r="CC621" s="87"/>
      <c r="CD621" s="87"/>
      <c r="CE621" s="87"/>
      <c r="CF621" s="87"/>
      <c r="CG621" s="87"/>
      <c r="CH621" s="87"/>
    </row>
    <row r="622" spans="74:86">
      <c r="BV622" s="87"/>
      <c r="BW622" s="87"/>
      <c r="BX622" s="87"/>
      <c r="BY622" s="87"/>
      <c r="BZ622" s="87"/>
      <c r="CA622" s="87"/>
      <c r="CB622" s="87"/>
      <c r="CC622" s="87"/>
      <c r="CD622" s="87"/>
      <c r="CE622" s="87"/>
      <c r="CF622" s="87"/>
      <c r="CG622" s="87"/>
      <c r="CH622" s="87"/>
    </row>
    <row r="623" spans="74:86">
      <c r="BV623" s="87"/>
      <c r="BW623" s="87"/>
      <c r="BX623" s="87"/>
      <c r="BY623" s="87"/>
      <c r="BZ623" s="87"/>
      <c r="CA623" s="87"/>
      <c r="CB623" s="87"/>
      <c r="CC623" s="87"/>
      <c r="CD623" s="87"/>
      <c r="CE623" s="87"/>
      <c r="CF623" s="87"/>
      <c r="CG623" s="87"/>
      <c r="CH623" s="87"/>
    </row>
    <row r="624" spans="74:86">
      <c r="BV624" s="87"/>
      <c r="BW624" s="87"/>
      <c r="BX624" s="87"/>
      <c r="BY624" s="87"/>
      <c r="BZ624" s="87"/>
      <c r="CA624" s="87"/>
      <c r="CB624" s="87"/>
      <c r="CC624" s="87"/>
      <c r="CD624" s="87"/>
      <c r="CE624" s="87"/>
      <c r="CF624" s="87"/>
      <c r="CG624" s="87"/>
      <c r="CH624" s="87"/>
    </row>
    <row r="625" spans="74:86">
      <c r="BV625" s="87"/>
      <c r="BW625" s="87"/>
      <c r="BX625" s="87"/>
      <c r="BY625" s="87"/>
      <c r="BZ625" s="87"/>
      <c r="CA625" s="87"/>
      <c r="CB625" s="87"/>
      <c r="CC625" s="87"/>
      <c r="CD625" s="87"/>
      <c r="CE625" s="87"/>
      <c r="CF625" s="87"/>
      <c r="CG625" s="87"/>
      <c r="CH625" s="87"/>
    </row>
    <row r="626" spans="74:86">
      <c r="BV626" s="87"/>
      <c r="BW626" s="87"/>
      <c r="BX626" s="87"/>
      <c r="BY626" s="87"/>
      <c r="BZ626" s="87"/>
      <c r="CA626" s="87"/>
      <c r="CB626" s="87"/>
      <c r="CC626" s="87"/>
      <c r="CD626" s="87"/>
      <c r="CE626" s="87"/>
      <c r="CF626" s="87"/>
      <c r="CG626" s="87"/>
      <c r="CH626" s="87"/>
    </row>
    <row r="627" spans="74:86">
      <c r="BV627" s="87"/>
      <c r="BW627" s="87"/>
      <c r="BX627" s="87"/>
      <c r="BY627" s="87"/>
      <c r="BZ627" s="87"/>
      <c r="CA627" s="87"/>
      <c r="CB627" s="87"/>
      <c r="CC627" s="87"/>
      <c r="CD627" s="87"/>
      <c r="CE627" s="87"/>
      <c r="CF627" s="87"/>
      <c r="CG627" s="87"/>
      <c r="CH627" s="87"/>
    </row>
    <row r="628" spans="74:86">
      <c r="BV628" s="87"/>
      <c r="BW628" s="87"/>
      <c r="BX628" s="87"/>
      <c r="BY628" s="87"/>
      <c r="BZ628" s="87"/>
      <c r="CA628" s="87"/>
      <c r="CB628" s="87"/>
      <c r="CC628" s="87"/>
      <c r="CD628" s="87"/>
      <c r="CE628" s="87"/>
      <c r="CF628" s="87"/>
      <c r="CG628" s="87"/>
      <c r="CH628" s="87"/>
    </row>
    <row r="629" spans="74:86">
      <c r="BV629" s="87"/>
      <c r="BW629" s="87"/>
      <c r="BX629" s="87"/>
      <c r="BY629" s="87"/>
      <c r="BZ629" s="87"/>
      <c r="CA629" s="87"/>
      <c r="CB629" s="87"/>
      <c r="CC629" s="87"/>
      <c r="CD629" s="87"/>
      <c r="CE629" s="87"/>
      <c r="CF629" s="87"/>
      <c r="CG629" s="87"/>
      <c r="CH629" s="87"/>
    </row>
    <row r="630" spans="74:86">
      <c r="BV630" s="87"/>
      <c r="BW630" s="87"/>
      <c r="BX630" s="87"/>
      <c r="BY630" s="87"/>
      <c r="BZ630" s="87"/>
      <c r="CA630" s="87"/>
      <c r="CB630" s="87"/>
      <c r="CC630" s="87"/>
      <c r="CD630" s="87"/>
      <c r="CE630" s="87"/>
      <c r="CF630" s="87"/>
      <c r="CG630" s="87"/>
      <c r="CH630" s="87"/>
    </row>
    <row r="631" spans="74:86">
      <c r="BV631" s="87"/>
      <c r="BW631" s="87"/>
      <c r="BX631" s="87"/>
      <c r="BY631" s="87"/>
      <c r="BZ631" s="87"/>
      <c r="CA631" s="87"/>
      <c r="CB631" s="87"/>
      <c r="CC631" s="87"/>
      <c r="CD631" s="87"/>
      <c r="CE631" s="87"/>
      <c r="CF631" s="87"/>
      <c r="CG631" s="87"/>
      <c r="CH631" s="87"/>
    </row>
    <row r="632" spans="74:86">
      <c r="BV632" s="87"/>
      <c r="BW632" s="87"/>
      <c r="BX632" s="87"/>
      <c r="BY632" s="87"/>
      <c r="BZ632" s="87"/>
      <c r="CA632" s="87"/>
      <c r="CB632" s="87"/>
      <c r="CC632" s="87"/>
      <c r="CD632" s="87"/>
      <c r="CE632" s="87"/>
      <c r="CF632" s="87"/>
      <c r="CG632" s="87"/>
      <c r="CH632" s="87"/>
    </row>
    <row r="633" spans="74:86">
      <c r="BV633" s="87"/>
      <c r="BW633" s="87"/>
      <c r="BX633" s="87"/>
      <c r="BY633" s="87"/>
      <c r="BZ633" s="87"/>
      <c r="CA633" s="87"/>
      <c r="CB633" s="87"/>
      <c r="CC633" s="87"/>
      <c r="CD633" s="87"/>
      <c r="CE633" s="87"/>
      <c r="CF633" s="87"/>
      <c r="CG633" s="87"/>
      <c r="CH633" s="87"/>
    </row>
    <row r="634" spans="74:86">
      <c r="BV634" s="87"/>
      <c r="BW634" s="87"/>
      <c r="BX634" s="87"/>
      <c r="BY634" s="87"/>
      <c r="BZ634" s="87"/>
      <c r="CA634" s="87"/>
      <c r="CB634" s="87"/>
      <c r="CC634" s="87"/>
      <c r="CD634" s="87"/>
      <c r="CE634" s="87"/>
      <c r="CF634" s="87"/>
      <c r="CG634" s="87"/>
      <c r="CH634" s="87"/>
    </row>
    <row r="635" spans="74:86">
      <c r="BV635" s="87"/>
      <c r="BW635" s="87"/>
      <c r="BX635" s="87"/>
      <c r="BY635" s="87"/>
      <c r="BZ635" s="87"/>
      <c r="CA635" s="87"/>
      <c r="CB635" s="87"/>
      <c r="CC635" s="87"/>
      <c r="CD635" s="87"/>
      <c r="CE635" s="87"/>
      <c r="CF635" s="87"/>
      <c r="CG635" s="87"/>
      <c r="CH635" s="87"/>
    </row>
    <row r="636" spans="74:86">
      <c r="BV636" s="87"/>
      <c r="BW636" s="87"/>
      <c r="BX636" s="87"/>
      <c r="BY636" s="87"/>
      <c r="BZ636" s="87"/>
      <c r="CA636" s="87"/>
      <c r="CB636" s="87"/>
      <c r="CC636" s="87"/>
      <c r="CD636" s="87"/>
      <c r="CE636" s="87"/>
      <c r="CF636" s="87"/>
      <c r="CG636" s="87"/>
      <c r="CH636" s="87"/>
    </row>
    <row r="637" spans="74:86">
      <c r="BV637" s="87"/>
      <c r="BW637" s="87"/>
      <c r="BX637" s="87"/>
      <c r="BY637" s="87"/>
      <c r="BZ637" s="87"/>
      <c r="CA637" s="87"/>
      <c r="CB637" s="87"/>
      <c r="CC637" s="87"/>
      <c r="CD637" s="87"/>
      <c r="CE637" s="87"/>
      <c r="CF637" s="87"/>
      <c r="CG637" s="87"/>
      <c r="CH637" s="87"/>
    </row>
    <row r="638" spans="74:86"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</row>
    <row r="639" spans="74:86"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</row>
    <row r="640" spans="74:86"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</row>
    <row r="641" spans="74:86">
      <c r="BV641" s="87"/>
      <c r="BW641" s="87"/>
      <c r="BX641" s="87"/>
      <c r="BY641" s="87"/>
      <c r="BZ641" s="87"/>
      <c r="CA641" s="87"/>
      <c r="CB641" s="87"/>
      <c r="CC641" s="87"/>
      <c r="CD641" s="87"/>
      <c r="CE641" s="87"/>
      <c r="CF641" s="87"/>
      <c r="CG641" s="87"/>
      <c r="CH641" s="87"/>
    </row>
    <row r="642" spans="74:86">
      <c r="BV642" s="87"/>
      <c r="BW642" s="87"/>
      <c r="BX642" s="87"/>
      <c r="BY642" s="87"/>
      <c r="BZ642" s="87"/>
      <c r="CA642" s="87"/>
      <c r="CB642" s="87"/>
      <c r="CC642" s="87"/>
      <c r="CD642" s="87"/>
      <c r="CE642" s="87"/>
      <c r="CF642" s="87"/>
      <c r="CG642" s="87"/>
      <c r="CH642" s="87"/>
    </row>
    <row r="643" spans="74:86">
      <c r="BV643" s="87"/>
      <c r="BW643" s="87"/>
      <c r="BX643" s="87"/>
      <c r="BY643" s="87"/>
      <c r="BZ643" s="87"/>
      <c r="CA643" s="87"/>
      <c r="CB643" s="87"/>
      <c r="CC643" s="87"/>
      <c r="CD643" s="87"/>
      <c r="CE643" s="87"/>
      <c r="CF643" s="87"/>
      <c r="CG643" s="87"/>
      <c r="CH643" s="87"/>
    </row>
    <row r="644" spans="74:86">
      <c r="BV644" s="87"/>
      <c r="BW644" s="87"/>
      <c r="BX644" s="87"/>
      <c r="BY644" s="87"/>
      <c r="BZ644" s="87"/>
      <c r="CA644" s="87"/>
      <c r="CB644" s="87"/>
      <c r="CC644" s="87"/>
      <c r="CD644" s="87"/>
      <c r="CE644" s="87"/>
      <c r="CF644" s="87"/>
      <c r="CG644" s="87"/>
      <c r="CH644" s="87"/>
    </row>
    <row r="645" spans="74:86">
      <c r="BV645" s="87"/>
      <c r="BW645" s="87"/>
      <c r="BX645" s="87"/>
      <c r="BY645" s="87"/>
      <c r="BZ645" s="87"/>
      <c r="CA645" s="87"/>
      <c r="CB645" s="87"/>
      <c r="CC645" s="87"/>
      <c r="CD645" s="87"/>
      <c r="CE645" s="87"/>
      <c r="CF645" s="87"/>
      <c r="CG645" s="87"/>
      <c r="CH645" s="87"/>
    </row>
    <row r="646" spans="74:86">
      <c r="BV646" s="87"/>
      <c r="BW646" s="87"/>
      <c r="BX646" s="87"/>
      <c r="BY646" s="87"/>
      <c r="BZ646" s="87"/>
      <c r="CA646" s="87"/>
      <c r="CB646" s="87"/>
      <c r="CC646" s="87"/>
      <c r="CD646" s="87"/>
      <c r="CE646" s="87"/>
      <c r="CF646" s="87"/>
      <c r="CG646" s="87"/>
      <c r="CH646" s="87"/>
    </row>
    <row r="647" spans="74:86">
      <c r="BV647" s="87"/>
      <c r="BW647" s="87"/>
      <c r="BX647" s="87"/>
      <c r="BY647" s="87"/>
      <c r="BZ647" s="87"/>
      <c r="CA647" s="87"/>
      <c r="CB647" s="87"/>
      <c r="CC647" s="87"/>
      <c r="CD647" s="87"/>
      <c r="CE647" s="87"/>
      <c r="CF647" s="87"/>
      <c r="CG647" s="87"/>
      <c r="CH647" s="87"/>
    </row>
    <row r="648" spans="74:86">
      <c r="BV648" s="87"/>
      <c r="BW648" s="87"/>
      <c r="BX648" s="87"/>
      <c r="BY648" s="87"/>
      <c r="BZ648" s="87"/>
      <c r="CA648" s="87"/>
      <c r="CB648" s="87"/>
      <c r="CC648" s="87"/>
      <c r="CD648" s="87"/>
      <c r="CE648" s="87"/>
      <c r="CF648" s="87"/>
      <c r="CG648" s="87"/>
      <c r="CH648" s="87"/>
    </row>
    <row r="649" spans="74:86">
      <c r="BV649" s="87"/>
      <c r="BW649" s="87"/>
      <c r="BX649" s="87"/>
      <c r="BY649" s="87"/>
      <c r="BZ649" s="87"/>
      <c r="CA649" s="87"/>
      <c r="CB649" s="87"/>
      <c r="CC649" s="87"/>
      <c r="CD649" s="87"/>
      <c r="CE649" s="87"/>
      <c r="CF649" s="87"/>
      <c r="CG649" s="87"/>
      <c r="CH649" s="87"/>
    </row>
    <row r="650" spans="74:86">
      <c r="BV650" s="87"/>
      <c r="BW650" s="87"/>
      <c r="BX650" s="87"/>
      <c r="BY650" s="87"/>
      <c r="BZ650" s="87"/>
      <c r="CA650" s="87"/>
      <c r="CB650" s="87"/>
      <c r="CC650" s="87"/>
      <c r="CD650" s="87"/>
      <c r="CE650" s="87"/>
      <c r="CF650" s="87"/>
      <c r="CG650" s="87"/>
      <c r="CH650" s="87"/>
    </row>
    <row r="651" spans="74:86">
      <c r="BV651" s="87"/>
      <c r="BW651" s="87"/>
      <c r="BX651" s="87"/>
      <c r="BY651" s="87"/>
      <c r="BZ651" s="87"/>
      <c r="CA651" s="87"/>
      <c r="CB651" s="87"/>
      <c r="CC651" s="87"/>
      <c r="CD651" s="87"/>
      <c r="CE651" s="87"/>
      <c r="CF651" s="87"/>
      <c r="CG651" s="87"/>
      <c r="CH651" s="87"/>
    </row>
    <row r="652" spans="74:86">
      <c r="BV652" s="87"/>
      <c r="BW652" s="87"/>
      <c r="BX652" s="87"/>
      <c r="BY652" s="87"/>
      <c r="BZ652" s="87"/>
      <c r="CA652" s="87"/>
      <c r="CB652" s="87"/>
      <c r="CC652" s="87"/>
      <c r="CD652" s="87"/>
      <c r="CE652" s="87"/>
      <c r="CF652" s="87"/>
      <c r="CG652" s="87"/>
      <c r="CH652" s="87"/>
    </row>
    <row r="653" spans="74:86">
      <c r="BV653" s="87"/>
      <c r="BW653" s="87"/>
      <c r="BX653" s="87"/>
      <c r="BY653" s="87"/>
      <c r="BZ653" s="87"/>
      <c r="CA653" s="87"/>
      <c r="CB653" s="87"/>
      <c r="CC653" s="87"/>
      <c r="CD653" s="87"/>
      <c r="CE653" s="87"/>
      <c r="CF653" s="87"/>
      <c r="CG653" s="87"/>
      <c r="CH653" s="87"/>
    </row>
    <row r="654" spans="74:86">
      <c r="BV654" s="87"/>
      <c r="BW654" s="87"/>
      <c r="BX654" s="87"/>
      <c r="BY654" s="87"/>
      <c r="BZ654" s="87"/>
      <c r="CA654" s="87"/>
      <c r="CB654" s="87"/>
      <c r="CC654" s="87"/>
      <c r="CD654" s="87"/>
      <c r="CE654" s="87"/>
      <c r="CF654" s="87"/>
      <c r="CG654" s="87"/>
      <c r="CH654" s="87"/>
    </row>
    <row r="655" spans="74:86">
      <c r="BV655" s="87"/>
      <c r="BW655" s="87"/>
      <c r="BX655" s="87"/>
      <c r="BY655" s="87"/>
      <c r="BZ655" s="87"/>
      <c r="CA655" s="87"/>
      <c r="CB655" s="87"/>
      <c r="CC655" s="87"/>
      <c r="CD655" s="87"/>
      <c r="CE655" s="87"/>
      <c r="CF655" s="87"/>
      <c r="CG655" s="87"/>
      <c r="CH655" s="87"/>
    </row>
    <row r="656" spans="74:86">
      <c r="BV656" s="87"/>
      <c r="BW656" s="87"/>
      <c r="BX656" s="87"/>
      <c r="BY656" s="87"/>
      <c r="BZ656" s="87"/>
      <c r="CA656" s="87"/>
      <c r="CB656" s="87"/>
      <c r="CC656" s="87"/>
      <c r="CD656" s="87"/>
      <c r="CE656" s="87"/>
      <c r="CF656" s="87"/>
      <c r="CG656" s="87"/>
      <c r="CH656" s="87"/>
    </row>
    <row r="657" spans="74:86">
      <c r="BV657" s="87"/>
      <c r="BW657" s="87"/>
      <c r="BX657" s="87"/>
      <c r="BY657" s="87"/>
      <c r="BZ657" s="87"/>
      <c r="CA657" s="87"/>
      <c r="CB657" s="87"/>
      <c r="CC657" s="87"/>
      <c r="CD657" s="87"/>
      <c r="CE657" s="87"/>
      <c r="CF657" s="87"/>
      <c r="CG657" s="87"/>
      <c r="CH657" s="87"/>
    </row>
    <row r="658" spans="74:86">
      <c r="BV658" s="87"/>
      <c r="BW658" s="87"/>
      <c r="BX658" s="87"/>
      <c r="BY658" s="87"/>
      <c r="BZ658" s="87"/>
      <c r="CA658" s="87"/>
      <c r="CB658" s="87"/>
      <c r="CC658" s="87"/>
      <c r="CD658" s="87"/>
      <c r="CE658" s="87"/>
      <c r="CF658" s="87"/>
      <c r="CG658" s="87"/>
      <c r="CH658" s="87"/>
    </row>
    <row r="659" spans="74:86">
      <c r="BV659" s="87"/>
      <c r="BW659" s="87"/>
      <c r="BX659" s="87"/>
      <c r="BY659" s="87"/>
      <c r="BZ659" s="87"/>
      <c r="CA659" s="87"/>
      <c r="CB659" s="87"/>
      <c r="CC659" s="87"/>
      <c r="CD659" s="87"/>
      <c r="CE659" s="87"/>
      <c r="CF659" s="87"/>
      <c r="CG659" s="87"/>
      <c r="CH659" s="87"/>
    </row>
    <row r="660" spans="74:86">
      <c r="BV660" s="87"/>
      <c r="BW660" s="87"/>
      <c r="BX660" s="87"/>
      <c r="BY660" s="87"/>
      <c r="BZ660" s="87"/>
      <c r="CA660" s="87"/>
      <c r="CB660" s="87"/>
      <c r="CC660" s="87"/>
      <c r="CD660" s="87"/>
      <c r="CE660" s="87"/>
      <c r="CF660" s="87"/>
      <c r="CG660" s="87"/>
      <c r="CH660" s="87"/>
    </row>
    <row r="661" spans="74:86">
      <c r="BV661" s="87"/>
      <c r="BW661" s="87"/>
      <c r="BX661" s="87"/>
      <c r="BY661" s="87"/>
      <c r="BZ661" s="87"/>
      <c r="CA661" s="87"/>
      <c r="CB661" s="87"/>
      <c r="CC661" s="87"/>
      <c r="CD661" s="87"/>
      <c r="CE661" s="87"/>
      <c r="CF661" s="87"/>
      <c r="CG661" s="87"/>
      <c r="CH661" s="87"/>
    </row>
    <row r="662" spans="74:86">
      <c r="BV662" s="87"/>
      <c r="BW662" s="87"/>
      <c r="BX662" s="87"/>
      <c r="BY662" s="87"/>
      <c r="BZ662" s="87"/>
      <c r="CA662" s="87"/>
      <c r="CB662" s="87"/>
      <c r="CC662" s="87"/>
      <c r="CD662" s="87"/>
      <c r="CE662" s="87"/>
      <c r="CF662" s="87"/>
      <c r="CG662" s="87"/>
      <c r="CH662" s="87"/>
    </row>
    <row r="663" spans="74:86">
      <c r="BV663" s="87"/>
      <c r="BW663" s="87"/>
      <c r="BX663" s="87"/>
      <c r="BY663" s="87"/>
      <c r="BZ663" s="87"/>
      <c r="CA663" s="87"/>
      <c r="CB663" s="87"/>
      <c r="CC663" s="87"/>
      <c r="CD663" s="87"/>
      <c r="CE663" s="87"/>
      <c r="CF663" s="87"/>
      <c r="CG663" s="87"/>
      <c r="CH663" s="87"/>
    </row>
    <row r="664" spans="74:86">
      <c r="BV664" s="87"/>
      <c r="BW664" s="87"/>
      <c r="BX664" s="87"/>
      <c r="BY664" s="87"/>
      <c r="BZ664" s="87"/>
      <c r="CA664" s="87"/>
      <c r="CB664" s="87"/>
      <c r="CC664" s="87"/>
      <c r="CD664" s="87"/>
      <c r="CE664" s="87"/>
      <c r="CF664" s="87"/>
      <c r="CG664" s="87"/>
      <c r="CH664" s="87"/>
    </row>
    <row r="665" spans="74:86">
      <c r="BV665" s="87"/>
      <c r="BW665" s="87"/>
      <c r="BX665" s="87"/>
      <c r="BY665" s="87"/>
      <c r="BZ665" s="87"/>
      <c r="CA665" s="87"/>
      <c r="CB665" s="87"/>
      <c r="CC665" s="87"/>
      <c r="CD665" s="87"/>
      <c r="CE665" s="87"/>
      <c r="CF665" s="87"/>
      <c r="CG665" s="87"/>
      <c r="CH665" s="87"/>
    </row>
    <row r="666" spans="74:86">
      <c r="BV666" s="87"/>
      <c r="BW666" s="87"/>
      <c r="BX666" s="87"/>
      <c r="BY666" s="87"/>
      <c r="BZ666" s="87"/>
      <c r="CA666" s="87"/>
      <c r="CB666" s="87"/>
      <c r="CC666" s="87"/>
      <c r="CD666" s="87"/>
      <c r="CE666" s="87"/>
      <c r="CF666" s="87"/>
      <c r="CG666" s="87"/>
      <c r="CH666" s="87"/>
    </row>
    <row r="667" spans="74:86">
      <c r="BV667" s="87"/>
      <c r="BW667" s="87"/>
      <c r="BX667" s="87"/>
      <c r="BY667" s="87"/>
      <c r="BZ667" s="87"/>
      <c r="CA667" s="87"/>
      <c r="CB667" s="87"/>
      <c r="CC667" s="87"/>
      <c r="CD667" s="87"/>
      <c r="CE667" s="87"/>
      <c r="CF667" s="87"/>
      <c r="CG667" s="87"/>
      <c r="CH667" s="87"/>
    </row>
    <row r="668" spans="74:86">
      <c r="BV668" s="87"/>
      <c r="BW668" s="87"/>
      <c r="BX668" s="87"/>
      <c r="BY668" s="87"/>
      <c r="BZ668" s="87"/>
      <c r="CA668" s="87"/>
      <c r="CB668" s="87"/>
      <c r="CC668" s="87"/>
      <c r="CD668" s="87"/>
      <c r="CE668" s="87"/>
      <c r="CF668" s="87"/>
      <c r="CG668" s="87"/>
      <c r="CH668" s="87"/>
    </row>
    <row r="669" spans="74:86">
      <c r="BV669" s="87"/>
      <c r="BW669" s="87"/>
      <c r="BX669" s="87"/>
      <c r="BY669" s="87"/>
      <c r="BZ669" s="87"/>
      <c r="CA669" s="87"/>
      <c r="CB669" s="87"/>
      <c r="CC669" s="87"/>
      <c r="CD669" s="87"/>
      <c r="CE669" s="87"/>
      <c r="CF669" s="87"/>
      <c r="CG669" s="87"/>
      <c r="CH669" s="87"/>
    </row>
    <row r="670" spans="74:86">
      <c r="BV670" s="87"/>
      <c r="BW670" s="87"/>
      <c r="BX670" s="87"/>
      <c r="BY670" s="87"/>
      <c r="BZ670" s="87"/>
      <c r="CA670" s="87"/>
      <c r="CB670" s="87"/>
      <c r="CC670" s="87"/>
      <c r="CD670" s="87"/>
      <c r="CE670" s="87"/>
      <c r="CF670" s="87"/>
      <c r="CG670" s="87"/>
      <c r="CH670" s="87"/>
    </row>
    <row r="671" spans="74:86">
      <c r="BV671" s="87"/>
      <c r="BW671" s="87"/>
      <c r="BX671" s="87"/>
      <c r="BY671" s="87"/>
      <c r="BZ671" s="87"/>
      <c r="CA671" s="87"/>
      <c r="CB671" s="87"/>
      <c r="CC671" s="87"/>
      <c r="CD671" s="87"/>
      <c r="CE671" s="87"/>
      <c r="CF671" s="87"/>
      <c r="CG671" s="87"/>
      <c r="CH671" s="87"/>
    </row>
    <row r="672" spans="74:86">
      <c r="BV672" s="87"/>
      <c r="BW672" s="87"/>
      <c r="BX672" s="87"/>
      <c r="BY672" s="87"/>
      <c r="BZ672" s="87"/>
      <c r="CA672" s="87"/>
      <c r="CB672" s="87"/>
      <c r="CC672" s="87"/>
      <c r="CD672" s="87"/>
      <c r="CE672" s="87"/>
      <c r="CF672" s="87"/>
      <c r="CG672" s="87"/>
      <c r="CH672" s="87"/>
    </row>
    <row r="673" spans="74:86">
      <c r="BV673" s="87"/>
      <c r="BW673" s="87"/>
      <c r="BX673" s="87"/>
      <c r="BY673" s="87"/>
      <c r="BZ673" s="87"/>
      <c r="CA673" s="87"/>
      <c r="CB673" s="87"/>
      <c r="CC673" s="87"/>
      <c r="CD673" s="87"/>
      <c r="CE673" s="87"/>
      <c r="CF673" s="87"/>
      <c r="CG673" s="87"/>
      <c r="CH673" s="87"/>
    </row>
    <row r="674" spans="74:86">
      <c r="BV674" s="87"/>
      <c r="BW674" s="87"/>
      <c r="BX674" s="87"/>
      <c r="BY674" s="87"/>
      <c r="BZ674" s="87"/>
      <c r="CA674" s="87"/>
      <c r="CB674" s="87"/>
      <c r="CC674" s="87"/>
      <c r="CD674" s="87"/>
      <c r="CE674" s="87"/>
      <c r="CF674" s="87"/>
      <c r="CG674" s="87"/>
      <c r="CH674" s="87"/>
    </row>
    <row r="675" spans="74:86">
      <c r="BV675" s="87"/>
      <c r="BW675" s="87"/>
      <c r="BX675" s="87"/>
      <c r="BY675" s="87"/>
      <c r="BZ675" s="87"/>
      <c r="CA675" s="87"/>
      <c r="CB675" s="87"/>
      <c r="CC675" s="87"/>
      <c r="CD675" s="87"/>
      <c r="CE675" s="87"/>
      <c r="CF675" s="87"/>
      <c r="CG675" s="87"/>
      <c r="CH675" s="87"/>
    </row>
    <row r="676" spans="74:86">
      <c r="BV676" s="87"/>
      <c r="BW676" s="87"/>
      <c r="BX676" s="87"/>
      <c r="BY676" s="87"/>
      <c r="BZ676" s="87"/>
      <c r="CA676" s="87"/>
      <c r="CB676" s="87"/>
      <c r="CC676" s="87"/>
      <c r="CD676" s="87"/>
      <c r="CE676" s="87"/>
      <c r="CF676" s="87"/>
      <c r="CG676" s="87"/>
      <c r="CH676" s="87"/>
    </row>
    <row r="677" spans="74:86">
      <c r="BV677" s="87"/>
      <c r="BW677" s="87"/>
      <c r="BX677" s="87"/>
      <c r="BY677" s="87"/>
      <c r="BZ677" s="87"/>
      <c r="CA677" s="87"/>
      <c r="CB677" s="87"/>
      <c r="CC677" s="87"/>
      <c r="CD677" s="87"/>
      <c r="CE677" s="87"/>
      <c r="CF677" s="87"/>
      <c r="CG677" s="87"/>
      <c r="CH677" s="87"/>
    </row>
    <row r="678" spans="74:86">
      <c r="BV678" s="87"/>
      <c r="BW678" s="87"/>
      <c r="BX678" s="87"/>
      <c r="BY678" s="87"/>
      <c r="BZ678" s="87"/>
      <c r="CA678" s="87"/>
      <c r="CB678" s="87"/>
      <c r="CC678" s="87"/>
      <c r="CD678" s="87"/>
      <c r="CE678" s="87"/>
      <c r="CF678" s="87"/>
      <c r="CG678" s="87"/>
      <c r="CH678" s="87"/>
    </row>
    <row r="679" spans="74:86">
      <c r="BV679" s="87"/>
      <c r="BW679" s="87"/>
      <c r="BX679" s="87"/>
      <c r="BY679" s="87"/>
      <c r="BZ679" s="87"/>
      <c r="CA679" s="87"/>
      <c r="CB679" s="87"/>
      <c r="CC679" s="87"/>
      <c r="CD679" s="87"/>
      <c r="CE679" s="87"/>
      <c r="CF679" s="87"/>
      <c r="CG679" s="87"/>
      <c r="CH679" s="87"/>
    </row>
    <row r="680" spans="74:86">
      <c r="BV680" s="87"/>
      <c r="BW680" s="87"/>
      <c r="BX680" s="87"/>
      <c r="BY680" s="87"/>
      <c r="BZ680" s="87"/>
      <c r="CA680" s="87"/>
      <c r="CB680" s="87"/>
      <c r="CC680" s="87"/>
      <c r="CD680" s="87"/>
      <c r="CE680" s="87"/>
      <c r="CF680" s="87"/>
      <c r="CG680" s="87"/>
      <c r="CH680" s="87"/>
    </row>
    <row r="681" spans="74:86">
      <c r="BV681" s="87"/>
      <c r="BW681" s="87"/>
      <c r="BX681" s="87"/>
      <c r="BY681" s="87"/>
      <c r="BZ681" s="87"/>
      <c r="CA681" s="87"/>
      <c r="CB681" s="87"/>
      <c r="CC681" s="87"/>
      <c r="CD681" s="87"/>
      <c r="CE681" s="87"/>
      <c r="CF681" s="87"/>
      <c r="CG681" s="87"/>
      <c r="CH681" s="87"/>
    </row>
    <row r="682" spans="74:86">
      <c r="BV682" s="87"/>
      <c r="BW682" s="87"/>
      <c r="BX682" s="87"/>
      <c r="BY682" s="87"/>
      <c r="BZ682" s="87"/>
      <c r="CA682" s="87"/>
      <c r="CB682" s="87"/>
      <c r="CC682" s="87"/>
      <c r="CD682" s="87"/>
      <c r="CE682" s="87"/>
      <c r="CF682" s="87"/>
      <c r="CG682" s="87"/>
      <c r="CH682" s="87"/>
    </row>
    <row r="683" spans="74:86">
      <c r="BV683" s="87"/>
      <c r="BW683" s="87"/>
      <c r="BX683" s="87"/>
      <c r="BY683" s="87"/>
      <c r="BZ683" s="87"/>
      <c r="CA683" s="87"/>
      <c r="CB683" s="87"/>
      <c r="CC683" s="87"/>
      <c r="CD683" s="87"/>
      <c r="CE683" s="87"/>
      <c r="CF683" s="87"/>
      <c r="CG683" s="87"/>
      <c r="CH683" s="87"/>
    </row>
    <row r="684" spans="74:86">
      <c r="BV684" s="87"/>
      <c r="BW684" s="87"/>
      <c r="BX684" s="87"/>
      <c r="BY684" s="87"/>
      <c r="BZ684" s="87"/>
      <c r="CA684" s="87"/>
      <c r="CB684" s="87"/>
      <c r="CC684" s="87"/>
      <c r="CD684" s="87"/>
      <c r="CE684" s="87"/>
      <c r="CF684" s="87"/>
      <c r="CG684" s="87"/>
      <c r="CH684" s="87"/>
    </row>
    <row r="685" spans="74:86">
      <c r="BV685" s="87"/>
      <c r="BW685" s="87"/>
      <c r="BX685" s="87"/>
      <c r="BY685" s="87"/>
      <c r="BZ685" s="87"/>
      <c r="CA685" s="87"/>
      <c r="CB685" s="87"/>
      <c r="CC685" s="87"/>
      <c r="CD685" s="87"/>
      <c r="CE685" s="87"/>
      <c r="CF685" s="87"/>
      <c r="CG685" s="87"/>
      <c r="CH685" s="87"/>
    </row>
    <row r="686" spans="74:86">
      <c r="BV686" s="87"/>
      <c r="BW686" s="87"/>
      <c r="BX686" s="87"/>
      <c r="BY686" s="87"/>
      <c r="BZ686" s="87"/>
      <c r="CA686" s="87"/>
      <c r="CB686" s="87"/>
      <c r="CC686" s="87"/>
      <c r="CD686" s="87"/>
      <c r="CE686" s="87"/>
      <c r="CF686" s="87"/>
      <c r="CG686" s="87"/>
      <c r="CH686" s="87"/>
    </row>
    <row r="687" spans="74:86">
      <c r="BV687" s="87"/>
      <c r="BW687" s="87"/>
      <c r="BX687" s="87"/>
      <c r="BY687" s="87"/>
      <c r="BZ687" s="87"/>
      <c r="CA687" s="87"/>
      <c r="CB687" s="87"/>
      <c r="CC687" s="87"/>
      <c r="CD687" s="87"/>
      <c r="CE687" s="87"/>
      <c r="CF687" s="87"/>
      <c r="CG687" s="87"/>
      <c r="CH687" s="87"/>
    </row>
    <row r="688" spans="74:86">
      <c r="BV688" s="87"/>
      <c r="BW688" s="87"/>
      <c r="BX688" s="87"/>
      <c r="BY688" s="87"/>
      <c r="BZ688" s="87"/>
      <c r="CA688" s="87"/>
      <c r="CB688" s="87"/>
      <c r="CC688" s="87"/>
      <c r="CD688" s="87"/>
      <c r="CE688" s="87"/>
      <c r="CF688" s="87"/>
      <c r="CG688" s="87"/>
      <c r="CH688" s="87"/>
    </row>
    <row r="689" spans="74:86">
      <c r="BV689" s="87"/>
      <c r="BW689" s="87"/>
      <c r="BX689" s="87"/>
      <c r="BY689" s="87"/>
      <c r="BZ689" s="87"/>
      <c r="CA689" s="87"/>
      <c r="CB689" s="87"/>
      <c r="CC689" s="87"/>
      <c r="CD689" s="87"/>
      <c r="CE689" s="87"/>
      <c r="CF689" s="87"/>
      <c r="CG689" s="87"/>
      <c r="CH689" s="87"/>
    </row>
    <row r="690" spans="74:86">
      <c r="BV690" s="87"/>
      <c r="BW690" s="87"/>
      <c r="BX690" s="87"/>
      <c r="BY690" s="87"/>
      <c r="BZ690" s="87"/>
      <c r="CA690" s="87"/>
      <c r="CB690" s="87"/>
      <c r="CC690" s="87"/>
      <c r="CD690" s="87"/>
      <c r="CE690" s="87"/>
      <c r="CF690" s="87"/>
      <c r="CG690" s="87"/>
      <c r="CH690" s="87"/>
    </row>
    <row r="691" spans="74:86">
      <c r="BV691" s="87"/>
      <c r="BW691" s="87"/>
      <c r="BX691" s="87"/>
      <c r="BY691" s="87"/>
      <c r="BZ691" s="87"/>
      <c r="CA691" s="87"/>
      <c r="CB691" s="87"/>
      <c r="CC691" s="87"/>
      <c r="CD691" s="87"/>
      <c r="CE691" s="87"/>
      <c r="CF691" s="87"/>
      <c r="CG691" s="87"/>
      <c r="CH691" s="87"/>
    </row>
    <row r="692" spans="74:86">
      <c r="BV692" s="87"/>
      <c r="BW692" s="87"/>
      <c r="BX692" s="87"/>
      <c r="BY692" s="87"/>
      <c r="BZ692" s="87"/>
      <c r="CA692" s="87"/>
      <c r="CB692" s="87"/>
      <c r="CC692" s="87"/>
      <c r="CD692" s="87"/>
      <c r="CE692" s="87"/>
      <c r="CF692" s="87"/>
      <c r="CG692" s="87"/>
      <c r="CH692" s="87"/>
    </row>
    <row r="693" spans="74:86">
      <c r="BV693" s="87"/>
      <c r="BW693" s="87"/>
      <c r="BX693" s="87"/>
      <c r="BY693" s="87"/>
      <c r="BZ693" s="87"/>
      <c r="CA693" s="87"/>
      <c r="CB693" s="87"/>
      <c r="CC693" s="87"/>
      <c r="CD693" s="87"/>
      <c r="CE693" s="87"/>
      <c r="CF693" s="87"/>
      <c r="CG693" s="87"/>
      <c r="CH693" s="87"/>
    </row>
    <row r="694" spans="74:86">
      <c r="BV694" s="87"/>
      <c r="BW694" s="87"/>
      <c r="BX694" s="87"/>
      <c r="BY694" s="87"/>
      <c r="BZ694" s="87"/>
      <c r="CA694" s="87"/>
      <c r="CB694" s="87"/>
      <c r="CC694" s="87"/>
      <c r="CD694" s="87"/>
      <c r="CE694" s="87"/>
      <c r="CF694" s="87"/>
      <c r="CG694" s="87"/>
      <c r="CH694" s="87"/>
    </row>
    <row r="695" spans="74:86">
      <c r="BV695" s="87"/>
      <c r="BW695" s="87"/>
      <c r="BX695" s="87"/>
      <c r="BY695" s="87"/>
      <c r="BZ695" s="87"/>
      <c r="CA695" s="87"/>
      <c r="CB695" s="87"/>
      <c r="CC695" s="87"/>
      <c r="CD695" s="87"/>
      <c r="CE695" s="87"/>
      <c r="CF695" s="87"/>
      <c r="CG695" s="87"/>
      <c r="CH695" s="87"/>
    </row>
    <row r="696" spans="74:86">
      <c r="BV696" s="87"/>
      <c r="BW696" s="87"/>
      <c r="BX696" s="87"/>
      <c r="BY696" s="87"/>
      <c r="BZ696" s="87"/>
      <c r="CA696" s="87"/>
      <c r="CB696" s="87"/>
      <c r="CC696" s="87"/>
      <c r="CD696" s="87"/>
      <c r="CE696" s="87"/>
      <c r="CF696" s="87"/>
      <c r="CG696" s="87"/>
      <c r="CH696" s="87"/>
    </row>
    <row r="697" spans="74:86">
      <c r="BV697" s="87"/>
      <c r="BW697" s="87"/>
      <c r="BX697" s="87"/>
      <c r="BY697" s="87"/>
      <c r="BZ697" s="87"/>
      <c r="CA697" s="87"/>
      <c r="CB697" s="87"/>
      <c r="CC697" s="87"/>
      <c r="CD697" s="87"/>
      <c r="CE697" s="87"/>
      <c r="CF697" s="87"/>
      <c r="CG697" s="87"/>
      <c r="CH697" s="87"/>
    </row>
    <row r="698" spans="74:86">
      <c r="BV698" s="87"/>
      <c r="BW698" s="87"/>
      <c r="BX698" s="87"/>
      <c r="BY698" s="87"/>
      <c r="BZ698" s="87"/>
      <c r="CA698" s="87"/>
      <c r="CB698" s="87"/>
      <c r="CC698" s="87"/>
      <c r="CD698" s="87"/>
      <c r="CE698" s="87"/>
      <c r="CF698" s="87"/>
      <c r="CG698" s="87"/>
      <c r="CH698" s="87"/>
    </row>
    <row r="699" spans="74:86">
      <c r="BV699" s="87"/>
      <c r="BW699" s="87"/>
      <c r="BX699" s="87"/>
      <c r="BY699" s="87"/>
      <c r="BZ699" s="87"/>
      <c r="CA699" s="87"/>
      <c r="CB699" s="87"/>
      <c r="CC699" s="87"/>
      <c r="CD699" s="87"/>
      <c r="CE699" s="87"/>
      <c r="CF699" s="87"/>
      <c r="CG699" s="87"/>
      <c r="CH699" s="87"/>
    </row>
    <row r="700" spans="74:86">
      <c r="BV700" s="87"/>
      <c r="BW700" s="87"/>
      <c r="BX700" s="87"/>
      <c r="BY700" s="87"/>
      <c r="BZ700" s="87"/>
      <c r="CA700" s="87"/>
      <c r="CB700" s="87"/>
      <c r="CC700" s="87"/>
      <c r="CD700" s="87"/>
      <c r="CE700" s="87"/>
      <c r="CF700" s="87"/>
      <c r="CG700" s="87"/>
      <c r="CH700" s="87"/>
    </row>
    <row r="701" spans="74:86">
      <c r="BV701" s="87"/>
      <c r="BW701" s="87"/>
      <c r="BX701" s="87"/>
      <c r="BY701" s="87"/>
      <c r="BZ701" s="87"/>
      <c r="CA701" s="87"/>
      <c r="CB701" s="87"/>
      <c r="CC701" s="87"/>
      <c r="CD701" s="87"/>
      <c r="CE701" s="87"/>
      <c r="CF701" s="87"/>
      <c r="CG701" s="87"/>
      <c r="CH701" s="87"/>
    </row>
    <row r="702" spans="74:86">
      <c r="BV702" s="87"/>
      <c r="BW702" s="87"/>
      <c r="BX702" s="87"/>
      <c r="BY702" s="87"/>
      <c r="BZ702" s="87"/>
      <c r="CA702" s="87"/>
      <c r="CB702" s="87"/>
      <c r="CC702" s="87"/>
      <c r="CD702" s="87"/>
      <c r="CE702" s="87"/>
      <c r="CF702" s="87"/>
      <c r="CG702" s="87"/>
      <c r="CH702" s="87"/>
    </row>
    <row r="703" spans="74:86">
      <c r="BV703" s="87"/>
      <c r="BW703" s="87"/>
      <c r="BX703" s="87"/>
      <c r="BY703" s="87"/>
      <c r="BZ703" s="87"/>
      <c r="CA703" s="87"/>
      <c r="CB703" s="87"/>
      <c r="CC703" s="87"/>
      <c r="CD703" s="87"/>
      <c r="CE703" s="87"/>
      <c r="CF703" s="87"/>
      <c r="CG703" s="87"/>
      <c r="CH703" s="87"/>
    </row>
    <row r="704" spans="74:86">
      <c r="BV704" s="87"/>
      <c r="BW704" s="87"/>
      <c r="BX704" s="87"/>
      <c r="BY704" s="87"/>
      <c r="BZ704" s="87"/>
      <c r="CA704" s="87"/>
      <c r="CB704" s="87"/>
      <c r="CC704" s="87"/>
      <c r="CD704" s="87"/>
      <c r="CE704" s="87"/>
      <c r="CF704" s="87"/>
      <c r="CG704" s="87"/>
      <c r="CH704" s="87"/>
    </row>
    <row r="705" spans="74:86">
      <c r="BV705" s="87"/>
      <c r="BW705" s="87"/>
      <c r="BX705" s="87"/>
      <c r="BY705" s="87"/>
      <c r="BZ705" s="87"/>
      <c r="CA705" s="87"/>
      <c r="CB705" s="87"/>
      <c r="CC705" s="87"/>
      <c r="CD705" s="87"/>
      <c r="CE705" s="87"/>
      <c r="CF705" s="87"/>
      <c r="CG705" s="87"/>
      <c r="CH705" s="87"/>
    </row>
    <row r="706" spans="74:86">
      <c r="BV706" s="87"/>
      <c r="BW706" s="87"/>
      <c r="BX706" s="87"/>
      <c r="BY706" s="87"/>
      <c r="BZ706" s="87"/>
      <c r="CA706" s="87"/>
      <c r="CB706" s="87"/>
      <c r="CC706" s="87"/>
      <c r="CD706" s="87"/>
      <c r="CE706" s="87"/>
      <c r="CF706" s="87"/>
      <c r="CG706" s="87"/>
      <c r="CH706" s="87"/>
    </row>
    <row r="707" spans="74:86">
      <c r="BV707" s="87"/>
      <c r="BW707" s="87"/>
      <c r="BX707" s="87"/>
      <c r="BY707" s="87"/>
      <c r="BZ707" s="87"/>
      <c r="CA707" s="87"/>
      <c r="CB707" s="87"/>
      <c r="CC707" s="87"/>
      <c r="CD707" s="87"/>
      <c r="CE707" s="87"/>
      <c r="CF707" s="87"/>
      <c r="CG707" s="87"/>
      <c r="CH707" s="87"/>
    </row>
    <row r="708" spans="74:86">
      <c r="BV708" s="87"/>
      <c r="BW708" s="87"/>
      <c r="BX708" s="87"/>
      <c r="BY708" s="87"/>
      <c r="BZ708" s="87"/>
      <c r="CA708" s="87"/>
      <c r="CB708" s="87"/>
      <c r="CC708" s="87"/>
      <c r="CD708" s="87"/>
      <c r="CE708" s="87"/>
      <c r="CF708" s="87"/>
      <c r="CG708" s="87"/>
      <c r="CH708" s="87"/>
    </row>
    <row r="709" spans="74:86">
      <c r="BV709" s="87"/>
      <c r="BW709" s="87"/>
      <c r="BX709" s="87"/>
      <c r="BY709" s="87"/>
      <c r="BZ709" s="87"/>
      <c r="CA709" s="87"/>
      <c r="CB709" s="87"/>
      <c r="CC709" s="87"/>
      <c r="CD709" s="87"/>
      <c r="CE709" s="87"/>
      <c r="CF709" s="87"/>
      <c r="CG709" s="87"/>
      <c r="CH709" s="87"/>
    </row>
    <row r="710" spans="74:86">
      <c r="BV710" s="87"/>
      <c r="BW710" s="87"/>
      <c r="BX710" s="87"/>
      <c r="BY710" s="87"/>
      <c r="BZ710" s="87"/>
      <c r="CA710" s="87"/>
      <c r="CB710" s="87"/>
      <c r="CC710" s="87"/>
      <c r="CD710" s="87"/>
      <c r="CE710" s="87"/>
      <c r="CF710" s="87"/>
      <c r="CG710" s="87"/>
      <c r="CH710" s="87"/>
    </row>
    <row r="711" spans="74:86">
      <c r="BV711" s="87"/>
      <c r="BW711" s="87"/>
      <c r="BX711" s="87"/>
      <c r="BY711" s="87"/>
      <c r="BZ711" s="87"/>
      <c r="CA711" s="87"/>
      <c r="CB711" s="87"/>
      <c r="CC711" s="87"/>
      <c r="CD711" s="87"/>
      <c r="CE711" s="87"/>
      <c r="CF711" s="87"/>
      <c r="CG711" s="87"/>
      <c r="CH711" s="87"/>
    </row>
    <row r="712" spans="74:86">
      <c r="BV712" s="87"/>
      <c r="BW712" s="87"/>
      <c r="BX712" s="87"/>
      <c r="BY712" s="87"/>
      <c r="BZ712" s="87"/>
      <c r="CA712" s="87"/>
      <c r="CB712" s="87"/>
      <c r="CC712" s="87"/>
      <c r="CD712" s="87"/>
      <c r="CE712" s="87"/>
      <c r="CF712" s="87"/>
      <c r="CG712" s="87"/>
      <c r="CH712" s="87"/>
    </row>
    <row r="713" spans="74:86">
      <c r="BV713" s="87"/>
      <c r="BW713" s="87"/>
      <c r="BX713" s="87"/>
      <c r="BY713" s="87"/>
      <c r="BZ713" s="87"/>
      <c r="CA713" s="87"/>
      <c r="CB713" s="87"/>
      <c r="CC713" s="87"/>
      <c r="CD713" s="87"/>
      <c r="CE713" s="87"/>
      <c r="CF713" s="87"/>
      <c r="CG713" s="87"/>
      <c r="CH713" s="87"/>
    </row>
    <row r="714" spans="74:86">
      <c r="BV714" s="87"/>
      <c r="BW714" s="87"/>
      <c r="BX714" s="87"/>
      <c r="BY714" s="87"/>
      <c r="BZ714" s="87"/>
      <c r="CA714" s="87"/>
      <c r="CB714" s="87"/>
      <c r="CC714" s="87"/>
      <c r="CD714" s="87"/>
      <c r="CE714" s="87"/>
      <c r="CF714" s="87"/>
      <c r="CG714" s="87"/>
      <c r="CH714" s="87"/>
    </row>
    <row r="715" spans="74:86">
      <c r="BV715" s="87"/>
      <c r="BW715" s="87"/>
      <c r="BX715" s="87"/>
      <c r="BY715" s="87"/>
      <c r="BZ715" s="87"/>
      <c r="CA715" s="87"/>
      <c r="CB715" s="87"/>
      <c r="CC715" s="87"/>
      <c r="CD715" s="87"/>
      <c r="CE715" s="87"/>
      <c r="CF715" s="87"/>
      <c r="CG715" s="87"/>
      <c r="CH715" s="87"/>
    </row>
    <row r="716" spans="74:86">
      <c r="BV716" s="87"/>
      <c r="BW716" s="87"/>
      <c r="BX716" s="87"/>
      <c r="BY716" s="87"/>
      <c r="BZ716" s="87"/>
      <c r="CA716" s="87"/>
      <c r="CB716" s="87"/>
      <c r="CC716" s="87"/>
      <c r="CD716" s="87"/>
      <c r="CE716" s="87"/>
      <c r="CF716" s="87"/>
      <c r="CG716" s="87"/>
      <c r="CH716" s="87"/>
    </row>
    <row r="717" spans="74:86">
      <c r="BV717" s="87"/>
      <c r="BW717" s="87"/>
      <c r="BX717" s="87"/>
      <c r="BY717" s="87"/>
      <c r="BZ717" s="87"/>
      <c r="CA717" s="87"/>
      <c r="CB717" s="87"/>
      <c r="CC717" s="87"/>
      <c r="CD717" s="87"/>
      <c r="CE717" s="87"/>
      <c r="CF717" s="87"/>
      <c r="CG717" s="87"/>
      <c r="CH717" s="87"/>
    </row>
    <row r="718" spans="74:86">
      <c r="BV718" s="87"/>
      <c r="BW718" s="87"/>
      <c r="BX718" s="87"/>
      <c r="BY718" s="87"/>
      <c r="BZ718" s="87"/>
      <c r="CA718" s="87"/>
      <c r="CB718" s="87"/>
      <c r="CC718" s="87"/>
      <c r="CD718" s="87"/>
      <c r="CE718" s="87"/>
      <c r="CF718" s="87"/>
      <c r="CG718" s="87"/>
      <c r="CH718" s="87"/>
    </row>
    <row r="719" spans="74:86">
      <c r="BV719" s="87"/>
      <c r="BW719" s="87"/>
      <c r="BX719" s="87"/>
      <c r="BY719" s="87"/>
      <c r="BZ719" s="87"/>
      <c r="CA719" s="87"/>
      <c r="CB719" s="87"/>
      <c r="CC719" s="87"/>
      <c r="CD719" s="87"/>
      <c r="CE719" s="87"/>
      <c r="CF719" s="87"/>
      <c r="CG719" s="87"/>
      <c r="CH719" s="87"/>
    </row>
    <row r="720" spans="74:86">
      <c r="BV720" s="87"/>
      <c r="BW720" s="87"/>
      <c r="BX720" s="87"/>
      <c r="BY720" s="87"/>
      <c r="BZ720" s="87"/>
      <c r="CA720" s="87"/>
      <c r="CB720" s="87"/>
      <c r="CC720" s="87"/>
      <c r="CD720" s="87"/>
      <c r="CE720" s="87"/>
      <c r="CF720" s="87"/>
      <c r="CG720" s="87"/>
      <c r="CH720" s="87"/>
    </row>
    <row r="721" spans="74:86">
      <c r="BV721" s="87"/>
      <c r="BW721" s="87"/>
      <c r="BX721" s="87"/>
      <c r="BY721" s="87"/>
      <c r="BZ721" s="87"/>
      <c r="CA721" s="87"/>
      <c r="CB721" s="87"/>
      <c r="CC721" s="87"/>
      <c r="CD721" s="87"/>
      <c r="CE721" s="87"/>
      <c r="CF721" s="87"/>
      <c r="CG721" s="87"/>
      <c r="CH721" s="87"/>
    </row>
    <row r="722" spans="74:86">
      <c r="BV722" s="87"/>
      <c r="BW722" s="87"/>
      <c r="BX722" s="87"/>
      <c r="BY722" s="87"/>
      <c r="BZ722" s="87"/>
      <c r="CA722" s="87"/>
      <c r="CB722" s="87"/>
      <c r="CC722" s="87"/>
      <c r="CD722" s="87"/>
      <c r="CE722" s="87"/>
      <c r="CF722" s="87"/>
      <c r="CG722" s="87"/>
      <c r="CH722" s="87"/>
    </row>
    <row r="723" spans="74:86">
      <c r="BV723" s="87"/>
      <c r="BW723" s="87"/>
      <c r="BX723" s="87"/>
      <c r="BY723" s="87"/>
      <c r="BZ723" s="87"/>
      <c r="CA723" s="87"/>
      <c r="CB723" s="87"/>
      <c r="CC723" s="87"/>
      <c r="CD723" s="87"/>
      <c r="CE723" s="87"/>
      <c r="CF723" s="87"/>
      <c r="CG723" s="87"/>
      <c r="CH723" s="87"/>
    </row>
    <row r="724" spans="74:86">
      <c r="BV724" s="87"/>
      <c r="BW724" s="87"/>
      <c r="BX724" s="87"/>
      <c r="BY724" s="87"/>
      <c r="BZ724" s="87"/>
      <c r="CA724" s="87"/>
      <c r="CB724" s="87"/>
      <c r="CC724" s="87"/>
      <c r="CD724" s="87"/>
      <c r="CE724" s="87"/>
      <c r="CF724" s="87"/>
      <c r="CG724" s="87"/>
      <c r="CH724" s="87"/>
    </row>
    <row r="725" spans="74:86">
      <c r="BV725" s="87"/>
      <c r="BW725" s="87"/>
      <c r="BX725" s="87"/>
      <c r="BY725" s="87"/>
      <c r="BZ725" s="87"/>
      <c r="CA725" s="87"/>
      <c r="CB725" s="87"/>
      <c r="CC725" s="87"/>
      <c r="CD725" s="87"/>
      <c r="CE725" s="87"/>
      <c r="CF725" s="87"/>
      <c r="CG725" s="87"/>
      <c r="CH725" s="87"/>
    </row>
    <row r="726" spans="74:86">
      <c r="BV726" s="87"/>
      <c r="BW726" s="87"/>
      <c r="BX726" s="87"/>
      <c r="BY726" s="87"/>
      <c r="BZ726" s="87"/>
      <c r="CA726" s="87"/>
      <c r="CB726" s="87"/>
      <c r="CC726" s="87"/>
      <c r="CD726" s="87"/>
      <c r="CE726" s="87"/>
      <c r="CF726" s="87"/>
      <c r="CG726" s="87"/>
      <c r="CH726" s="87"/>
    </row>
    <row r="727" spans="74:86">
      <c r="BV727" s="87"/>
      <c r="BW727" s="87"/>
      <c r="BX727" s="87"/>
      <c r="BY727" s="87"/>
      <c r="BZ727" s="87"/>
      <c r="CA727" s="87"/>
      <c r="CB727" s="87"/>
      <c r="CC727" s="87"/>
      <c r="CD727" s="87"/>
      <c r="CE727" s="87"/>
      <c r="CF727" s="87"/>
      <c r="CG727" s="87"/>
      <c r="CH727" s="87"/>
    </row>
    <row r="728" spans="74:86">
      <c r="BV728" s="87"/>
      <c r="BW728" s="87"/>
      <c r="BX728" s="87"/>
      <c r="BY728" s="87"/>
      <c r="BZ728" s="87"/>
      <c r="CA728" s="87"/>
      <c r="CB728" s="87"/>
      <c r="CC728" s="87"/>
      <c r="CD728" s="87"/>
      <c r="CE728" s="87"/>
      <c r="CF728" s="87"/>
      <c r="CG728" s="87"/>
      <c r="CH728" s="87"/>
    </row>
    <row r="729" spans="74:86">
      <c r="BV729" s="87"/>
      <c r="BW729" s="87"/>
      <c r="BX729" s="87"/>
      <c r="BY729" s="87"/>
      <c r="BZ729" s="87"/>
      <c r="CA729" s="87"/>
      <c r="CB729" s="87"/>
      <c r="CC729" s="87"/>
      <c r="CD729" s="87"/>
      <c r="CE729" s="87"/>
      <c r="CF729" s="87"/>
      <c r="CG729" s="87"/>
      <c r="CH729" s="87"/>
    </row>
    <row r="730" spans="74:86">
      <c r="BV730" s="87"/>
      <c r="BW730" s="87"/>
      <c r="BX730" s="87"/>
      <c r="BY730" s="87"/>
      <c r="BZ730" s="87"/>
      <c r="CA730" s="87"/>
      <c r="CB730" s="87"/>
      <c r="CC730" s="87"/>
      <c r="CD730" s="87"/>
      <c r="CE730" s="87"/>
      <c r="CF730" s="87"/>
      <c r="CG730" s="87"/>
      <c r="CH730" s="87"/>
    </row>
    <row r="731" spans="74:86">
      <c r="BV731" s="87"/>
      <c r="BW731" s="87"/>
      <c r="BX731" s="87"/>
      <c r="BY731" s="87"/>
      <c r="BZ731" s="87"/>
      <c r="CA731" s="87"/>
      <c r="CB731" s="87"/>
      <c r="CC731" s="87"/>
      <c r="CD731" s="87"/>
      <c r="CE731" s="87"/>
      <c r="CF731" s="87"/>
      <c r="CG731" s="87"/>
      <c r="CH731" s="87"/>
    </row>
    <row r="732" spans="74:86">
      <c r="BV732" s="87"/>
      <c r="BW732" s="87"/>
      <c r="BX732" s="87"/>
      <c r="BY732" s="87"/>
      <c r="BZ732" s="87"/>
      <c r="CA732" s="87"/>
      <c r="CB732" s="87"/>
      <c r="CC732" s="87"/>
      <c r="CD732" s="87"/>
      <c r="CE732" s="87"/>
      <c r="CF732" s="87"/>
      <c r="CG732" s="87"/>
      <c r="CH732" s="87"/>
    </row>
    <row r="733" spans="74:86">
      <c r="BV733" s="87"/>
      <c r="BW733" s="87"/>
      <c r="BX733" s="87"/>
      <c r="BY733" s="87"/>
      <c r="BZ733" s="87"/>
      <c r="CA733" s="87"/>
      <c r="CB733" s="87"/>
      <c r="CC733" s="87"/>
      <c r="CD733" s="87"/>
      <c r="CE733" s="87"/>
      <c r="CF733" s="87"/>
      <c r="CG733" s="87"/>
      <c r="CH733" s="87"/>
    </row>
    <row r="734" spans="74:86">
      <c r="BV734" s="87"/>
      <c r="BW734" s="87"/>
      <c r="BX734" s="87"/>
      <c r="BY734" s="87"/>
      <c r="BZ734" s="87"/>
      <c r="CA734" s="87"/>
      <c r="CB734" s="87"/>
      <c r="CC734" s="87"/>
      <c r="CD734" s="87"/>
      <c r="CE734" s="87"/>
      <c r="CF734" s="87"/>
      <c r="CG734" s="87"/>
      <c r="CH734" s="87"/>
    </row>
    <row r="735" spans="74:86">
      <c r="BV735" s="87"/>
      <c r="BW735" s="87"/>
      <c r="BX735" s="87"/>
      <c r="BY735" s="87"/>
      <c r="BZ735" s="87"/>
      <c r="CA735" s="87"/>
      <c r="CB735" s="87"/>
      <c r="CC735" s="87"/>
      <c r="CD735" s="87"/>
      <c r="CE735" s="87"/>
      <c r="CF735" s="87"/>
      <c r="CG735" s="87"/>
      <c r="CH735" s="87"/>
    </row>
    <row r="736" spans="74:86">
      <c r="BV736" s="87"/>
      <c r="BW736" s="87"/>
      <c r="BX736" s="87"/>
      <c r="BY736" s="87"/>
      <c r="BZ736" s="87"/>
      <c r="CA736" s="87"/>
      <c r="CB736" s="87"/>
      <c r="CC736" s="87"/>
      <c r="CD736" s="87"/>
      <c r="CE736" s="87"/>
      <c r="CF736" s="87"/>
      <c r="CG736" s="87"/>
      <c r="CH736" s="87"/>
    </row>
    <row r="737" spans="74:86">
      <c r="BV737" s="87"/>
      <c r="BW737" s="87"/>
      <c r="BX737" s="87"/>
      <c r="BY737" s="87"/>
      <c r="BZ737" s="87"/>
      <c r="CA737" s="87"/>
      <c r="CB737" s="87"/>
      <c r="CC737" s="87"/>
      <c r="CD737" s="87"/>
      <c r="CE737" s="87"/>
      <c r="CF737" s="87"/>
      <c r="CG737" s="87"/>
      <c r="CH737" s="87"/>
    </row>
    <row r="738" spans="74:86">
      <c r="BV738" s="87"/>
      <c r="BW738" s="87"/>
      <c r="BX738" s="87"/>
      <c r="BY738" s="87"/>
      <c r="BZ738" s="87"/>
      <c r="CA738" s="87"/>
      <c r="CB738" s="87"/>
      <c r="CC738" s="87"/>
      <c r="CD738" s="87"/>
      <c r="CE738" s="87"/>
      <c r="CF738" s="87"/>
      <c r="CG738" s="87"/>
      <c r="CH738" s="87"/>
    </row>
    <row r="739" spans="74:86">
      <c r="BV739" s="87"/>
      <c r="BW739" s="87"/>
      <c r="BX739" s="87"/>
      <c r="BY739" s="87"/>
      <c r="BZ739" s="87"/>
      <c r="CA739" s="87"/>
      <c r="CB739" s="87"/>
      <c r="CC739" s="87"/>
      <c r="CD739" s="87"/>
      <c r="CE739" s="87"/>
      <c r="CF739" s="87"/>
      <c r="CG739" s="87"/>
      <c r="CH739" s="87"/>
    </row>
    <row r="740" spans="74:86">
      <c r="BV740" s="87"/>
      <c r="BW740" s="87"/>
      <c r="BX740" s="87"/>
      <c r="BY740" s="87"/>
      <c r="BZ740" s="87"/>
      <c r="CA740" s="87"/>
      <c r="CB740" s="87"/>
      <c r="CC740" s="87"/>
      <c r="CD740" s="87"/>
      <c r="CE740" s="87"/>
      <c r="CF740" s="87"/>
      <c r="CG740" s="87"/>
      <c r="CH740" s="87"/>
    </row>
    <row r="741" spans="74:86">
      <c r="BV741" s="87"/>
      <c r="BW741" s="87"/>
      <c r="BX741" s="87"/>
      <c r="BY741" s="87"/>
      <c r="BZ741" s="87"/>
      <c r="CA741" s="87"/>
      <c r="CB741" s="87"/>
      <c r="CC741" s="87"/>
      <c r="CD741" s="87"/>
      <c r="CE741" s="87"/>
      <c r="CF741" s="87"/>
      <c r="CG741" s="87"/>
      <c r="CH741" s="87"/>
    </row>
    <row r="742" spans="74:86">
      <c r="BV742" s="87"/>
      <c r="BW742" s="87"/>
      <c r="BX742" s="87"/>
      <c r="BY742" s="87"/>
      <c r="BZ742" s="87"/>
      <c r="CA742" s="87"/>
      <c r="CB742" s="87"/>
      <c r="CC742" s="87"/>
      <c r="CD742" s="87"/>
      <c r="CE742" s="87"/>
      <c r="CF742" s="87"/>
      <c r="CG742" s="87"/>
      <c r="CH742" s="87"/>
    </row>
    <row r="743" spans="74:86">
      <c r="BV743" s="87"/>
      <c r="BW743" s="87"/>
      <c r="BX743" s="87"/>
      <c r="BY743" s="87"/>
      <c r="BZ743" s="87"/>
      <c r="CA743" s="87"/>
      <c r="CB743" s="87"/>
      <c r="CC743" s="87"/>
      <c r="CD743" s="87"/>
      <c r="CE743" s="87"/>
      <c r="CF743" s="87"/>
      <c r="CG743" s="87"/>
      <c r="CH743" s="87"/>
    </row>
    <row r="744" spans="74:86">
      <c r="BV744" s="87"/>
      <c r="BW744" s="87"/>
      <c r="BX744" s="87"/>
      <c r="BY744" s="87"/>
      <c r="BZ744" s="87"/>
      <c r="CA744" s="87"/>
      <c r="CB744" s="87"/>
      <c r="CC744" s="87"/>
      <c r="CD744" s="87"/>
      <c r="CE744" s="87"/>
      <c r="CF744" s="87"/>
      <c r="CG744" s="87"/>
      <c r="CH744" s="87"/>
    </row>
    <row r="745" spans="74:86">
      <c r="BV745" s="87"/>
      <c r="BW745" s="87"/>
      <c r="BX745" s="87"/>
      <c r="BY745" s="87"/>
      <c r="BZ745" s="87"/>
      <c r="CA745" s="87"/>
      <c r="CB745" s="87"/>
      <c r="CC745" s="87"/>
      <c r="CD745" s="87"/>
      <c r="CE745" s="87"/>
      <c r="CF745" s="87"/>
      <c r="CG745" s="87"/>
      <c r="CH745" s="87"/>
    </row>
    <row r="746" spans="74:86">
      <c r="BV746" s="87"/>
      <c r="BW746" s="87"/>
      <c r="BX746" s="87"/>
      <c r="BY746" s="87"/>
      <c r="BZ746" s="87"/>
      <c r="CA746" s="87"/>
      <c r="CB746" s="87"/>
      <c r="CC746" s="87"/>
      <c r="CD746" s="87"/>
      <c r="CE746" s="87"/>
      <c r="CF746" s="87"/>
      <c r="CG746" s="87"/>
      <c r="CH746" s="87"/>
    </row>
    <row r="747" spans="74:86">
      <c r="BV747" s="87"/>
      <c r="BW747" s="87"/>
      <c r="BX747" s="87"/>
      <c r="BY747" s="87"/>
      <c r="BZ747" s="87"/>
      <c r="CA747" s="87"/>
      <c r="CB747" s="87"/>
      <c r="CC747" s="87"/>
      <c r="CD747" s="87"/>
      <c r="CE747" s="87"/>
      <c r="CF747" s="87"/>
      <c r="CG747" s="87"/>
      <c r="CH747" s="87"/>
    </row>
    <row r="748" spans="74:86">
      <c r="BV748" s="87"/>
      <c r="BW748" s="87"/>
      <c r="BX748" s="87"/>
      <c r="BY748" s="87"/>
      <c r="BZ748" s="87"/>
      <c r="CA748" s="87"/>
      <c r="CB748" s="87"/>
      <c r="CC748" s="87"/>
      <c r="CD748" s="87"/>
      <c r="CE748" s="87"/>
      <c r="CF748" s="87"/>
      <c r="CG748" s="87"/>
      <c r="CH748" s="87"/>
    </row>
    <row r="749" spans="74:86">
      <c r="BV749" s="87"/>
      <c r="BW749" s="87"/>
      <c r="BX749" s="87"/>
      <c r="BY749" s="87"/>
      <c r="BZ749" s="87"/>
      <c r="CA749" s="87"/>
      <c r="CB749" s="87"/>
      <c r="CC749" s="87"/>
      <c r="CD749" s="87"/>
      <c r="CE749" s="87"/>
      <c r="CF749" s="87"/>
      <c r="CG749" s="87"/>
      <c r="CH749" s="87"/>
    </row>
    <row r="750" spans="74:86">
      <c r="BV750" s="87"/>
      <c r="BW750" s="87"/>
      <c r="BX750" s="87"/>
      <c r="BY750" s="87"/>
      <c r="BZ750" s="87"/>
      <c r="CA750" s="87"/>
      <c r="CB750" s="87"/>
      <c r="CC750" s="87"/>
      <c r="CD750" s="87"/>
      <c r="CE750" s="87"/>
      <c r="CF750" s="87"/>
      <c r="CG750" s="87"/>
      <c r="CH750" s="87"/>
    </row>
    <row r="751" spans="74:86">
      <c r="BV751" s="87"/>
      <c r="BW751" s="87"/>
      <c r="BX751" s="87"/>
      <c r="BY751" s="87"/>
      <c r="BZ751" s="87"/>
      <c r="CA751" s="87"/>
      <c r="CB751" s="87"/>
      <c r="CC751" s="87"/>
      <c r="CD751" s="87"/>
      <c r="CE751" s="87"/>
      <c r="CF751" s="87"/>
      <c r="CG751" s="87"/>
      <c r="CH751" s="87"/>
    </row>
    <row r="752" spans="74:86">
      <c r="BV752" s="87"/>
      <c r="BW752" s="87"/>
      <c r="BX752" s="87"/>
      <c r="BY752" s="87"/>
      <c r="BZ752" s="87"/>
      <c r="CA752" s="87"/>
      <c r="CB752" s="87"/>
      <c r="CC752" s="87"/>
      <c r="CD752" s="87"/>
      <c r="CE752" s="87"/>
      <c r="CF752" s="87"/>
      <c r="CG752" s="87"/>
      <c r="CH752" s="87"/>
    </row>
    <row r="753" spans="74:86">
      <c r="BV753" s="87"/>
      <c r="BW753" s="87"/>
      <c r="BX753" s="87"/>
      <c r="BY753" s="87"/>
      <c r="BZ753" s="87"/>
      <c r="CA753" s="87"/>
      <c r="CB753" s="87"/>
      <c r="CC753" s="87"/>
      <c r="CD753" s="87"/>
      <c r="CE753" s="87"/>
      <c r="CF753" s="87"/>
      <c r="CG753" s="87"/>
      <c r="CH753" s="87"/>
    </row>
    <row r="754" spans="74:86">
      <c r="BV754" s="87"/>
      <c r="BW754" s="87"/>
      <c r="BX754" s="87"/>
      <c r="BY754" s="87"/>
      <c r="BZ754" s="87"/>
      <c r="CA754" s="87"/>
      <c r="CB754" s="87"/>
      <c r="CC754" s="87"/>
      <c r="CD754" s="87"/>
      <c r="CE754" s="87"/>
      <c r="CF754" s="87"/>
      <c r="CG754" s="87"/>
      <c r="CH754" s="87"/>
    </row>
    <row r="755" spans="74:86">
      <c r="BV755" s="87"/>
      <c r="BW755" s="87"/>
      <c r="BX755" s="87"/>
      <c r="BY755" s="87"/>
      <c r="BZ755" s="87"/>
      <c r="CA755" s="87"/>
      <c r="CB755" s="87"/>
      <c r="CC755" s="87"/>
      <c r="CD755" s="87"/>
      <c r="CE755" s="87"/>
      <c r="CF755" s="87"/>
      <c r="CG755" s="87"/>
      <c r="CH755" s="87"/>
    </row>
    <row r="756" spans="74:86">
      <c r="BV756" s="87"/>
      <c r="BW756" s="87"/>
      <c r="BX756" s="87"/>
      <c r="BY756" s="87"/>
      <c r="BZ756" s="87"/>
      <c r="CA756" s="87"/>
      <c r="CB756" s="87"/>
      <c r="CC756" s="87"/>
      <c r="CD756" s="87"/>
      <c r="CE756" s="87"/>
      <c r="CF756" s="87"/>
      <c r="CG756" s="87"/>
      <c r="CH756" s="87"/>
    </row>
    <row r="757" spans="74:86">
      <c r="BV757" s="87"/>
      <c r="BW757" s="87"/>
      <c r="BX757" s="87"/>
      <c r="BY757" s="87"/>
      <c r="BZ757" s="87"/>
      <c r="CA757" s="87"/>
      <c r="CB757" s="87"/>
      <c r="CC757" s="87"/>
      <c r="CD757" s="87"/>
      <c r="CE757" s="87"/>
      <c r="CF757" s="87"/>
      <c r="CG757" s="87"/>
      <c r="CH757" s="87"/>
    </row>
    <row r="758" spans="74:86">
      <c r="BV758" s="87"/>
      <c r="BW758" s="87"/>
      <c r="BX758" s="87"/>
      <c r="BY758" s="87"/>
      <c r="BZ758" s="87"/>
      <c r="CA758" s="87"/>
      <c r="CB758" s="87"/>
      <c r="CC758" s="87"/>
      <c r="CD758" s="87"/>
      <c r="CE758" s="87"/>
      <c r="CF758" s="87"/>
      <c r="CG758" s="87"/>
      <c r="CH758" s="87"/>
    </row>
    <row r="759" spans="74:86">
      <c r="BV759" s="87"/>
      <c r="BW759" s="87"/>
      <c r="BX759" s="87"/>
      <c r="BY759" s="87"/>
      <c r="BZ759" s="87"/>
      <c r="CA759" s="87"/>
      <c r="CB759" s="87"/>
      <c r="CC759" s="87"/>
      <c r="CD759" s="87"/>
      <c r="CE759" s="87"/>
      <c r="CF759" s="87"/>
      <c r="CG759" s="87"/>
      <c r="CH759" s="87"/>
    </row>
    <row r="760" spans="74:86">
      <c r="BV760" s="87"/>
      <c r="BW760" s="87"/>
      <c r="BX760" s="87"/>
      <c r="BY760" s="87"/>
      <c r="BZ760" s="87"/>
      <c r="CA760" s="87"/>
      <c r="CB760" s="87"/>
      <c r="CC760" s="87"/>
      <c r="CD760" s="87"/>
      <c r="CE760" s="87"/>
      <c r="CF760" s="87"/>
      <c r="CG760" s="87"/>
      <c r="CH760" s="87"/>
    </row>
    <row r="761" spans="74:86">
      <c r="BV761" s="87"/>
      <c r="BW761" s="87"/>
      <c r="BX761" s="87"/>
      <c r="BY761" s="87"/>
      <c r="BZ761" s="87"/>
      <c r="CA761" s="87"/>
      <c r="CB761" s="87"/>
      <c r="CC761" s="87"/>
      <c r="CD761" s="87"/>
      <c r="CE761" s="87"/>
      <c r="CF761" s="87"/>
      <c r="CG761" s="87"/>
      <c r="CH761" s="87"/>
    </row>
    <row r="762" spans="74:86">
      <c r="BV762" s="87"/>
      <c r="BW762" s="87"/>
      <c r="BX762" s="87"/>
      <c r="BY762" s="87"/>
      <c r="BZ762" s="87"/>
      <c r="CA762" s="87"/>
      <c r="CB762" s="87"/>
      <c r="CC762" s="87"/>
      <c r="CD762" s="87"/>
      <c r="CE762" s="87"/>
      <c r="CF762" s="87"/>
      <c r="CG762" s="87"/>
      <c r="CH762" s="87"/>
    </row>
    <row r="763" spans="74:86">
      <c r="BV763" s="87"/>
      <c r="BW763" s="87"/>
      <c r="BX763" s="87"/>
      <c r="BY763" s="87"/>
      <c r="BZ763" s="87"/>
      <c r="CA763" s="87"/>
      <c r="CB763" s="87"/>
      <c r="CC763" s="87"/>
      <c r="CD763" s="87"/>
      <c r="CE763" s="87"/>
      <c r="CF763" s="87"/>
      <c r="CG763" s="87"/>
      <c r="CH763" s="87"/>
    </row>
    <row r="764" spans="74:86">
      <c r="BV764" s="87"/>
      <c r="BW764" s="87"/>
      <c r="BX764" s="87"/>
      <c r="BY764" s="87"/>
      <c r="BZ764" s="87"/>
      <c r="CA764" s="87"/>
      <c r="CB764" s="87"/>
      <c r="CC764" s="87"/>
      <c r="CD764" s="87"/>
      <c r="CE764" s="87"/>
      <c r="CF764" s="87"/>
      <c r="CG764" s="87"/>
      <c r="CH764" s="87"/>
    </row>
    <row r="765" spans="74:86">
      <c r="BV765" s="87"/>
      <c r="BW765" s="87"/>
      <c r="BX765" s="87"/>
      <c r="BY765" s="87"/>
      <c r="BZ765" s="87"/>
      <c r="CA765" s="87"/>
      <c r="CB765" s="87"/>
      <c r="CC765" s="87"/>
      <c r="CD765" s="87"/>
      <c r="CE765" s="87"/>
      <c r="CF765" s="87"/>
      <c r="CG765" s="87"/>
      <c r="CH765" s="87"/>
    </row>
    <row r="766" spans="74:86">
      <c r="BV766" s="87"/>
      <c r="BW766" s="87"/>
      <c r="BX766" s="87"/>
      <c r="BY766" s="87"/>
      <c r="BZ766" s="87"/>
      <c r="CA766" s="87"/>
      <c r="CB766" s="87"/>
      <c r="CC766" s="87"/>
      <c r="CD766" s="87"/>
      <c r="CE766" s="87"/>
      <c r="CF766" s="87"/>
      <c r="CG766" s="87"/>
      <c r="CH766" s="87"/>
    </row>
    <row r="767" spans="74:86">
      <c r="BV767" s="87"/>
      <c r="BW767" s="87"/>
      <c r="BX767" s="87"/>
      <c r="BY767" s="87"/>
      <c r="BZ767" s="87"/>
      <c r="CA767" s="87"/>
      <c r="CB767" s="87"/>
      <c r="CC767" s="87"/>
      <c r="CD767" s="87"/>
      <c r="CE767" s="87"/>
      <c r="CF767" s="87"/>
      <c r="CG767" s="87"/>
      <c r="CH767" s="87"/>
    </row>
    <row r="768" spans="74:86">
      <c r="BV768" s="87"/>
      <c r="BW768" s="87"/>
      <c r="BX768" s="87"/>
      <c r="BY768" s="87"/>
      <c r="BZ768" s="87"/>
      <c r="CA768" s="87"/>
      <c r="CB768" s="87"/>
      <c r="CC768" s="87"/>
      <c r="CD768" s="87"/>
      <c r="CE768" s="87"/>
      <c r="CF768" s="87"/>
      <c r="CG768" s="87"/>
      <c r="CH768" s="87"/>
    </row>
    <row r="769" spans="74:86">
      <c r="BV769" s="87"/>
      <c r="BW769" s="87"/>
      <c r="BX769" s="87"/>
      <c r="BY769" s="87"/>
      <c r="BZ769" s="87"/>
      <c r="CA769" s="87"/>
      <c r="CB769" s="87"/>
      <c r="CC769" s="87"/>
      <c r="CD769" s="87"/>
      <c r="CE769" s="87"/>
      <c r="CF769" s="87"/>
      <c r="CG769" s="87"/>
      <c r="CH769" s="87"/>
    </row>
    <row r="770" spans="74:86">
      <c r="BV770" s="87"/>
      <c r="BW770" s="87"/>
      <c r="BX770" s="87"/>
      <c r="BY770" s="87"/>
      <c r="BZ770" s="87"/>
      <c r="CA770" s="87"/>
      <c r="CB770" s="87"/>
      <c r="CC770" s="87"/>
      <c r="CD770" s="87"/>
      <c r="CE770" s="87"/>
      <c r="CF770" s="87"/>
      <c r="CG770" s="87"/>
      <c r="CH770" s="87"/>
    </row>
    <row r="771" spans="74:86">
      <c r="BV771" s="87"/>
      <c r="BW771" s="87"/>
      <c r="BX771" s="87"/>
      <c r="BY771" s="87"/>
      <c r="BZ771" s="87"/>
      <c r="CA771" s="87"/>
      <c r="CB771" s="87"/>
      <c r="CC771" s="87"/>
      <c r="CD771" s="87"/>
      <c r="CE771" s="87"/>
      <c r="CF771" s="87"/>
      <c r="CG771" s="87"/>
      <c r="CH771" s="87"/>
    </row>
    <row r="772" spans="74:86">
      <c r="BV772" s="87"/>
      <c r="BW772" s="87"/>
      <c r="BX772" s="87"/>
      <c r="BY772" s="87"/>
      <c r="BZ772" s="87"/>
      <c r="CA772" s="87"/>
      <c r="CB772" s="87"/>
      <c r="CC772" s="87"/>
      <c r="CD772" s="87"/>
      <c r="CE772" s="87"/>
      <c r="CF772" s="87"/>
      <c r="CG772" s="87"/>
      <c r="CH772" s="87"/>
    </row>
    <row r="773" spans="74:86">
      <c r="BV773" s="87"/>
      <c r="BW773" s="87"/>
      <c r="BX773" s="87"/>
      <c r="BY773" s="87"/>
      <c r="BZ773" s="87"/>
      <c r="CA773" s="87"/>
      <c r="CB773" s="87"/>
      <c r="CC773" s="87"/>
      <c r="CD773" s="87"/>
      <c r="CE773" s="87"/>
      <c r="CF773" s="87"/>
      <c r="CG773" s="87"/>
      <c r="CH773" s="87"/>
    </row>
    <row r="774" spans="74:86">
      <c r="BV774" s="87"/>
      <c r="BW774" s="87"/>
      <c r="BX774" s="87"/>
      <c r="BY774" s="87"/>
      <c r="BZ774" s="87"/>
      <c r="CA774" s="87"/>
      <c r="CB774" s="87"/>
      <c r="CC774" s="87"/>
      <c r="CD774" s="87"/>
      <c r="CE774" s="87"/>
      <c r="CF774" s="87"/>
      <c r="CG774" s="87"/>
      <c r="CH774" s="87"/>
    </row>
    <row r="775" spans="74:86">
      <c r="BV775" s="87"/>
      <c r="BW775" s="87"/>
      <c r="BX775" s="87"/>
      <c r="BY775" s="87"/>
      <c r="BZ775" s="87"/>
      <c r="CA775" s="87"/>
      <c r="CB775" s="87"/>
      <c r="CC775" s="87"/>
      <c r="CD775" s="87"/>
      <c r="CE775" s="87"/>
      <c r="CF775" s="87"/>
      <c r="CG775" s="87"/>
      <c r="CH775" s="87"/>
    </row>
    <row r="776" spans="74:86">
      <c r="BV776" s="87"/>
      <c r="BW776" s="87"/>
      <c r="BX776" s="87"/>
      <c r="BY776" s="87"/>
      <c r="BZ776" s="87"/>
      <c r="CA776" s="87"/>
      <c r="CB776" s="87"/>
      <c r="CC776" s="87"/>
      <c r="CD776" s="87"/>
      <c r="CE776" s="87"/>
      <c r="CF776" s="87"/>
      <c r="CG776" s="87"/>
      <c r="CH776" s="87"/>
    </row>
    <row r="777" spans="74:86">
      <c r="BV777" s="87"/>
      <c r="BW777" s="87"/>
      <c r="BX777" s="87"/>
      <c r="BY777" s="87"/>
      <c r="BZ777" s="87"/>
      <c r="CA777" s="87"/>
      <c r="CB777" s="87"/>
      <c r="CC777" s="87"/>
      <c r="CD777" s="87"/>
      <c r="CE777" s="87"/>
      <c r="CF777" s="87"/>
      <c r="CG777" s="87"/>
      <c r="CH777" s="87"/>
    </row>
    <row r="778" spans="74:86">
      <c r="BV778" s="87"/>
      <c r="BW778" s="87"/>
      <c r="BX778" s="87"/>
      <c r="BY778" s="87"/>
      <c r="BZ778" s="87"/>
      <c r="CA778" s="87"/>
      <c r="CB778" s="87"/>
      <c r="CC778" s="87"/>
      <c r="CD778" s="87"/>
      <c r="CE778" s="87"/>
      <c r="CF778" s="87"/>
      <c r="CG778" s="87"/>
      <c r="CH778" s="87"/>
    </row>
    <row r="779" spans="74:86">
      <c r="BV779" s="87"/>
      <c r="BW779" s="87"/>
      <c r="BX779" s="87"/>
      <c r="BY779" s="87"/>
      <c r="BZ779" s="87"/>
      <c r="CA779" s="87"/>
      <c r="CB779" s="87"/>
      <c r="CC779" s="87"/>
      <c r="CD779" s="87"/>
      <c r="CE779" s="87"/>
      <c r="CF779" s="87"/>
      <c r="CG779" s="87"/>
      <c r="CH779" s="87"/>
    </row>
    <row r="780" spans="74:86">
      <c r="BV780" s="87"/>
      <c r="BW780" s="87"/>
      <c r="BX780" s="87"/>
      <c r="BY780" s="87"/>
      <c r="BZ780" s="87"/>
      <c r="CA780" s="87"/>
      <c r="CB780" s="87"/>
      <c r="CC780" s="87"/>
      <c r="CD780" s="87"/>
      <c r="CE780" s="87"/>
      <c r="CF780" s="87"/>
      <c r="CG780" s="87"/>
      <c r="CH780" s="87"/>
    </row>
    <row r="781" spans="74:86">
      <c r="BV781" s="87"/>
      <c r="BW781" s="87"/>
      <c r="BX781" s="87"/>
      <c r="BY781" s="87"/>
      <c r="BZ781" s="87"/>
      <c r="CA781" s="87"/>
      <c r="CB781" s="87"/>
      <c r="CC781" s="87"/>
      <c r="CD781" s="87"/>
      <c r="CE781" s="87"/>
      <c r="CF781" s="87"/>
      <c r="CG781" s="87"/>
      <c r="CH781" s="87"/>
    </row>
    <row r="782" spans="74:86">
      <c r="BV782" s="87"/>
      <c r="BW782" s="87"/>
      <c r="BX782" s="87"/>
      <c r="BY782" s="87"/>
      <c r="BZ782" s="87"/>
      <c r="CA782" s="87"/>
      <c r="CB782" s="87"/>
      <c r="CC782" s="87"/>
      <c r="CD782" s="87"/>
      <c r="CE782" s="87"/>
      <c r="CF782" s="87"/>
      <c r="CG782" s="87"/>
      <c r="CH782" s="87"/>
    </row>
    <row r="783" spans="74:86">
      <c r="BV783" s="87"/>
      <c r="BW783" s="87"/>
      <c r="BX783" s="87"/>
      <c r="BY783" s="87"/>
      <c r="BZ783" s="87"/>
      <c r="CA783" s="87"/>
      <c r="CB783" s="87"/>
      <c r="CC783" s="87"/>
      <c r="CD783" s="87"/>
      <c r="CE783" s="87"/>
      <c r="CF783" s="87"/>
      <c r="CG783" s="87"/>
      <c r="CH783" s="87"/>
    </row>
    <row r="784" spans="74:86">
      <c r="BV784" s="87"/>
      <c r="BW784" s="87"/>
      <c r="BX784" s="87"/>
      <c r="BY784" s="87"/>
      <c r="BZ784" s="87"/>
      <c r="CA784" s="87"/>
      <c r="CB784" s="87"/>
      <c r="CC784" s="87"/>
      <c r="CD784" s="87"/>
      <c r="CE784" s="87"/>
      <c r="CF784" s="87"/>
      <c r="CG784" s="87"/>
      <c r="CH784" s="87"/>
    </row>
    <row r="785" spans="74:86">
      <c r="BV785" s="87"/>
      <c r="BW785" s="87"/>
      <c r="BX785" s="87"/>
      <c r="BY785" s="87"/>
      <c r="BZ785" s="87"/>
      <c r="CA785" s="87"/>
      <c r="CB785" s="87"/>
      <c r="CC785" s="87"/>
      <c r="CD785" s="87"/>
      <c r="CE785" s="87"/>
      <c r="CF785" s="87"/>
      <c r="CG785" s="87"/>
      <c r="CH785" s="87"/>
    </row>
    <row r="786" spans="74:86">
      <c r="BV786" s="87"/>
      <c r="BW786" s="87"/>
      <c r="BX786" s="87"/>
      <c r="BY786" s="87"/>
      <c r="BZ786" s="87"/>
      <c r="CA786" s="87"/>
      <c r="CB786" s="87"/>
      <c r="CC786" s="87"/>
      <c r="CD786" s="87"/>
      <c r="CE786" s="87"/>
      <c r="CF786" s="87"/>
      <c r="CG786" s="87"/>
      <c r="CH786" s="87"/>
    </row>
    <row r="787" spans="74:86">
      <c r="BV787" s="87"/>
      <c r="BW787" s="87"/>
      <c r="BX787" s="87"/>
      <c r="BY787" s="87"/>
      <c r="BZ787" s="87"/>
      <c r="CA787" s="87"/>
      <c r="CB787" s="87"/>
      <c r="CC787" s="87"/>
      <c r="CD787" s="87"/>
      <c r="CE787" s="87"/>
      <c r="CF787" s="87"/>
      <c r="CG787" s="87"/>
      <c r="CH787" s="87"/>
    </row>
    <row r="788" spans="74:86">
      <c r="BV788" s="87"/>
      <c r="BW788" s="87"/>
      <c r="BX788" s="87"/>
      <c r="BY788" s="87"/>
      <c r="BZ788" s="87"/>
      <c r="CA788" s="87"/>
      <c r="CB788" s="87"/>
      <c r="CC788" s="87"/>
      <c r="CD788" s="87"/>
      <c r="CE788" s="87"/>
      <c r="CF788" s="87"/>
      <c r="CG788" s="87"/>
      <c r="CH788" s="87"/>
    </row>
    <row r="789" spans="74:86">
      <c r="BV789" s="87"/>
      <c r="BW789" s="87"/>
      <c r="BX789" s="87"/>
      <c r="BY789" s="87"/>
      <c r="BZ789" s="87"/>
      <c r="CA789" s="87"/>
      <c r="CB789" s="87"/>
      <c r="CC789" s="87"/>
      <c r="CD789" s="87"/>
      <c r="CE789" s="87"/>
      <c r="CF789" s="87"/>
      <c r="CG789" s="87"/>
      <c r="CH789" s="87"/>
    </row>
    <row r="790" spans="74:86">
      <c r="BV790" s="87"/>
      <c r="BW790" s="87"/>
      <c r="BX790" s="87"/>
      <c r="BY790" s="87"/>
      <c r="BZ790" s="87"/>
      <c r="CA790" s="87"/>
      <c r="CB790" s="87"/>
      <c r="CC790" s="87"/>
      <c r="CD790" s="87"/>
      <c r="CE790" s="87"/>
      <c r="CF790" s="87"/>
      <c r="CG790" s="87"/>
      <c r="CH790" s="87"/>
    </row>
    <row r="791" spans="74:86">
      <c r="BV791" s="87"/>
      <c r="BW791" s="87"/>
      <c r="BX791" s="87"/>
      <c r="BY791" s="87"/>
      <c r="BZ791" s="87"/>
      <c r="CA791" s="87"/>
      <c r="CB791" s="87"/>
      <c r="CC791" s="87"/>
      <c r="CD791" s="87"/>
      <c r="CE791" s="87"/>
      <c r="CF791" s="87"/>
      <c r="CG791" s="87"/>
      <c r="CH791" s="87"/>
    </row>
    <row r="792" spans="74:86">
      <c r="BV792" s="87"/>
      <c r="BW792" s="87"/>
      <c r="BX792" s="87"/>
      <c r="BY792" s="87"/>
      <c r="BZ792" s="87"/>
      <c r="CA792" s="87"/>
      <c r="CB792" s="87"/>
      <c r="CC792" s="87"/>
      <c r="CD792" s="87"/>
      <c r="CE792" s="87"/>
      <c r="CF792" s="87"/>
      <c r="CG792" s="87"/>
      <c r="CH792" s="87"/>
    </row>
    <row r="793" spans="74:86">
      <c r="BV793" s="87"/>
      <c r="BW793" s="87"/>
      <c r="BX793" s="87"/>
      <c r="BY793" s="87"/>
      <c r="BZ793" s="87"/>
      <c r="CA793" s="87"/>
      <c r="CB793" s="87"/>
      <c r="CC793" s="87"/>
      <c r="CD793" s="87"/>
      <c r="CE793" s="87"/>
      <c r="CF793" s="87"/>
      <c r="CG793" s="87"/>
      <c r="CH793" s="87"/>
    </row>
    <row r="794" spans="74:86">
      <c r="BV794" s="87"/>
      <c r="BW794" s="87"/>
      <c r="BX794" s="87"/>
      <c r="BY794" s="87"/>
      <c r="BZ794" s="87"/>
      <c r="CA794" s="87"/>
      <c r="CB794" s="87"/>
      <c r="CC794" s="87"/>
      <c r="CD794" s="87"/>
      <c r="CE794" s="87"/>
      <c r="CF794" s="87"/>
      <c r="CG794" s="87"/>
      <c r="CH794" s="87"/>
    </row>
    <row r="795" spans="74:86">
      <c r="BV795" s="87"/>
      <c r="BW795" s="87"/>
      <c r="BX795" s="87"/>
      <c r="BY795" s="87"/>
      <c r="BZ795" s="87"/>
      <c r="CA795" s="87"/>
      <c r="CB795" s="87"/>
      <c r="CC795" s="87"/>
      <c r="CD795" s="87"/>
      <c r="CE795" s="87"/>
      <c r="CF795" s="87"/>
      <c r="CG795" s="87"/>
      <c r="CH795" s="87"/>
    </row>
    <row r="796" spans="74:86">
      <c r="BV796" s="87"/>
      <c r="BW796" s="87"/>
      <c r="BX796" s="87"/>
      <c r="BY796" s="87"/>
      <c r="BZ796" s="87"/>
      <c r="CA796" s="87"/>
      <c r="CB796" s="87"/>
      <c r="CC796" s="87"/>
      <c r="CD796" s="87"/>
      <c r="CE796" s="87"/>
      <c r="CF796" s="87"/>
      <c r="CG796" s="87"/>
      <c r="CH796" s="87"/>
    </row>
    <row r="797" spans="74:86">
      <c r="BV797" s="87"/>
      <c r="BW797" s="87"/>
      <c r="BX797" s="87"/>
      <c r="BY797" s="87"/>
      <c r="BZ797" s="87"/>
      <c r="CA797" s="87"/>
      <c r="CB797" s="87"/>
      <c r="CC797" s="87"/>
      <c r="CD797" s="87"/>
      <c r="CE797" s="87"/>
      <c r="CF797" s="87"/>
      <c r="CG797" s="87"/>
      <c r="CH797" s="87"/>
    </row>
    <row r="798" spans="74:86">
      <c r="BV798" s="87"/>
      <c r="BW798" s="87"/>
      <c r="BX798" s="87"/>
      <c r="BY798" s="87"/>
      <c r="BZ798" s="87"/>
      <c r="CA798" s="87"/>
      <c r="CB798" s="87"/>
      <c r="CC798" s="87"/>
      <c r="CD798" s="87"/>
      <c r="CE798" s="87"/>
      <c r="CF798" s="87"/>
      <c r="CG798" s="87"/>
      <c r="CH798" s="87"/>
    </row>
    <row r="799" spans="74:86">
      <c r="BV799" s="87"/>
      <c r="BW799" s="87"/>
      <c r="BX799" s="87"/>
      <c r="BY799" s="87"/>
      <c r="BZ799" s="87"/>
      <c r="CA799" s="87"/>
      <c r="CB799" s="87"/>
      <c r="CC799" s="87"/>
      <c r="CD799" s="87"/>
      <c r="CE799" s="87"/>
      <c r="CF799" s="87"/>
      <c r="CG799" s="87"/>
      <c r="CH799" s="87"/>
    </row>
    <row r="800" spans="74:86">
      <c r="BV800" s="87"/>
      <c r="BW800" s="87"/>
      <c r="BX800" s="87"/>
      <c r="BY800" s="87"/>
      <c r="BZ800" s="87"/>
      <c r="CA800" s="87"/>
      <c r="CB800" s="87"/>
      <c r="CC800" s="87"/>
      <c r="CD800" s="87"/>
      <c r="CE800" s="87"/>
      <c r="CF800" s="87"/>
      <c r="CG800" s="87"/>
      <c r="CH800" s="87"/>
    </row>
    <row r="801" spans="74:86">
      <c r="BV801" s="87"/>
      <c r="BW801" s="87"/>
      <c r="BX801" s="87"/>
      <c r="BY801" s="87"/>
      <c r="BZ801" s="87"/>
      <c r="CA801" s="87"/>
      <c r="CB801" s="87"/>
      <c r="CC801" s="87"/>
      <c r="CD801" s="87"/>
      <c r="CE801" s="87"/>
      <c r="CF801" s="87"/>
      <c r="CG801" s="87"/>
      <c r="CH801" s="87"/>
    </row>
    <row r="802" spans="74:86">
      <c r="BV802" s="87"/>
      <c r="BW802" s="87"/>
      <c r="BX802" s="87"/>
      <c r="BY802" s="87"/>
      <c r="BZ802" s="87"/>
      <c r="CA802" s="87"/>
      <c r="CB802" s="87"/>
      <c r="CC802" s="87"/>
      <c r="CD802" s="87"/>
      <c r="CE802" s="87"/>
      <c r="CF802" s="87"/>
      <c r="CG802" s="87"/>
      <c r="CH802" s="87"/>
    </row>
    <row r="803" spans="74:86">
      <c r="BV803" s="87"/>
      <c r="BW803" s="87"/>
      <c r="BX803" s="87"/>
      <c r="BY803" s="87"/>
      <c r="BZ803" s="87"/>
      <c r="CA803" s="87"/>
      <c r="CB803" s="87"/>
      <c r="CC803" s="87"/>
      <c r="CD803" s="87"/>
      <c r="CE803" s="87"/>
      <c r="CF803" s="87"/>
      <c r="CG803" s="87"/>
      <c r="CH803" s="87"/>
    </row>
    <row r="804" spans="74:86">
      <c r="BV804" s="87"/>
      <c r="BW804" s="87"/>
      <c r="BX804" s="87"/>
      <c r="BY804" s="87"/>
      <c r="BZ804" s="87"/>
      <c r="CA804" s="87"/>
      <c r="CB804" s="87"/>
      <c r="CC804" s="87"/>
      <c r="CD804" s="87"/>
      <c r="CE804" s="87"/>
      <c r="CF804" s="87"/>
      <c r="CG804" s="87"/>
      <c r="CH804" s="87"/>
    </row>
    <row r="805" spans="74:86">
      <c r="BV805" s="87"/>
      <c r="BW805" s="87"/>
      <c r="BX805" s="87"/>
      <c r="BY805" s="87"/>
      <c r="BZ805" s="87"/>
      <c r="CA805" s="87"/>
      <c r="CB805" s="87"/>
      <c r="CC805" s="87"/>
      <c r="CD805" s="87"/>
      <c r="CE805" s="87"/>
      <c r="CF805" s="87"/>
      <c r="CG805" s="87"/>
      <c r="CH805" s="87"/>
    </row>
    <row r="806" spans="74:86">
      <c r="BV806" s="87"/>
      <c r="BW806" s="87"/>
      <c r="BX806" s="87"/>
      <c r="BY806" s="87"/>
      <c r="BZ806" s="87"/>
      <c r="CA806" s="87"/>
      <c r="CB806" s="87"/>
      <c r="CC806" s="87"/>
      <c r="CD806" s="87"/>
      <c r="CE806" s="87"/>
      <c r="CF806" s="87"/>
      <c r="CG806" s="87"/>
      <c r="CH806" s="87"/>
    </row>
    <row r="807" spans="74:86">
      <c r="BV807" s="87"/>
      <c r="BW807" s="87"/>
      <c r="BX807" s="87"/>
      <c r="BY807" s="87"/>
      <c r="BZ807" s="87"/>
      <c r="CA807" s="87"/>
      <c r="CB807" s="87"/>
      <c r="CC807" s="87"/>
      <c r="CD807" s="87"/>
      <c r="CE807" s="87"/>
      <c r="CF807" s="87"/>
      <c r="CG807" s="87"/>
      <c r="CH807" s="87"/>
    </row>
    <row r="808" spans="74:86">
      <c r="BV808" s="87"/>
      <c r="BW808" s="87"/>
      <c r="BX808" s="87"/>
      <c r="BY808" s="87"/>
      <c r="BZ808" s="87"/>
      <c r="CA808" s="87"/>
      <c r="CB808" s="87"/>
      <c r="CC808" s="87"/>
      <c r="CD808" s="87"/>
      <c r="CE808" s="87"/>
      <c r="CF808" s="87"/>
      <c r="CG808" s="87"/>
      <c r="CH808" s="87"/>
    </row>
    <row r="809" spans="74:86">
      <c r="BV809" s="87"/>
      <c r="BW809" s="87"/>
      <c r="BX809" s="87"/>
      <c r="BY809" s="87"/>
      <c r="BZ809" s="87"/>
      <c r="CA809" s="87"/>
      <c r="CB809" s="87"/>
      <c r="CC809" s="87"/>
      <c r="CD809" s="87"/>
      <c r="CE809" s="87"/>
      <c r="CF809" s="87"/>
      <c r="CG809" s="87"/>
      <c r="CH809" s="87"/>
    </row>
    <row r="810" spans="74:86">
      <c r="BV810" s="87"/>
      <c r="BW810" s="87"/>
      <c r="BX810" s="87"/>
      <c r="BY810" s="87"/>
      <c r="BZ810" s="87"/>
      <c r="CA810" s="87"/>
      <c r="CB810" s="87"/>
      <c r="CC810" s="87"/>
      <c r="CD810" s="87"/>
      <c r="CE810" s="87"/>
      <c r="CF810" s="87"/>
      <c r="CG810" s="87"/>
      <c r="CH810" s="87"/>
    </row>
    <row r="811" spans="74:86">
      <c r="BV811" s="87"/>
      <c r="BW811" s="87"/>
      <c r="BX811" s="87"/>
      <c r="BY811" s="87"/>
      <c r="BZ811" s="87"/>
      <c r="CA811" s="87"/>
      <c r="CB811" s="87"/>
      <c r="CC811" s="87"/>
      <c r="CD811" s="87"/>
      <c r="CE811" s="87"/>
      <c r="CF811" s="87"/>
      <c r="CG811" s="87"/>
      <c r="CH811" s="87"/>
    </row>
    <row r="812" spans="74:86">
      <c r="BV812" s="87"/>
      <c r="BW812" s="87"/>
      <c r="BX812" s="87"/>
      <c r="BY812" s="87"/>
      <c r="BZ812" s="87"/>
      <c r="CA812" s="87"/>
      <c r="CB812" s="87"/>
      <c r="CC812" s="87"/>
      <c r="CD812" s="87"/>
      <c r="CE812" s="87"/>
      <c r="CF812" s="87"/>
      <c r="CG812" s="87"/>
      <c r="CH812" s="87"/>
    </row>
    <row r="813" spans="74:86">
      <c r="BV813" s="87"/>
      <c r="BW813" s="87"/>
      <c r="BX813" s="87"/>
      <c r="BY813" s="87"/>
      <c r="BZ813" s="87"/>
      <c r="CA813" s="87"/>
      <c r="CB813" s="87"/>
      <c r="CC813" s="87"/>
      <c r="CD813" s="87"/>
      <c r="CE813" s="87"/>
      <c r="CF813" s="87"/>
      <c r="CG813" s="87"/>
      <c r="CH813" s="87"/>
    </row>
    <row r="814" spans="74:86">
      <c r="BV814" s="87"/>
      <c r="BW814" s="87"/>
      <c r="BX814" s="87"/>
      <c r="BY814" s="87"/>
      <c r="BZ814" s="87"/>
      <c r="CA814" s="87"/>
      <c r="CB814" s="87"/>
      <c r="CC814" s="87"/>
      <c r="CD814" s="87"/>
      <c r="CE814" s="87"/>
      <c r="CF814" s="87"/>
      <c r="CG814" s="87"/>
      <c r="CH814" s="87"/>
    </row>
    <row r="815" spans="74:86">
      <c r="BV815" s="87"/>
      <c r="BW815" s="87"/>
      <c r="BX815" s="87"/>
      <c r="BY815" s="87"/>
      <c r="BZ815" s="87"/>
      <c r="CA815" s="87"/>
      <c r="CB815" s="87"/>
      <c r="CC815" s="87"/>
      <c r="CD815" s="87"/>
      <c r="CE815" s="87"/>
      <c r="CF815" s="87"/>
      <c r="CG815" s="87"/>
      <c r="CH815" s="87"/>
    </row>
    <row r="816" spans="74:86">
      <c r="BV816" s="87"/>
      <c r="BW816" s="87"/>
      <c r="BX816" s="87"/>
      <c r="BY816" s="87"/>
      <c r="BZ816" s="87"/>
      <c r="CA816" s="87"/>
      <c r="CB816" s="87"/>
      <c r="CC816" s="87"/>
      <c r="CD816" s="87"/>
      <c r="CE816" s="87"/>
      <c r="CF816" s="87"/>
      <c r="CG816" s="87"/>
      <c r="CH816" s="87"/>
    </row>
    <row r="817" spans="74:86">
      <c r="BV817" s="87"/>
      <c r="BW817" s="87"/>
      <c r="BX817" s="87"/>
      <c r="BY817" s="87"/>
      <c r="BZ817" s="87"/>
      <c r="CA817" s="87"/>
      <c r="CB817" s="87"/>
      <c r="CC817" s="87"/>
      <c r="CD817" s="87"/>
      <c r="CE817" s="87"/>
      <c r="CF817" s="87"/>
      <c r="CG817" s="87"/>
      <c r="CH817" s="87"/>
    </row>
    <row r="818" spans="74:86">
      <c r="BV818" s="87"/>
      <c r="BW818" s="87"/>
      <c r="BX818" s="87"/>
      <c r="BY818" s="87"/>
      <c r="BZ818" s="87"/>
      <c r="CA818" s="87"/>
      <c r="CB818" s="87"/>
      <c r="CC818" s="87"/>
      <c r="CD818" s="87"/>
      <c r="CE818" s="87"/>
      <c r="CF818" s="87"/>
      <c r="CG818" s="87"/>
      <c r="CH818" s="87"/>
    </row>
    <row r="819" spans="74:86">
      <c r="BV819" s="87"/>
      <c r="BW819" s="87"/>
      <c r="BX819" s="87"/>
      <c r="BY819" s="87"/>
      <c r="BZ819" s="87"/>
      <c r="CA819" s="87"/>
      <c r="CB819" s="87"/>
      <c r="CC819" s="87"/>
      <c r="CD819" s="87"/>
      <c r="CE819" s="87"/>
      <c r="CF819" s="87"/>
      <c r="CG819" s="87"/>
      <c r="CH819" s="87"/>
    </row>
    <row r="820" spans="74:86">
      <c r="BV820" s="87"/>
      <c r="BW820" s="87"/>
      <c r="BX820" s="87"/>
      <c r="BY820" s="87"/>
      <c r="BZ820" s="87"/>
      <c r="CA820" s="87"/>
      <c r="CB820" s="87"/>
      <c r="CC820" s="87"/>
      <c r="CD820" s="87"/>
      <c r="CE820" s="87"/>
      <c r="CF820" s="87"/>
      <c r="CG820" s="87"/>
      <c r="CH820" s="87"/>
    </row>
    <row r="821" spans="74:86">
      <c r="BV821" s="87"/>
      <c r="BW821" s="87"/>
      <c r="BX821" s="87"/>
      <c r="BY821" s="87"/>
      <c r="BZ821" s="87"/>
      <c r="CA821" s="87"/>
      <c r="CB821" s="87"/>
      <c r="CC821" s="87"/>
      <c r="CD821" s="87"/>
      <c r="CE821" s="87"/>
      <c r="CF821" s="87"/>
      <c r="CG821" s="87"/>
      <c r="CH821" s="87"/>
    </row>
    <row r="822" spans="74:86">
      <c r="BV822" s="87"/>
      <c r="BW822" s="87"/>
      <c r="BX822" s="87"/>
      <c r="BY822" s="87"/>
      <c r="BZ822" s="87"/>
      <c r="CA822" s="87"/>
      <c r="CB822" s="87"/>
      <c r="CC822" s="87"/>
      <c r="CD822" s="87"/>
      <c r="CE822" s="87"/>
      <c r="CF822" s="87"/>
      <c r="CG822" s="87"/>
      <c r="CH822" s="87"/>
    </row>
    <row r="823" spans="74:86">
      <c r="BV823" s="87"/>
      <c r="BW823" s="87"/>
      <c r="BX823" s="87"/>
      <c r="BY823" s="87"/>
      <c r="BZ823" s="87"/>
      <c r="CA823" s="87"/>
      <c r="CB823" s="87"/>
      <c r="CC823" s="87"/>
      <c r="CD823" s="87"/>
      <c r="CE823" s="87"/>
      <c r="CF823" s="87"/>
      <c r="CG823" s="87"/>
      <c r="CH823" s="87"/>
    </row>
    <row r="824" spans="74:86">
      <c r="BV824" s="87"/>
      <c r="BW824" s="87"/>
      <c r="BX824" s="87"/>
      <c r="BY824" s="87"/>
      <c r="BZ824" s="87"/>
      <c r="CA824" s="87"/>
      <c r="CB824" s="87"/>
      <c r="CC824" s="87"/>
      <c r="CD824" s="87"/>
      <c r="CE824" s="87"/>
      <c r="CF824" s="87"/>
      <c r="CG824" s="87"/>
      <c r="CH824" s="87"/>
    </row>
    <row r="825" spans="74:86">
      <c r="BV825" s="87"/>
      <c r="BW825" s="87"/>
      <c r="BX825" s="87"/>
      <c r="BY825" s="87"/>
      <c r="BZ825" s="87"/>
      <c r="CA825" s="87"/>
      <c r="CB825" s="87"/>
      <c r="CC825" s="87"/>
      <c r="CD825" s="87"/>
      <c r="CE825" s="87"/>
      <c r="CF825" s="87"/>
      <c r="CG825" s="87"/>
      <c r="CH825" s="87"/>
    </row>
    <row r="826" spans="74:86">
      <c r="BV826" s="87"/>
      <c r="BW826" s="87"/>
      <c r="BX826" s="87"/>
      <c r="BY826" s="87"/>
      <c r="BZ826" s="87"/>
      <c r="CA826" s="87"/>
      <c r="CB826" s="87"/>
      <c r="CC826" s="87"/>
      <c r="CD826" s="87"/>
      <c r="CE826" s="87"/>
      <c r="CF826" s="87"/>
      <c r="CG826" s="87"/>
      <c r="CH826" s="87"/>
    </row>
    <row r="827" spans="74:86">
      <c r="BV827" s="87"/>
      <c r="BW827" s="87"/>
      <c r="BX827" s="87"/>
      <c r="BY827" s="87"/>
      <c r="BZ827" s="87"/>
      <c r="CA827" s="87"/>
      <c r="CB827" s="87"/>
      <c r="CC827" s="87"/>
      <c r="CD827" s="87"/>
      <c r="CE827" s="87"/>
      <c r="CF827" s="87"/>
      <c r="CG827" s="87"/>
      <c r="CH827" s="87"/>
    </row>
    <row r="828" spans="74:86">
      <c r="BV828" s="87"/>
      <c r="BW828" s="87"/>
      <c r="BX828" s="87"/>
      <c r="BY828" s="87"/>
      <c r="BZ828" s="87"/>
      <c r="CA828" s="87"/>
      <c r="CB828" s="87"/>
      <c r="CC828" s="87"/>
      <c r="CD828" s="87"/>
      <c r="CE828" s="87"/>
      <c r="CF828" s="87"/>
      <c r="CG828" s="87"/>
      <c r="CH828" s="87"/>
    </row>
    <row r="829" spans="74:86">
      <c r="BV829" s="87"/>
      <c r="BW829" s="87"/>
      <c r="BX829" s="87"/>
      <c r="BY829" s="87"/>
      <c r="BZ829" s="87"/>
      <c r="CA829" s="87"/>
      <c r="CB829" s="87"/>
      <c r="CC829" s="87"/>
      <c r="CD829" s="87"/>
      <c r="CE829" s="87"/>
      <c r="CF829" s="87"/>
      <c r="CG829" s="87"/>
      <c r="CH829" s="87"/>
    </row>
    <row r="830" spans="74:86">
      <c r="BV830" s="87"/>
      <c r="BW830" s="87"/>
      <c r="BX830" s="87"/>
      <c r="BY830" s="87"/>
      <c r="BZ830" s="87"/>
      <c r="CA830" s="87"/>
      <c r="CB830" s="87"/>
      <c r="CC830" s="87"/>
      <c r="CD830" s="87"/>
      <c r="CE830" s="87"/>
      <c r="CF830" s="87"/>
      <c r="CG830" s="87"/>
      <c r="CH830" s="87"/>
    </row>
    <row r="831" spans="74:86">
      <c r="BV831" s="87"/>
      <c r="BW831" s="87"/>
      <c r="BX831" s="87"/>
      <c r="BY831" s="87"/>
      <c r="BZ831" s="87"/>
      <c r="CA831" s="87"/>
      <c r="CB831" s="87"/>
      <c r="CC831" s="87"/>
      <c r="CD831" s="87"/>
      <c r="CE831" s="87"/>
      <c r="CF831" s="87"/>
      <c r="CG831" s="87"/>
      <c r="CH831" s="87"/>
    </row>
    <row r="832" spans="74:86">
      <c r="BV832" s="87"/>
      <c r="BW832" s="87"/>
      <c r="BX832" s="87"/>
      <c r="BY832" s="87"/>
      <c r="BZ832" s="87"/>
      <c r="CA832" s="87"/>
      <c r="CB832" s="87"/>
      <c r="CC832" s="87"/>
      <c r="CD832" s="87"/>
      <c r="CE832" s="87"/>
      <c r="CF832" s="87"/>
      <c r="CG832" s="87"/>
      <c r="CH832" s="87"/>
    </row>
    <row r="833" spans="74:86">
      <c r="BV833" s="87"/>
      <c r="BW833" s="87"/>
      <c r="BX833" s="87"/>
      <c r="BY833" s="87"/>
      <c r="BZ833" s="87"/>
      <c r="CA833" s="87"/>
      <c r="CB833" s="87"/>
      <c r="CC833" s="87"/>
      <c r="CD833" s="87"/>
      <c r="CE833" s="87"/>
      <c r="CF833" s="87"/>
      <c r="CG833" s="87"/>
      <c r="CH833" s="87"/>
    </row>
    <row r="834" spans="74:86">
      <c r="BV834" s="87"/>
      <c r="BW834" s="87"/>
      <c r="BX834" s="87"/>
      <c r="BY834" s="87"/>
      <c r="BZ834" s="87"/>
      <c r="CA834" s="87"/>
      <c r="CB834" s="87"/>
      <c r="CC834" s="87"/>
      <c r="CD834" s="87"/>
      <c r="CE834" s="87"/>
      <c r="CF834" s="87"/>
      <c r="CG834" s="87"/>
      <c r="CH834" s="87"/>
    </row>
    <row r="835" spans="74:86">
      <c r="BV835" s="87"/>
      <c r="BW835" s="87"/>
      <c r="BX835" s="87"/>
      <c r="BY835" s="87"/>
      <c r="BZ835" s="87"/>
      <c r="CA835" s="87"/>
      <c r="CB835" s="87"/>
      <c r="CC835" s="87"/>
      <c r="CD835" s="87"/>
      <c r="CE835" s="87"/>
      <c r="CF835" s="87"/>
      <c r="CG835" s="87"/>
      <c r="CH835" s="87"/>
    </row>
    <row r="836" spans="74:86">
      <c r="BV836" s="87"/>
      <c r="BW836" s="87"/>
      <c r="BX836" s="87"/>
      <c r="BY836" s="87"/>
      <c r="BZ836" s="87"/>
      <c r="CA836" s="87"/>
      <c r="CB836" s="87"/>
      <c r="CC836" s="87"/>
      <c r="CD836" s="87"/>
      <c r="CE836" s="87"/>
      <c r="CF836" s="87"/>
      <c r="CG836" s="87"/>
      <c r="CH836" s="87"/>
    </row>
    <row r="837" spans="74:86">
      <c r="BV837" s="87"/>
      <c r="BW837" s="87"/>
      <c r="BX837" s="87"/>
      <c r="BY837" s="87"/>
      <c r="BZ837" s="87"/>
      <c r="CA837" s="87"/>
      <c r="CB837" s="87"/>
      <c r="CC837" s="87"/>
      <c r="CD837" s="87"/>
      <c r="CE837" s="87"/>
      <c r="CF837" s="87"/>
      <c r="CG837" s="87"/>
      <c r="CH837" s="87"/>
    </row>
    <row r="838" spans="74:86">
      <c r="BV838" s="87"/>
      <c r="BW838" s="87"/>
      <c r="BX838" s="87"/>
      <c r="BY838" s="87"/>
      <c r="BZ838" s="87"/>
      <c r="CA838" s="87"/>
      <c r="CB838" s="87"/>
      <c r="CC838" s="87"/>
      <c r="CD838" s="87"/>
      <c r="CE838" s="87"/>
      <c r="CF838" s="87"/>
      <c r="CG838" s="87"/>
      <c r="CH838" s="87"/>
    </row>
    <row r="839" spans="74:86">
      <c r="BV839" s="87"/>
      <c r="BW839" s="87"/>
      <c r="BX839" s="87"/>
      <c r="BY839" s="87"/>
      <c r="BZ839" s="87"/>
      <c r="CA839" s="87"/>
      <c r="CB839" s="87"/>
      <c r="CC839" s="87"/>
      <c r="CD839" s="87"/>
      <c r="CE839" s="87"/>
      <c r="CF839" s="87"/>
      <c r="CG839" s="87"/>
      <c r="CH839" s="87"/>
    </row>
    <row r="840" spans="74:86">
      <c r="BV840" s="87"/>
      <c r="BW840" s="87"/>
      <c r="BX840" s="87"/>
      <c r="BY840" s="87"/>
      <c r="BZ840" s="87"/>
      <c r="CA840" s="87"/>
      <c r="CB840" s="87"/>
      <c r="CC840" s="87"/>
      <c r="CD840" s="87"/>
      <c r="CE840" s="87"/>
      <c r="CF840" s="87"/>
      <c r="CG840" s="87"/>
      <c r="CH840" s="87"/>
    </row>
    <row r="841" spans="74:86">
      <c r="BV841" s="87"/>
      <c r="BW841" s="87"/>
      <c r="BX841" s="87"/>
      <c r="BY841" s="87"/>
      <c r="BZ841" s="87"/>
      <c r="CA841" s="87"/>
      <c r="CB841" s="87"/>
      <c r="CC841" s="87"/>
      <c r="CD841" s="87"/>
      <c r="CE841" s="87"/>
      <c r="CF841" s="87"/>
      <c r="CG841" s="87"/>
      <c r="CH841" s="87"/>
    </row>
    <row r="842" spans="74:86">
      <c r="BV842" s="87"/>
      <c r="BW842" s="87"/>
      <c r="BX842" s="87"/>
      <c r="BY842" s="87"/>
      <c r="BZ842" s="87"/>
      <c r="CA842" s="87"/>
      <c r="CB842" s="87"/>
      <c r="CC842" s="87"/>
      <c r="CD842" s="87"/>
      <c r="CE842" s="87"/>
      <c r="CF842" s="87"/>
      <c r="CG842" s="87"/>
      <c r="CH842" s="87"/>
    </row>
    <row r="843" spans="74:86">
      <c r="BV843" s="87"/>
      <c r="BW843" s="87"/>
      <c r="BX843" s="87"/>
      <c r="BY843" s="87"/>
      <c r="BZ843" s="87"/>
      <c r="CA843" s="87"/>
      <c r="CB843" s="87"/>
      <c r="CC843" s="87"/>
      <c r="CD843" s="87"/>
      <c r="CE843" s="87"/>
      <c r="CF843" s="87"/>
      <c r="CG843" s="87"/>
      <c r="CH843" s="87"/>
    </row>
    <row r="844" spans="74:86">
      <c r="BV844" s="87"/>
      <c r="BW844" s="87"/>
      <c r="BX844" s="87"/>
      <c r="BY844" s="87"/>
      <c r="BZ844" s="87"/>
      <c r="CA844" s="87"/>
      <c r="CB844" s="87"/>
      <c r="CC844" s="87"/>
      <c r="CD844" s="87"/>
      <c r="CE844" s="87"/>
      <c r="CF844" s="87"/>
      <c r="CG844" s="87"/>
      <c r="CH844" s="87"/>
    </row>
    <row r="845" spans="74:86">
      <c r="BV845" s="87"/>
      <c r="BW845" s="87"/>
      <c r="BX845" s="87"/>
      <c r="BY845" s="87"/>
      <c r="BZ845" s="87"/>
      <c r="CA845" s="87"/>
      <c r="CB845" s="87"/>
      <c r="CC845" s="87"/>
      <c r="CD845" s="87"/>
      <c r="CE845" s="87"/>
      <c r="CF845" s="87"/>
      <c r="CG845" s="87"/>
      <c r="CH845" s="87"/>
    </row>
    <row r="846" spans="74:86">
      <c r="BV846" s="87"/>
      <c r="BW846" s="87"/>
      <c r="BX846" s="87"/>
      <c r="BY846" s="87"/>
      <c r="BZ846" s="87"/>
      <c r="CA846" s="87"/>
      <c r="CB846" s="87"/>
      <c r="CC846" s="87"/>
      <c r="CD846" s="87"/>
      <c r="CE846" s="87"/>
      <c r="CF846" s="87"/>
      <c r="CG846" s="87"/>
      <c r="CH846" s="87"/>
    </row>
    <row r="847" spans="74:86">
      <c r="BV847" s="87"/>
      <c r="BW847" s="87"/>
      <c r="BX847" s="87"/>
      <c r="BY847" s="87"/>
      <c r="BZ847" s="87"/>
      <c r="CA847" s="87"/>
      <c r="CB847" s="87"/>
      <c r="CC847" s="87"/>
      <c r="CD847" s="87"/>
      <c r="CE847" s="87"/>
      <c r="CF847" s="87"/>
      <c r="CG847" s="87"/>
      <c r="CH847" s="87"/>
    </row>
    <row r="848" spans="74:86">
      <c r="BV848" s="87"/>
      <c r="BW848" s="87"/>
      <c r="BX848" s="87"/>
      <c r="BY848" s="87"/>
      <c r="BZ848" s="87"/>
      <c r="CA848" s="87"/>
      <c r="CB848" s="87"/>
      <c r="CC848" s="87"/>
      <c r="CD848" s="87"/>
      <c r="CE848" s="87"/>
      <c r="CF848" s="87"/>
      <c r="CG848" s="87"/>
      <c r="CH848" s="87"/>
    </row>
    <row r="849" spans="74:86">
      <c r="BV849" s="87"/>
      <c r="BW849" s="87"/>
      <c r="BX849" s="87"/>
      <c r="BY849" s="87"/>
      <c r="BZ849" s="87"/>
      <c r="CA849" s="87"/>
      <c r="CB849" s="87"/>
      <c r="CC849" s="87"/>
      <c r="CD849" s="87"/>
      <c r="CE849" s="87"/>
      <c r="CF849" s="87"/>
      <c r="CG849" s="87"/>
      <c r="CH849" s="87"/>
    </row>
    <row r="850" spans="74:86">
      <c r="BV850" s="87"/>
      <c r="BW850" s="87"/>
      <c r="BX850" s="87"/>
      <c r="BY850" s="87"/>
      <c r="BZ850" s="87"/>
      <c r="CA850" s="87"/>
      <c r="CB850" s="87"/>
      <c r="CC850" s="87"/>
      <c r="CD850" s="87"/>
      <c r="CE850" s="87"/>
      <c r="CF850" s="87"/>
      <c r="CG850" s="87"/>
      <c r="CH850" s="87"/>
    </row>
    <row r="851" spans="74:86">
      <c r="BV851" s="87"/>
      <c r="BW851" s="87"/>
      <c r="BX851" s="87"/>
      <c r="BY851" s="87"/>
      <c r="BZ851" s="87"/>
      <c r="CA851" s="87"/>
      <c r="CB851" s="87"/>
      <c r="CC851" s="87"/>
      <c r="CD851" s="87"/>
      <c r="CE851" s="87"/>
      <c r="CF851" s="87"/>
      <c r="CG851" s="87"/>
      <c r="CH851" s="87"/>
    </row>
    <row r="852" spans="74:86">
      <c r="BV852" s="87"/>
      <c r="BW852" s="87"/>
      <c r="BX852" s="87"/>
      <c r="BY852" s="87"/>
      <c r="BZ852" s="87"/>
      <c r="CA852" s="87"/>
      <c r="CB852" s="87"/>
      <c r="CC852" s="87"/>
      <c r="CD852" s="87"/>
      <c r="CE852" s="87"/>
      <c r="CF852" s="87"/>
      <c r="CG852" s="87"/>
      <c r="CH852" s="87"/>
    </row>
    <row r="853" spans="74:86">
      <c r="BV853" s="87"/>
      <c r="BW853" s="87"/>
      <c r="BX853" s="87"/>
      <c r="BY853" s="87"/>
      <c r="BZ853" s="87"/>
      <c r="CA853" s="87"/>
      <c r="CB853" s="87"/>
      <c r="CC853" s="87"/>
      <c r="CD853" s="87"/>
      <c r="CE853" s="87"/>
      <c r="CF853" s="87"/>
      <c r="CG853" s="87"/>
      <c r="CH853" s="87"/>
    </row>
    <row r="854" spans="74:86">
      <c r="BV854" s="87"/>
      <c r="BW854" s="87"/>
      <c r="BX854" s="87"/>
      <c r="BY854" s="87"/>
      <c r="BZ854" s="87"/>
      <c r="CA854" s="87"/>
      <c r="CB854" s="87"/>
      <c r="CC854" s="87"/>
      <c r="CD854" s="87"/>
      <c r="CE854" s="87"/>
      <c r="CF854" s="87"/>
      <c r="CG854" s="87"/>
      <c r="CH854" s="87"/>
    </row>
    <row r="855" spans="74:86">
      <c r="BV855" s="87"/>
      <c r="BW855" s="87"/>
      <c r="BX855" s="87"/>
      <c r="BY855" s="87"/>
      <c r="BZ855" s="87"/>
      <c r="CA855" s="87"/>
      <c r="CB855" s="87"/>
      <c r="CC855" s="87"/>
      <c r="CD855" s="87"/>
      <c r="CE855" s="87"/>
      <c r="CF855" s="87"/>
      <c r="CG855" s="87"/>
      <c r="CH855" s="87"/>
    </row>
    <row r="856" spans="74:86">
      <c r="BV856" s="87"/>
      <c r="BW856" s="87"/>
      <c r="BX856" s="87"/>
      <c r="BY856" s="87"/>
      <c r="BZ856" s="87"/>
      <c r="CA856" s="87"/>
      <c r="CB856" s="87"/>
      <c r="CC856" s="87"/>
      <c r="CD856" s="87"/>
      <c r="CE856" s="87"/>
      <c r="CF856" s="87"/>
      <c r="CG856" s="87"/>
      <c r="CH856" s="87"/>
    </row>
    <row r="857" spans="74:86">
      <c r="BV857" s="87"/>
      <c r="BW857" s="87"/>
      <c r="BX857" s="87"/>
      <c r="BY857" s="87"/>
      <c r="BZ857" s="87"/>
      <c r="CA857" s="87"/>
      <c r="CB857" s="87"/>
      <c r="CC857" s="87"/>
      <c r="CD857" s="87"/>
      <c r="CE857" s="87"/>
      <c r="CF857" s="87"/>
      <c r="CG857" s="87"/>
      <c r="CH857" s="87"/>
    </row>
    <row r="858" spans="74:86">
      <c r="BV858" s="87"/>
      <c r="BW858" s="87"/>
      <c r="BX858" s="87"/>
      <c r="BY858" s="87"/>
      <c r="BZ858" s="87"/>
      <c r="CA858" s="87"/>
      <c r="CB858" s="87"/>
      <c r="CC858" s="87"/>
      <c r="CD858" s="87"/>
      <c r="CE858" s="87"/>
      <c r="CF858" s="87"/>
      <c r="CG858" s="87"/>
      <c r="CH858" s="87"/>
    </row>
    <row r="859" spans="74:86">
      <c r="BV859" s="87"/>
      <c r="BW859" s="87"/>
      <c r="BX859" s="87"/>
      <c r="BY859" s="87"/>
      <c r="BZ859" s="87"/>
      <c r="CA859" s="87"/>
      <c r="CB859" s="87"/>
      <c r="CC859" s="87"/>
      <c r="CD859" s="87"/>
      <c r="CE859" s="87"/>
      <c r="CF859" s="87"/>
      <c r="CG859" s="87"/>
      <c r="CH859" s="87"/>
    </row>
    <row r="860" spans="74:86">
      <c r="BV860" s="87"/>
      <c r="BW860" s="87"/>
      <c r="BX860" s="87"/>
      <c r="BY860" s="87"/>
      <c r="BZ860" s="87"/>
      <c r="CA860" s="87"/>
      <c r="CB860" s="87"/>
      <c r="CC860" s="87"/>
      <c r="CD860" s="87"/>
      <c r="CE860" s="87"/>
      <c r="CF860" s="87"/>
      <c r="CG860" s="87"/>
      <c r="CH860" s="87"/>
    </row>
    <row r="861" spans="74:86">
      <c r="BV861" s="87"/>
      <c r="BW861" s="87"/>
      <c r="BX861" s="87"/>
      <c r="BY861" s="87"/>
      <c r="BZ861" s="87"/>
      <c r="CA861" s="87"/>
      <c r="CB861" s="87"/>
      <c r="CC861" s="87"/>
      <c r="CD861" s="87"/>
      <c r="CE861" s="87"/>
      <c r="CF861" s="87"/>
      <c r="CG861" s="87"/>
      <c r="CH861" s="87"/>
    </row>
    <row r="862" spans="74:86">
      <c r="BV862" s="87"/>
      <c r="BW862" s="87"/>
      <c r="BX862" s="87"/>
      <c r="BY862" s="87"/>
      <c r="BZ862" s="87"/>
      <c r="CA862" s="87"/>
      <c r="CB862" s="87"/>
      <c r="CC862" s="87"/>
      <c r="CD862" s="87"/>
      <c r="CE862" s="87"/>
      <c r="CF862" s="87"/>
      <c r="CG862" s="87"/>
      <c r="CH862" s="87"/>
    </row>
    <row r="863" spans="74:86">
      <c r="BV863" s="87"/>
      <c r="BW863" s="87"/>
      <c r="BX863" s="87"/>
      <c r="BY863" s="87"/>
      <c r="BZ863" s="87"/>
      <c r="CA863" s="87"/>
      <c r="CB863" s="87"/>
      <c r="CC863" s="87"/>
      <c r="CD863" s="87"/>
      <c r="CE863" s="87"/>
      <c r="CF863" s="87"/>
      <c r="CG863" s="87"/>
      <c r="CH863" s="87"/>
    </row>
    <row r="864" spans="74:86">
      <c r="BV864" s="87"/>
      <c r="BW864" s="87"/>
      <c r="BX864" s="87"/>
      <c r="BY864" s="87"/>
      <c r="BZ864" s="87"/>
      <c r="CA864" s="87"/>
      <c r="CB864" s="87"/>
      <c r="CC864" s="87"/>
      <c r="CD864" s="87"/>
      <c r="CE864" s="87"/>
      <c r="CF864" s="87"/>
      <c r="CG864" s="87"/>
      <c r="CH864" s="87"/>
    </row>
    <row r="865" spans="74:86">
      <c r="BV865" s="87"/>
      <c r="BW865" s="87"/>
      <c r="BX865" s="87"/>
      <c r="BY865" s="87"/>
      <c r="BZ865" s="87"/>
      <c r="CA865" s="87"/>
      <c r="CB865" s="87"/>
      <c r="CC865" s="87"/>
      <c r="CD865" s="87"/>
      <c r="CE865" s="87"/>
      <c r="CF865" s="87"/>
      <c r="CG865" s="87"/>
      <c r="CH865" s="87"/>
    </row>
    <row r="866" spans="74:86">
      <c r="BV866" s="87"/>
      <c r="BW866" s="87"/>
      <c r="BX866" s="87"/>
      <c r="BY866" s="87"/>
      <c r="BZ866" s="87"/>
      <c r="CA866" s="87"/>
      <c r="CB866" s="87"/>
      <c r="CC866" s="87"/>
      <c r="CD866" s="87"/>
      <c r="CE866" s="87"/>
      <c r="CF866" s="87"/>
      <c r="CG866" s="87"/>
      <c r="CH866" s="87"/>
    </row>
    <row r="867" spans="74:86">
      <c r="BV867" s="87"/>
      <c r="BW867" s="87"/>
      <c r="BX867" s="87"/>
      <c r="BY867" s="87"/>
      <c r="BZ867" s="87"/>
      <c r="CA867" s="87"/>
      <c r="CB867" s="87"/>
      <c r="CC867" s="87"/>
      <c r="CD867" s="87"/>
      <c r="CE867" s="87"/>
      <c r="CF867" s="87"/>
      <c r="CG867" s="87"/>
      <c r="CH867" s="87"/>
    </row>
    <row r="868" spans="74:86">
      <c r="BV868" s="87"/>
      <c r="BW868" s="87"/>
      <c r="BX868" s="87"/>
      <c r="BY868" s="87"/>
      <c r="BZ868" s="87"/>
      <c r="CA868" s="87"/>
      <c r="CB868" s="87"/>
      <c r="CC868" s="87"/>
      <c r="CD868" s="87"/>
      <c r="CE868" s="87"/>
      <c r="CF868" s="87"/>
      <c r="CG868" s="87"/>
      <c r="CH868" s="87"/>
    </row>
    <row r="869" spans="74:86">
      <c r="BV869" s="87"/>
      <c r="BW869" s="87"/>
      <c r="BX869" s="87"/>
      <c r="BY869" s="87"/>
      <c r="BZ869" s="87"/>
      <c r="CA869" s="87"/>
      <c r="CB869" s="87"/>
      <c r="CC869" s="87"/>
      <c r="CD869" s="87"/>
      <c r="CE869" s="87"/>
      <c r="CF869" s="87"/>
      <c r="CG869" s="87"/>
      <c r="CH869" s="87"/>
    </row>
    <row r="870" spans="74:86">
      <c r="BV870" s="87"/>
      <c r="BW870" s="87"/>
      <c r="BX870" s="87"/>
      <c r="BY870" s="87"/>
      <c r="BZ870" s="87"/>
      <c r="CA870" s="87"/>
      <c r="CB870" s="87"/>
      <c r="CC870" s="87"/>
      <c r="CD870" s="87"/>
      <c r="CE870" s="87"/>
      <c r="CF870" s="87"/>
      <c r="CG870" s="87"/>
      <c r="CH870" s="87"/>
    </row>
    <row r="871" spans="74:86">
      <c r="BV871" s="87"/>
      <c r="BW871" s="87"/>
      <c r="BX871" s="87"/>
      <c r="BY871" s="87"/>
      <c r="BZ871" s="87"/>
      <c r="CA871" s="87"/>
      <c r="CB871" s="87"/>
      <c r="CC871" s="87"/>
      <c r="CD871" s="87"/>
      <c r="CE871" s="87"/>
      <c r="CF871" s="87"/>
      <c r="CG871" s="87"/>
      <c r="CH871" s="87"/>
    </row>
    <row r="872" spans="74:86">
      <c r="BV872" s="87"/>
      <c r="BW872" s="87"/>
      <c r="BX872" s="87"/>
      <c r="BY872" s="87"/>
      <c r="BZ872" s="87"/>
      <c r="CA872" s="87"/>
      <c r="CB872" s="87"/>
      <c r="CC872" s="87"/>
      <c r="CD872" s="87"/>
      <c r="CE872" s="87"/>
      <c r="CF872" s="87"/>
      <c r="CG872" s="87"/>
      <c r="CH872" s="87"/>
    </row>
    <row r="873" spans="74:86">
      <c r="BV873" s="87"/>
      <c r="BW873" s="87"/>
      <c r="BX873" s="87"/>
      <c r="BY873" s="87"/>
      <c r="BZ873" s="87"/>
      <c r="CA873" s="87"/>
      <c r="CB873" s="87"/>
      <c r="CC873" s="87"/>
      <c r="CD873" s="87"/>
      <c r="CE873" s="87"/>
      <c r="CF873" s="87"/>
      <c r="CG873" s="87"/>
      <c r="CH873" s="87"/>
    </row>
    <row r="874" spans="74:86">
      <c r="BV874" s="87"/>
      <c r="BW874" s="87"/>
      <c r="BX874" s="87"/>
      <c r="BY874" s="87"/>
      <c r="BZ874" s="87"/>
      <c r="CA874" s="87"/>
      <c r="CB874" s="87"/>
      <c r="CC874" s="87"/>
      <c r="CD874" s="87"/>
      <c r="CE874" s="87"/>
      <c r="CF874" s="87"/>
      <c r="CG874" s="87"/>
      <c r="CH874" s="87"/>
    </row>
    <row r="875" spans="74:86">
      <c r="BV875" s="87"/>
      <c r="BW875" s="87"/>
      <c r="BX875" s="87"/>
      <c r="BY875" s="87"/>
      <c r="BZ875" s="87"/>
      <c r="CA875" s="87"/>
      <c r="CB875" s="87"/>
      <c r="CC875" s="87"/>
      <c r="CD875" s="87"/>
      <c r="CE875" s="87"/>
      <c r="CF875" s="87"/>
      <c r="CG875" s="87"/>
      <c r="CH875" s="87"/>
    </row>
    <row r="876" spans="74:86">
      <c r="BV876" s="87"/>
      <c r="BW876" s="87"/>
      <c r="BX876" s="87"/>
      <c r="BY876" s="87"/>
      <c r="BZ876" s="87"/>
      <c r="CA876" s="87"/>
      <c r="CB876" s="87"/>
      <c r="CC876" s="87"/>
      <c r="CD876" s="87"/>
      <c r="CE876" s="87"/>
      <c r="CF876" s="87"/>
      <c r="CG876" s="87"/>
      <c r="CH876" s="87"/>
    </row>
    <row r="877" spans="74:86">
      <c r="BV877" s="87"/>
      <c r="BW877" s="87"/>
      <c r="BX877" s="87"/>
      <c r="BY877" s="87"/>
      <c r="BZ877" s="87"/>
      <c r="CA877" s="87"/>
      <c r="CB877" s="87"/>
      <c r="CC877" s="87"/>
      <c r="CD877" s="87"/>
      <c r="CE877" s="87"/>
      <c r="CF877" s="87"/>
      <c r="CG877" s="87"/>
      <c r="CH877" s="87"/>
    </row>
    <row r="878" spans="74:86">
      <c r="BV878" s="87"/>
      <c r="BW878" s="87"/>
      <c r="BX878" s="87"/>
      <c r="BY878" s="87"/>
      <c r="BZ878" s="87"/>
      <c r="CA878" s="87"/>
      <c r="CB878" s="87"/>
      <c r="CC878" s="87"/>
      <c r="CD878" s="87"/>
      <c r="CE878" s="87"/>
      <c r="CF878" s="87"/>
      <c r="CG878" s="87"/>
      <c r="CH878" s="87"/>
    </row>
    <row r="879" spans="74:86">
      <c r="BV879" s="87"/>
      <c r="BW879" s="87"/>
      <c r="BX879" s="87"/>
      <c r="BY879" s="87"/>
      <c r="BZ879" s="87"/>
      <c r="CA879" s="87"/>
      <c r="CB879" s="87"/>
      <c r="CC879" s="87"/>
      <c r="CD879" s="87"/>
      <c r="CE879" s="87"/>
      <c r="CF879" s="87"/>
      <c r="CG879" s="87"/>
      <c r="CH879" s="87"/>
    </row>
    <row r="880" spans="74:86">
      <c r="BV880" s="87"/>
      <c r="BW880" s="87"/>
      <c r="BX880" s="87"/>
      <c r="BY880" s="87"/>
      <c r="BZ880" s="87"/>
      <c r="CA880" s="87"/>
      <c r="CB880" s="87"/>
      <c r="CC880" s="87"/>
      <c r="CD880" s="87"/>
      <c r="CE880" s="87"/>
      <c r="CF880" s="87"/>
      <c r="CG880" s="87"/>
      <c r="CH880" s="87"/>
    </row>
    <row r="881" spans="74:86">
      <c r="BV881" s="87"/>
      <c r="BW881" s="87"/>
      <c r="BX881" s="87"/>
      <c r="BY881" s="87"/>
      <c r="BZ881" s="87"/>
      <c r="CA881" s="87"/>
      <c r="CB881" s="87"/>
      <c r="CC881" s="87"/>
      <c r="CD881" s="87"/>
      <c r="CE881" s="87"/>
      <c r="CF881" s="87"/>
      <c r="CG881" s="87"/>
      <c r="CH881" s="87"/>
    </row>
    <row r="882" spans="74:86">
      <c r="BV882" s="87"/>
      <c r="BW882" s="87"/>
      <c r="BX882" s="87"/>
      <c r="BY882" s="87"/>
      <c r="BZ882" s="87"/>
      <c r="CA882" s="87"/>
      <c r="CB882" s="87"/>
      <c r="CC882" s="87"/>
      <c r="CD882" s="87"/>
      <c r="CE882" s="87"/>
      <c r="CF882" s="87"/>
      <c r="CG882" s="87"/>
      <c r="CH882" s="87"/>
    </row>
    <row r="883" spans="74:86">
      <c r="BV883" s="87"/>
      <c r="BW883" s="87"/>
      <c r="BX883" s="87"/>
      <c r="BY883" s="87"/>
      <c r="BZ883" s="87"/>
      <c r="CA883" s="87"/>
      <c r="CB883" s="87"/>
      <c r="CC883" s="87"/>
      <c r="CD883" s="87"/>
      <c r="CE883" s="87"/>
      <c r="CF883" s="87"/>
      <c r="CG883" s="87"/>
      <c r="CH883" s="87"/>
    </row>
    <row r="884" spans="74:86">
      <c r="BV884" s="87"/>
      <c r="BW884" s="87"/>
      <c r="BX884" s="87"/>
      <c r="BY884" s="87"/>
      <c r="BZ884" s="87"/>
      <c r="CA884" s="87"/>
      <c r="CB884" s="87"/>
      <c r="CC884" s="87"/>
      <c r="CD884" s="87"/>
      <c r="CE884" s="87"/>
      <c r="CF884" s="87"/>
      <c r="CG884" s="87"/>
      <c r="CH884" s="87"/>
    </row>
    <row r="885" spans="74:86">
      <c r="BV885" s="87"/>
      <c r="BW885" s="87"/>
      <c r="BX885" s="87"/>
      <c r="BY885" s="87"/>
      <c r="BZ885" s="87"/>
      <c r="CA885" s="87"/>
      <c r="CB885" s="87"/>
      <c r="CC885" s="87"/>
      <c r="CD885" s="87"/>
      <c r="CE885" s="87"/>
      <c r="CF885" s="87"/>
      <c r="CG885" s="87"/>
      <c r="CH885" s="87"/>
    </row>
    <row r="886" spans="74:86">
      <c r="BV886" s="87"/>
      <c r="BW886" s="87"/>
      <c r="BX886" s="87"/>
      <c r="BY886" s="87"/>
      <c r="BZ886" s="87"/>
      <c r="CA886" s="87"/>
      <c r="CB886" s="87"/>
      <c r="CC886" s="87"/>
      <c r="CD886" s="87"/>
      <c r="CE886" s="87"/>
      <c r="CF886" s="87"/>
      <c r="CG886" s="87"/>
      <c r="CH886" s="87"/>
    </row>
    <row r="887" spans="74:86">
      <c r="BV887" s="87"/>
      <c r="BW887" s="87"/>
      <c r="BX887" s="87"/>
      <c r="BY887" s="87"/>
      <c r="BZ887" s="87"/>
      <c r="CA887" s="87"/>
      <c r="CB887" s="87"/>
      <c r="CC887" s="87"/>
      <c r="CD887" s="87"/>
      <c r="CE887" s="87"/>
      <c r="CF887" s="87"/>
      <c r="CG887" s="87"/>
      <c r="CH887" s="87"/>
    </row>
    <row r="888" spans="74:86">
      <c r="BV888" s="87"/>
      <c r="BW888" s="87"/>
      <c r="BX888" s="87"/>
      <c r="BY888" s="87"/>
      <c r="BZ888" s="87"/>
      <c r="CA888" s="87"/>
      <c r="CB888" s="87"/>
      <c r="CC888" s="87"/>
      <c r="CD888" s="87"/>
      <c r="CE888" s="87"/>
      <c r="CF888" s="87"/>
      <c r="CG888" s="87"/>
      <c r="CH888" s="87"/>
    </row>
    <row r="889" spans="74:86">
      <c r="BV889" s="87"/>
      <c r="BW889" s="87"/>
      <c r="BX889" s="87"/>
      <c r="BY889" s="87"/>
      <c r="BZ889" s="87"/>
      <c r="CA889" s="87"/>
      <c r="CB889" s="87"/>
      <c r="CC889" s="87"/>
      <c r="CD889" s="87"/>
      <c r="CE889" s="87"/>
      <c r="CF889" s="87"/>
      <c r="CG889" s="87"/>
      <c r="CH889" s="87"/>
    </row>
    <row r="890" spans="74:86">
      <c r="BV890" s="87"/>
      <c r="BW890" s="87"/>
      <c r="BX890" s="87"/>
      <c r="BY890" s="87"/>
      <c r="BZ890" s="87"/>
      <c r="CA890" s="87"/>
      <c r="CB890" s="87"/>
      <c r="CC890" s="87"/>
      <c r="CD890" s="87"/>
      <c r="CE890" s="87"/>
      <c r="CF890" s="87"/>
      <c r="CG890" s="87"/>
      <c r="CH890" s="87"/>
    </row>
    <row r="891" spans="74:86">
      <c r="BV891" s="87"/>
      <c r="BW891" s="87"/>
      <c r="BX891" s="87"/>
      <c r="BY891" s="87"/>
      <c r="BZ891" s="87"/>
      <c r="CA891" s="87"/>
      <c r="CB891" s="87"/>
      <c r="CC891" s="87"/>
      <c r="CD891" s="87"/>
      <c r="CE891" s="87"/>
      <c r="CF891" s="87"/>
      <c r="CG891" s="87"/>
      <c r="CH891" s="87"/>
    </row>
    <row r="892" spans="74:86">
      <c r="BV892" s="87"/>
      <c r="BW892" s="87"/>
      <c r="BX892" s="87"/>
      <c r="BY892" s="87"/>
      <c r="BZ892" s="87"/>
      <c r="CA892" s="87"/>
      <c r="CB892" s="87"/>
      <c r="CC892" s="87"/>
      <c r="CD892" s="87"/>
      <c r="CE892" s="87"/>
      <c r="CF892" s="87"/>
      <c r="CG892" s="87"/>
      <c r="CH892" s="87"/>
    </row>
    <row r="893" spans="74:86">
      <c r="BV893" s="87"/>
      <c r="BW893" s="87"/>
      <c r="BX893" s="87"/>
      <c r="BY893" s="87"/>
      <c r="BZ893" s="87"/>
      <c r="CA893" s="87"/>
      <c r="CB893" s="87"/>
      <c r="CC893" s="87"/>
      <c r="CD893" s="87"/>
      <c r="CE893" s="87"/>
      <c r="CF893" s="87"/>
      <c r="CG893" s="87"/>
      <c r="CH893" s="87"/>
    </row>
    <row r="894" spans="74:86">
      <c r="BV894" s="87"/>
      <c r="BW894" s="87"/>
      <c r="BX894" s="87"/>
      <c r="BY894" s="87"/>
      <c r="BZ894" s="87"/>
      <c r="CA894" s="87"/>
      <c r="CB894" s="87"/>
      <c r="CC894" s="87"/>
      <c r="CD894" s="87"/>
      <c r="CE894" s="87"/>
      <c r="CF894" s="87"/>
      <c r="CG894" s="87"/>
      <c r="CH894" s="87"/>
    </row>
    <row r="895" spans="74:86">
      <c r="BV895" s="87"/>
      <c r="BW895" s="87"/>
      <c r="BX895" s="87"/>
      <c r="BY895" s="87"/>
      <c r="BZ895" s="87"/>
      <c r="CA895" s="87"/>
      <c r="CB895" s="87"/>
      <c r="CC895" s="87"/>
      <c r="CD895" s="87"/>
      <c r="CE895" s="87"/>
      <c r="CF895" s="87"/>
      <c r="CG895" s="87"/>
      <c r="CH895" s="87"/>
    </row>
    <row r="896" spans="74:86">
      <c r="BV896" s="87"/>
      <c r="BW896" s="87"/>
      <c r="BX896" s="87"/>
      <c r="BY896" s="87"/>
      <c r="BZ896" s="87"/>
      <c r="CA896" s="87"/>
      <c r="CB896" s="87"/>
      <c r="CC896" s="87"/>
      <c r="CD896" s="87"/>
      <c r="CE896" s="87"/>
      <c r="CF896" s="87"/>
      <c r="CG896" s="87"/>
      <c r="CH896" s="87"/>
    </row>
    <row r="897" spans="74:86">
      <c r="BV897" s="87"/>
      <c r="BW897" s="87"/>
      <c r="BX897" s="87"/>
      <c r="BY897" s="87"/>
      <c r="BZ897" s="87"/>
      <c r="CA897" s="87"/>
      <c r="CB897" s="87"/>
      <c r="CC897" s="87"/>
      <c r="CD897" s="87"/>
      <c r="CE897" s="87"/>
      <c r="CF897" s="87"/>
      <c r="CG897" s="87"/>
      <c r="CH897" s="87"/>
    </row>
    <row r="898" spans="74:86">
      <c r="BV898" s="87"/>
      <c r="BW898" s="87"/>
      <c r="BX898" s="87"/>
      <c r="BY898" s="87"/>
      <c r="BZ898" s="87"/>
      <c r="CA898" s="87"/>
      <c r="CB898" s="87"/>
      <c r="CC898" s="87"/>
      <c r="CD898" s="87"/>
      <c r="CE898" s="87"/>
      <c r="CF898" s="87"/>
      <c r="CG898" s="87"/>
      <c r="CH898" s="87"/>
    </row>
    <row r="899" spans="74:86">
      <c r="BV899" s="87"/>
      <c r="BW899" s="87"/>
      <c r="BX899" s="87"/>
      <c r="BY899" s="87"/>
      <c r="BZ899" s="87"/>
      <c r="CA899" s="87"/>
      <c r="CB899" s="87"/>
      <c r="CC899" s="87"/>
      <c r="CD899" s="87"/>
      <c r="CE899" s="87"/>
      <c r="CF899" s="87"/>
      <c r="CG899" s="87"/>
      <c r="CH899" s="87"/>
    </row>
    <row r="900" spans="74:86">
      <c r="BV900" s="87"/>
      <c r="BW900" s="87"/>
      <c r="BX900" s="87"/>
      <c r="BY900" s="87"/>
      <c r="BZ900" s="87"/>
      <c r="CA900" s="87"/>
      <c r="CB900" s="87"/>
      <c r="CC900" s="87"/>
      <c r="CD900" s="87"/>
      <c r="CE900" s="87"/>
      <c r="CF900" s="87"/>
      <c r="CG900" s="87"/>
      <c r="CH900" s="87"/>
    </row>
    <row r="901" spans="74:86">
      <c r="BV901" s="87"/>
      <c r="BW901" s="87"/>
      <c r="BX901" s="87"/>
      <c r="BY901" s="87"/>
      <c r="BZ901" s="87"/>
      <c r="CA901" s="87"/>
      <c r="CB901" s="87"/>
      <c r="CC901" s="87"/>
      <c r="CD901" s="87"/>
      <c r="CE901" s="87"/>
      <c r="CF901" s="87"/>
      <c r="CG901" s="87"/>
      <c r="CH901" s="87"/>
    </row>
    <row r="902" spans="74:86">
      <c r="BV902" s="87"/>
      <c r="BW902" s="87"/>
      <c r="BX902" s="87"/>
      <c r="BY902" s="87"/>
      <c r="BZ902" s="87"/>
      <c r="CA902" s="87"/>
      <c r="CB902" s="87"/>
      <c r="CC902" s="87"/>
      <c r="CD902" s="87"/>
      <c r="CE902" s="87"/>
      <c r="CF902" s="87"/>
      <c r="CG902" s="87"/>
      <c r="CH902" s="87"/>
    </row>
    <row r="903" spans="74:86">
      <c r="BV903" s="87"/>
      <c r="BW903" s="87"/>
      <c r="BX903" s="87"/>
      <c r="BY903" s="87"/>
      <c r="BZ903" s="87"/>
      <c r="CA903" s="87"/>
      <c r="CB903" s="87"/>
      <c r="CC903" s="87"/>
      <c r="CD903" s="87"/>
      <c r="CE903" s="87"/>
      <c r="CF903" s="87"/>
      <c r="CG903" s="87"/>
      <c r="CH903" s="87"/>
    </row>
    <row r="904" spans="74:86">
      <c r="BV904" s="87"/>
      <c r="BW904" s="87"/>
      <c r="BX904" s="87"/>
      <c r="BY904" s="87"/>
      <c r="BZ904" s="87"/>
      <c r="CA904" s="87"/>
      <c r="CB904" s="87"/>
      <c r="CC904" s="87"/>
      <c r="CD904" s="87"/>
      <c r="CE904" s="87"/>
      <c r="CF904" s="87"/>
      <c r="CG904" s="87"/>
      <c r="CH904" s="87"/>
    </row>
    <row r="905" spans="74:86">
      <c r="BV905" s="87"/>
      <c r="BW905" s="87"/>
      <c r="BX905" s="87"/>
      <c r="BY905" s="87"/>
      <c r="BZ905" s="87"/>
      <c r="CA905" s="87"/>
      <c r="CB905" s="87"/>
      <c r="CC905" s="87"/>
      <c r="CD905" s="87"/>
      <c r="CE905" s="87"/>
      <c r="CF905" s="87"/>
      <c r="CG905" s="87"/>
      <c r="CH905" s="87"/>
    </row>
    <row r="906" spans="74:86">
      <c r="BV906" s="87"/>
      <c r="BW906" s="87"/>
      <c r="BX906" s="87"/>
      <c r="BY906" s="87"/>
      <c r="BZ906" s="87"/>
      <c r="CA906" s="87"/>
      <c r="CB906" s="87"/>
      <c r="CC906" s="87"/>
      <c r="CD906" s="87"/>
      <c r="CE906" s="87"/>
      <c r="CF906" s="87"/>
      <c r="CG906" s="87"/>
      <c r="CH906" s="87"/>
    </row>
    <row r="907" spans="74:86">
      <c r="BV907" s="87"/>
      <c r="BW907" s="87"/>
      <c r="BX907" s="87"/>
      <c r="BY907" s="87"/>
      <c r="BZ907" s="87"/>
      <c r="CA907" s="87"/>
      <c r="CB907" s="87"/>
      <c r="CC907" s="87"/>
      <c r="CD907" s="87"/>
      <c r="CE907" s="87"/>
      <c r="CF907" s="87"/>
      <c r="CG907" s="87"/>
      <c r="CH907" s="87"/>
    </row>
    <row r="908" spans="74:86">
      <c r="BV908" s="87"/>
      <c r="BW908" s="87"/>
      <c r="BX908" s="87"/>
      <c r="BY908" s="87"/>
      <c r="BZ908" s="87"/>
      <c r="CA908" s="87"/>
      <c r="CB908" s="87"/>
      <c r="CC908" s="87"/>
      <c r="CD908" s="87"/>
      <c r="CE908" s="87"/>
      <c r="CF908" s="87"/>
      <c r="CG908" s="87"/>
      <c r="CH908" s="87"/>
    </row>
    <row r="909" spans="74:86">
      <c r="BV909" s="87"/>
      <c r="BW909" s="87"/>
      <c r="BX909" s="87"/>
      <c r="BY909" s="87"/>
      <c r="BZ909" s="87"/>
      <c r="CA909" s="87"/>
      <c r="CB909" s="87"/>
      <c r="CC909" s="87"/>
      <c r="CD909" s="87"/>
      <c r="CE909" s="87"/>
      <c r="CF909" s="87"/>
      <c r="CG909" s="87"/>
      <c r="CH909" s="87"/>
    </row>
    <row r="910" spans="74:86">
      <c r="BV910" s="87"/>
      <c r="BW910" s="87"/>
      <c r="BX910" s="87"/>
      <c r="BY910" s="87"/>
      <c r="BZ910" s="87"/>
      <c r="CA910" s="87"/>
      <c r="CB910" s="87"/>
      <c r="CC910" s="87"/>
      <c r="CD910" s="87"/>
      <c r="CE910" s="87"/>
      <c r="CF910" s="87"/>
      <c r="CG910" s="87"/>
      <c r="CH910" s="87"/>
    </row>
    <row r="911" spans="74:86">
      <c r="BV911" s="87"/>
      <c r="BW911" s="87"/>
      <c r="BX911" s="87"/>
      <c r="BY911" s="87"/>
      <c r="BZ911" s="87"/>
      <c r="CA911" s="87"/>
      <c r="CB911" s="87"/>
      <c r="CC911" s="87"/>
      <c r="CD911" s="87"/>
      <c r="CE911" s="87"/>
      <c r="CF911" s="87"/>
      <c r="CG911" s="87"/>
      <c r="CH911" s="87"/>
    </row>
    <row r="912" spans="74:86">
      <c r="BV912" s="87"/>
      <c r="BW912" s="87"/>
      <c r="BX912" s="87"/>
      <c r="BY912" s="87"/>
      <c r="BZ912" s="87"/>
      <c r="CA912" s="87"/>
      <c r="CB912" s="87"/>
      <c r="CC912" s="87"/>
      <c r="CD912" s="87"/>
      <c r="CE912" s="87"/>
      <c r="CF912" s="87"/>
      <c r="CG912" s="87"/>
      <c r="CH912" s="87"/>
    </row>
    <row r="913" spans="74:86">
      <c r="BV913" s="87"/>
      <c r="BW913" s="87"/>
      <c r="BX913" s="87"/>
      <c r="BY913" s="87"/>
      <c r="BZ913" s="87"/>
      <c r="CA913" s="87"/>
      <c r="CB913" s="87"/>
      <c r="CC913" s="87"/>
      <c r="CD913" s="87"/>
      <c r="CE913" s="87"/>
      <c r="CF913" s="87"/>
      <c r="CG913" s="87"/>
      <c r="CH913" s="87"/>
    </row>
    <row r="914" spans="74:86">
      <c r="BV914" s="87"/>
      <c r="BW914" s="87"/>
      <c r="BX914" s="87"/>
      <c r="BY914" s="87"/>
      <c r="BZ914" s="87"/>
      <c r="CA914" s="87"/>
      <c r="CB914" s="87"/>
      <c r="CC914" s="87"/>
      <c r="CD914" s="87"/>
      <c r="CE914" s="87"/>
      <c r="CF914" s="87"/>
      <c r="CG914" s="87"/>
      <c r="CH914" s="87"/>
    </row>
    <row r="915" spans="74:86">
      <c r="BV915" s="87"/>
      <c r="BW915" s="87"/>
      <c r="BX915" s="87"/>
      <c r="BY915" s="87"/>
      <c r="BZ915" s="87"/>
      <c r="CA915" s="87"/>
      <c r="CB915" s="87"/>
      <c r="CC915" s="87"/>
      <c r="CD915" s="87"/>
      <c r="CE915" s="87"/>
      <c r="CF915" s="87"/>
      <c r="CG915" s="87"/>
      <c r="CH915" s="87"/>
    </row>
    <row r="916" spans="74:86">
      <c r="BV916" s="87"/>
      <c r="BW916" s="87"/>
      <c r="BX916" s="87"/>
      <c r="BY916" s="87"/>
      <c r="BZ916" s="87"/>
      <c r="CA916" s="87"/>
      <c r="CB916" s="87"/>
      <c r="CC916" s="87"/>
      <c r="CD916" s="87"/>
      <c r="CE916" s="87"/>
      <c r="CF916" s="87"/>
      <c r="CG916" s="87"/>
      <c r="CH916" s="87"/>
    </row>
    <row r="917" spans="74:86">
      <c r="BV917" s="87"/>
      <c r="BW917" s="87"/>
      <c r="BX917" s="87"/>
      <c r="BY917" s="87"/>
      <c r="BZ917" s="87"/>
      <c r="CA917" s="87"/>
      <c r="CB917" s="87"/>
      <c r="CC917" s="87"/>
      <c r="CD917" s="87"/>
      <c r="CE917" s="87"/>
      <c r="CF917" s="87"/>
      <c r="CG917" s="87"/>
      <c r="CH917" s="87"/>
    </row>
    <row r="918" spans="74:86">
      <c r="BV918" s="87"/>
      <c r="BW918" s="87"/>
      <c r="BX918" s="87"/>
      <c r="BY918" s="87"/>
      <c r="BZ918" s="87"/>
      <c r="CA918" s="87"/>
      <c r="CB918" s="87"/>
      <c r="CC918" s="87"/>
      <c r="CD918" s="87"/>
      <c r="CE918" s="87"/>
      <c r="CF918" s="87"/>
      <c r="CG918" s="87"/>
      <c r="CH918" s="87"/>
    </row>
    <row r="919" spans="74:86">
      <c r="BV919" s="87"/>
      <c r="BW919" s="87"/>
      <c r="BX919" s="87"/>
      <c r="BY919" s="87"/>
      <c r="BZ919" s="87"/>
      <c r="CA919" s="87"/>
      <c r="CB919" s="87"/>
      <c r="CC919" s="87"/>
      <c r="CD919" s="87"/>
      <c r="CE919" s="87"/>
      <c r="CF919" s="87"/>
      <c r="CG919" s="87"/>
      <c r="CH919" s="87"/>
    </row>
    <row r="920" spans="74:86">
      <c r="BV920" s="87"/>
      <c r="BW920" s="87"/>
      <c r="BX920" s="87"/>
      <c r="BY920" s="87"/>
      <c r="BZ920" s="87"/>
      <c r="CA920" s="87"/>
      <c r="CB920" s="87"/>
      <c r="CC920" s="87"/>
      <c r="CD920" s="87"/>
      <c r="CE920" s="87"/>
      <c r="CF920" s="87"/>
      <c r="CG920" s="87"/>
      <c r="CH920" s="87"/>
    </row>
    <row r="921" spans="74:86">
      <c r="BV921" s="87"/>
      <c r="BW921" s="87"/>
      <c r="BX921" s="87"/>
      <c r="BY921" s="87"/>
      <c r="BZ921" s="87"/>
      <c r="CA921" s="87"/>
      <c r="CB921" s="87"/>
      <c r="CC921" s="87"/>
      <c r="CD921" s="87"/>
      <c r="CE921" s="87"/>
      <c r="CF921" s="87"/>
      <c r="CG921" s="87"/>
      <c r="CH921" s="87"/>
    </row>
    <row r="922" spans="74:86">
      <c r="BV922" s="87"/>
      <c r="BW922" s="87"/>
      <c r="BX922" s="87"/>
      <c r="BY922" s="87"/>
      <c r="BZ922" s="87"/>
      <c r="CA922" s="87"/>
      <c r="CB922" s="87"/>
      <c r="CC922" s="87"/>
      <c r="CD922" s="87"/>
      <c r="CE922" s="87"/>
      <c r="CF922" s="87"/>
      <c r="CG922" s="87"/>
      <c r="CH922" s="87"/>
    </row>
    <row r="923" spans="74:86">
      <c r="BV923" s="87"/>
      <c r="BW923" s="87"/>
      <c r="BX923" s="87"/>
      <c r="BY923" s="87"/>
      <c r="BZ923" s="87"/>
      <c r="CA923" s="87"/>
      <c r="CB923" s="87"/>
      <c r="CC923" s="87"/>
      <c r="CD923" s="87"/>
      <c r="CE923" s="87"/>
      <c r="CF923" s="87"/>
      <c r="CG923" s="87"/>
      <c r="CH923" s="87"/>
    </row>
    <row r="924" spans="74:86">
      <c r="BV924" s="87"/>
      <c r="BW924" s="87"/>
      <c r="BX924" s="87"/>
      <c r="BY924" s="87"/>
      <c r="BZ924" s="87"/>
      <c r="CA924" s="87"/>
      <c r="CB924" s="87"/>
      <c r="CC924" s="87"/>
      <c r="CD924" s="87"/>
      <c r="CE924" s="87"/>
      <c r="CF924" s="87"/>
      <c r="CG924" s="87"/>
      <c r="CH924" s="87"/>
    </row>
    <row r="925" spans="74:86">
      <c r="BV925" s="87"/>
      <c r="BW925" s="87"/>
      <c r="BX925" s="87"/>
      <c r="BY925" s="87"/>
      <c r="BZ925" s="87"/>
      <c r="CA925" s="87"/>
      <c r="CB925" s="87"/>
      <c r="CC925" s="87"/>
      <c r="CD925" s="87"/>
      <c r="CE925" s="87"/>
      <c r="CF925" s="87"/>
      <c r="CG925" s="87"/>
      <c r="CH925" s="87"/>
    </row>
    <row r="926" spans="74:86">
      <c r="BV926" s="87"/>
      <c r="BW926" s="87"/>
      <c r="BX926" s="87"/>
      <c r="BY926" s="87"/>
      <c r="BZ926" s="87"/>
      <c r="CA926" s="87"/>
      <c r="CB926" s="87"/>
      <c r="CC926" s="87"/>
      <c r="CD926" s="87"/>
      <c r="CE926" s="87"/>
      <c r="CF926" s="87"/>
      <c r="CG926" s="87"/>
      <c r="CH926" s="87"/>
    </row>
    <row r="927" spans="74:86">
      <c r="BV927" s="87"/>
      <c r="BW927" s="87"/>
      <c r="BX927" s="87"/>
      <c r="BY927" s="87"/>
      <c r="BZ927" s="87"/>
      <c r="CA927" s="87"/>
      <c r="CB927" s="87"/>
      <c r="CC927" s="87"/>
      <c r="CD927" s="87"/>
      <c r="CE927" s="87"/>
      <c r="CF927" s="87"/>
      <c r="CG927" s="87"/>
      <c r="CH927" s="87"/>
    </row>
    <row r="928" spans="74:86">
      <c r="BV928" s="87"/>
      <c r="BW928" s="87"/>
      <c r="BX928" s="87"/>
      <c r="BY928" s="87"/>
      <c r="BZ928" s="87"/>
      <c r="CA928" s="87"/>
      <c r="CB928" s="87"/>
      <c r="CC928" s="87"/>
      <c r="CD928" s="87"/>
      <c r="CE928" s="87"/>
      <c r="CF928" s="87"/>
      <c r="CG928" s="87"/>
      <c r="CH928" s="87"/>
    </row>
    <row r="929" spans="74:86">
      <c r="BV929" s="87"/>
      <c r="BW929" s="87"/>
      <c r="BX929" s="87"/>
      <c r="BY929" s="87"/>
      <c r="BZ929" s="87"/>
      <c r="CA929" s="87"/>
      <c r="CB929" s="87"/>
      <c r="CC929" s="87"/>
      <c r="CD929" s="87"/>
      <c r="CE929" s="87"/>
      <c r="CF929" s="87"/>
      <c r="CG929" s="87"/>
      <c r="CH929" s="87"/>
    </row>
    <row r="930" spans="74:86">
      <c r="BV930" s="87"/>
      <c r="BW930" s="87"/>
      <c r="BX930" s="87"/>
      <c r="BY930" s="87"/>
      <c r="BZ930" s="87"/>
      <c r="CA930" s="87"/>
      <c r="CB930" s="87"/>
      <c r="CC930" s="87"/>
      <c r="CD930" s="87"/>
      <c r="CE930" s="87"/>
      <c r="CF930" s="87"/>
      <c r="CG930" s="87"/>
      <c r="CH930" s="87"/>
    </row>
    <row r="931" spans="74:86">
      <c r="BV931" s="87"/>
      <c r="BW931" s="87"/>
      <c r="BX931" s="87"/>
      <c r="BY931" s="87"/>
      <c r="BZ931" s="87"/>
      <c r="CA931" s="87"/>
      <c r="CB931" s="87"/>
      <c r="CC931" s="87"/>
      <c r="CD931" s="87"/>
      <c r="CE931" s="87"/>
      <c r="CF931" s="87"/>
      <c r="CG931" s="87"/>
      <c r="CH931" s="87"/>
    </row>
    <row r="932" spans="74:86">
      <c r="BV932" s="87"/>
      <c r="BW932" s="87"/>
      <c r="BX932" s="87"/>
      <c r="BY932" s="87"/>
      <c r="BZ932" s="87"/>
      <c r="CA932" s="87"/>
      <c r="CB932" s="87"/>
      <c r="CC932" s="87"/>
      <c r="CD932" s="87"/>
      <c r="CE932" s="87"/>
      <c r="CF932" s="87"/>
      <c r="CG932" s="87"/>
      <c r="CH932" s="87"/>
    </row>
    <row r="933" spans="74:86">
      <c r="BV933" s="87"/>
      <c r="BW933" s="87"/>
      <c r="BX933" s="87"/>
      <c r="BY933" s="87"/>
      <c r="BZ933" s="87"/>
      <c r="CA933" s="87"/>
      <c r="CB933" s="87"/>
      <c r="CC933" s="87"/>
      <c r="CD933" s="87"/>
      <c r="CE933" s="87"/>
      <c r="CF933" s="87"/>
      <c r="CG933" s="87"/>
      <c r="CH933" s="87"/>
    </row>
    <row r="934" spans="74:86">
      <c r="BV934" s="87"/>
      <c r="BW934" s="87"/>
      <c r="BX934" s="87"/>
      <c r="BY934" s="87"/>
      <c r="BZ934" s="87"/>
      <c r="CA934" s="87"/>
      <c r="CB934" s="87"/>
      <c r="CC934" s="87"/>
      <c r="CD934" s="87"/>
      <c r="CE934" s="87"/>
      <c r="CF934" s="87"/>
      <c r="CG934" s="87"/>
      <c r="CH934" s="87"/>
    </row>
    <row r="935" spans="74:86">
      <c r="BV935" s="87"/>
      <c r="BW935" s="87"/>
      <c r="BX935" s="87"/>
      <c r="BY935" s="87"/>
      <c r="BZ935" s="87"/>
      <c r="CA935" s="87"/>
      <c r="CB935" s="87"/>
      <c r="CC935" s="87"/>
      <c r="CD935" s="87"/>
      <c r="CE935" s="87"/>
      <c r="CF935" s="87"/>
      <c r="CG935" s="87"/>
      <c r="CH935" s="87"/>
    </row>
    <row r="936" spans="74:86">
      <c r="BV936" s="87"/>
      <c r="BW936" s="87"/>
      <c r="BX936" s="87"/>
      <c r="BY936" s="87"/>
      <c r="BZ936" s="87"/>
      <c r="CA936" s="87"/>
      <c r="CB936" s="87"/>
      <c r="CC936" s="87"/>
      <c r="CD936" s="87"/>
      <c r="CE936" s="87"/>
      <c r="CF936" s="87"/>
      <c r="CG936" s="87"/>
      <c r="CH936" s="87"/>
    </row>
    <row r="937" spans="74:86">
      <c r="BV937" s="87"/>
      <c r="BW937" s="87"/>
      <c r="BX937" s="87"/>
      <c r="BY937" s="87"/>
      <c r="BZ937" s="87"/>
      <c r="CA937" s="87"/>
      <c r="CB937" s="87"/>
      <c r="CC937" s="87"/>
      <c r="CD937" s="87"/>
      <c r="CE937" s="87"/>
      <c r="CF937" s="87"/>
      <c r="CG937" s="87"/>
      <c r="CH937" s="87"/>
    </row>
    <row r="938" spans="74:86">
      <c r="BV938" s="87"/>
      <c r="BW938" s="87"/>
      <c r="BX938" s="87"/>
      <c r="BY938" s="87"/>
      <c r="BZ938" s="87"/>
      <c r="CA938" s="87"/>
      <c r="CB938" s="87"/>
      <c r="CC938" s="87"/>
      <c r="CD938" s="87"/>
      <c r="CE938" s="87"/>
      <c r="CF938" s="87"/>
      <c r="CG938" s="87"/>
      <c r="CH938" s="87"/>
    </row>
    <row r="939" spans="74:86">
      <c r="BV939" s="87"/>
      <c r="BW939" s="87"/>
      <c r="BX939" s="87"/>
      <c r="BY939" s="87"/>
      <c r="BZ939" s="87"/>
      <c r="CA939" s="87"/>
      <c r="CB939" s="87"/>
      <c r="CC939" s="87"/>
      <c r="CD939" s="87"/>
      <c r="CE939" s="87"/>
      <c r="CF939" s="87"/>
      <c r="CG939" s="87"/>
      <c r="CH939" s="87"/>
    </row>
    <row r="940" spans="74:86">
      <c r="BV940" s="87"/>
      <c r="BW940" s="87"/>
      <c r="BX940" s="87"/>
      <c r="BY940" s="87"/>
      <c r="BZ940" s="87"/>
      <c r="CA940" s="87"/>
      <c r="CB940" s="87"/>
      <c r="CC940" s="87"/>
      <c r="CD940" s="87"/>
      <c r="CE940" s="87"/>
      <c r="CF940" s="87"/>
      <c r="CG940" s="87"/>
      <c r="CH940" s="87"/>
    </row>
    <row r="941" spans="74:86">
      <c r="BV941" s="87"/>
      <c r="BW941" s="87"/>
      <c r="BX941" s="87"/>
      <c r="BY941" s="87"/>
      <c r="BZ941" s="87"/>
      <c r="CA941" s="87"/>
      <c r="CB941" s="87"/>
      <c r="CC941" s="87"/>
      <c r="CD941" s="87"/>
      <c r="CE941" s="87"/>
      <c r="CF941" s="87"/>
      <c r="CG941" s="87"/>
      <c r="CH941" s="87"/>
    </row>
    <row r="942" spans="74:86">
      <c r="BV942" s="87"/>
      <c r="BW942" s="87"/>
      <c r="BX942" s="87"/>
      <c r="BY942" s="87"/>
      <c r="BZ942" s="87"/>
      <c r="CA942" s="87"/>
      <c r="CB942" s="87"/>
      <c r="CC942" s="87"/>
      <c r="CD942" s="87"/>
      <c r="CE942" s="87"/>
      <c r="CF942" s="87"/>
      <c r="CG942" s="87"/>
      <c r="CH942" s="87"/>
    </row>
    <row r="943" spans="74:86">
      <c r="BV943" s="87"/>
      <c r="BW943" s="87"/>
      <c r="BX943" s="87"/>
      <c r="BY943" s="87"/>
      <c r="BZ943" s="87"/>
      <c r="CA943" s="87"/>
      <c r="CB943" s="87"/>
      <c r="CC943" s="87"/>
      <c r="CD943" s="87"/>
      <c r="CE943" s="87"/>
      <c r="CF943" s="87"/>
      <c r="CG943" s="87"/>
      <c r="CH943" s="87"/>
    </row>
    <row r="944" spans="74:86">
      <c r="BV944" s="87"/>
      <c r="BW944" s="87"/>
      <c r="BX944" s="87"/>
      <c r="BY944" s="87"/>
      <c r="BZ944" s="87"/>
      <c r="CA944" s="87"/>
      <c r="CB944" s="87"/>
      <c r="CC944" s="87"/>
      <c r="CD944" s="87"/>
      <c r="CE944" s="87"/>
      <c r="CF944" s="87"/>
      <c r="CG944" s="87"/>
      <c r="CH944" s="87"/>
    </row>
    <row r="945" spans="74:86">
      <c r="BV945" s="87"/>
      <c r="BW945" s="87"/>
      <c r="BX945" s="87"/>
      <c r="BY945" s="87"/>
      <c r="BZ945" s="87"/>
      <c r="CA945" s="87"/>
      <c r="CB945" s="87"/>
      <c r="CC945" s="87"/>
      <c r="CD945" s="87"/>
      <c r="CE945" s="87"/>
      <c r="CF945" s="87"/>
      <c r="CG945" s="87"/>
      <c r="CH945" s="87"/>
    </row>
    <row r="946" spans="74:86">
      <c r="BV946" s="87"/>
      <c r="BW946" s="87"/>
      <c r="BX946" s="87"/>
      <c r="BY946" s="87"/>
      <c r="BZ946" s="87"/>
      <c r="CA946" s="87"/>
      <c r="CB946" s="87"/>
      <c r="CC946" s="87"/>
      <c r="CD946" s="87"/>
      <c r="CE946" s="87"/>
      <c r="CF946" s="87"/>
      <c r="CG946" s="87"/>
      <c r="CH946" s="87"/>
    </row>
    <row r="947" spans="74:86">
      <c r="BV947" s="87"/>
      <c r="BW947" s="87"/>
      <c r="BX947" s="87"/>
      <c r="BY947" s="87"/>
      <c r="BZ947" s="87"/>
      <c r="CA947" s="87"/>
      <c r="CB947" s="87"/>
      <c r="CC947" s="87"/>
      <c r="CD947" s="87"/>
      <c r="CE947" s="87"/>
      <c r="CF947" s="87"/>
      <c r="CG947" s="87"/>
      <c r="CH947" s="87"/>
    </row>
    <row r="948" spans="74:86">
      <c r="BV948" s="87"/>
      <c r="BW948" s="87"/>
      <c r="BX948" s="87"/>
      <c r="BY948" s="87"/>
      <c r="BZ948" s="87"/>
      <c r="CA948" s="87"/>
      <c r="CB948" s="87"/>
      <c r="CC948" s="87"/>
      <c r="CD948" s="87"/>
      <c r="CE948" s="87"/>
      <c r="CF948" s="87"/>
      <c r="CG948" s="87"/>
      <c r="CH948" s="87"/>
    </row>
    <row r="949" spans="74:86">
      <c r="BV949" s="87"/>
      <c r="BW949" s="87"/>
      <c r="BX949" s="87"/>
      <c r="BY949" s="87"/>
      <c r="BZ949" s="87"/>
      <c r="CA949" s="87"/>
      <c r="CB949" s="87"/>
      <c r="CC949" s="87"/>
      <c r="CD949" s="87"/>
      <c r="CE949" s="87"/>
      <c r="CF949" s="87"/>
      <c r="CG949" s="87"/>
      <c r="CH949" s="87"/>
    </row>
    <row r="950" spans="74:86">
      <c r="BV950" s="87"/>
      <c r="BW950" s="87"/>
      <c r="BX950" s="87"/>
      <c r="BY950" s="87"/>
      <c r="BZ950" s="87"/>
      <c r="CA950" s="87"/>
      <c r="CB950" s="87"/>
      <c r="CC950" s="87"/>
      <c r="CD950" s="87"/>
      <c r="CE950" s="87"/>
      <c r="CF950" s="87"/>
      <c r="CG950" s="87"/>
      <c r="CH950" s="87"/>
    </row>
    <row r="951" spans="74:86">
      <c r="BV951" s="87"/>
      <c r="BW951" s="87"/>
      <c r="BX951" s="87"/>
      <c r="BY951" s="87"/>
      <c r="BZ951" s="87"/>
      <c r="CA951" s="87"/>
      <c r="CB951" s="87"/>
      <c r="CC951" s="87"/>
      <c r="CD951" s="87"/>
      <c r="CE951" s="87"/>
      <c r="CF951" s="87"/>
      <c r="CG951" s="87"/>
      <c r="CH951" s="87"/>
    </row>
    <row r="952" spans="74:86">
      <c r="BV952" s="87"/>
      <c r="BW952" s="87"/>
      <c r="BX952" s="87"/>
      <c r="BY952" s="87"/>
      <c r="BZ952" s="87"/>
      <c r="CA952" s="87"/>
      <c r="CB952" s="87"/>
      <c r="CC952" s="87"/>
      <c r="CD952" s="87"/>
      <c r="CE952" s="87"/>
      <c r="CF952" s="87"/>
      <c r="CG952" s="87"/>
      <c r="CH952" s="87"/>
    </row>
    <row r="953" spans="74:86">
      <c r="BV953" s="87"/>
      <c r="BW953" s="87"/>
      <c r="BX953" s="87"/>
      <c r="BY953" s="87"/>
      <c r="BZ953" s="87"/>
      <c r="CA953" s="87"/>
      <c r="CB953" s="87"/>
      <c r="CC953" s="87"/>
      <c r="CD953" s="87"/>
      <c r="CE953" s="87"/>
      <c r="CF953" s="87"/>
      <c r="CG953" s="87"/>
      <c r="CH953" s="87"/>
    </row>
    <row r="954" spans="74:86">
      <c r="BV954" s="87"/>
      <c r="BW954" s="87"/>
      <c r="BX954" s="87"/>
      <c r="BY954" s="87"/>
      <c r="BZ954" s="87"/>
      <c r="CA954" s="87"/>
      <c r="CB954" s="87"/>
      <c r="CC954" s="87"/>
      <c r="CD954" s="87"/>
      <c r="CE954" s="87"/>
      <c r="CF954" s="87"/>
      <c r="CG954" s="87"/>
      <c r="CH954" s="87"/>
    </row>
    <row r="955" spans="74:86">
      <c r="BV955" s="87"/>
      <c r="BW955" s="87"/>
      <c r="BX955" s="87"/>
      <c r="BY955" s="87"/>
      <c r="BZ955" s="87"/>
      <c r="CA955" s="87"/>
      <c r="CB955" s="87"/>
      <c r="CC955" s="87"/>
      <c r="CD955" s="87"/>
      <c r="CE955" s="87"/>
      <c r="CF955" s="87"/>
      <c r="CG955" s="87"/>
      <c r="CH955" s="87"/>
    </row>
    <row r="956" spans="74:86">
      <c r="BV956" s="87"/>
      <c r="BW956" s="87"/>
      <c r="BX956" s="87"/>
      <c r="BY956" s="87"/>
      <c r="BZ956" s="87"/>
      <c r="CA956" s="87"/>
      <c r="CB956" s="87"/>
      <c r="CC956" s="87"/>
      <c r="CD956" s="87"/>
      <c r="CE956" s="87"/>
      <c r="CF956" s="87"/>
      <c r="CG956" s="87"/>
      <c r="CH956" s="87"/>
    </row>
    <row r="957" spans="74:86">
      <c r="BV957" s="87"/>
      <c r="BW957" s="87"/>
      <c r="BX957" s="87"/>
      <c r="BY957" s="87"/>
      <c r="BZ957" s="87"/>
      <c r="CA957" s="87"/>
      <c r="CB957" s="87"/>
      <c r="CC957" s="87"/>
      <c r="CD957" s="87"/>
      <c r="CE957" s="87"/>
      <c r="CF957" s="87"/>
      <c r="CG957" s="87"/>
      <c r="CH957" s="87"/>
    </row>
    <row r="958" spans="74:86">
      <c r="BV958" s="87"/>
      <c r="BW958" s="87"/>
      <c r="BX958" s="87"/>
      <c r="BY958" s="87"/>
      <c r="BZ958" s="87"/>
      <c r="CA958" s="87"/>
      <c r="CB958" s="87"/>
      <c r="CC958" s="87"/>
      <c r="CD958" s="87"/>
      <c r="CE958" s="87"/>
      <c r="CF958" s="87"/>
      <c r="CG958" s="87"/>
      <c r="CH958" s="87"/>
    </row>
    <row r="959" spans="74:86">
      <c r="BV959" s="87"/>
      <c r="BW959" s="87"/>
      <c r="BX959" s="87"/>
      <c r="BY959" s="87"/>
      <c r="BZ959" s="87"/>
      <c r="CA959" s="87"/>
      <c r="CB959" s="87"/>
      <c r="CC959" s="87"/>
      <c r="CD959" s="87"/>
      <c r="CE959" s="87"/>
      <c r="CF959" s="87"/>
      <c r="CG959" s="87"/>
      <c r="CH959" s="87"/>
    </row>
    <row r="960" spans="74:86">
      <c r="BV960" s="87"/>
      <c r="BW960" s="87"/>
      <c r="BX960" s="87"/>
      <c r="BY960" s="87"/>
      <c r="BZ960" s="87"/>
      <c r="CA960" s="87"/>
      <c r="CB960" s="87"/>
      <c r="CC960" s="87"/>
      <c r="CD960" s="87"/>
      <c r="CE960" s="87"/>
      <c r="CF960" s="87"/>
      <c r="CG960" s="87"/>
      <c r="CH960" s="87"/>
    </row>
    <row r="961" spans="74:86">
      <c r="BV961" s="87"/>
      <c r="BW961" s="87"/>
      <c r="BX961" s="87"/>
      <c r="BY961" s="87"/>
      <c r="BZ961" s="87"/>
      <c r="CA961" s="87"/>
      <c r="CB961" s="87"/>
      <c r="CC961" s="87"/>
      <c r="CD961" s="87"/>
      <c r="CE961" s="87"/>
      <c r="CF961" s="87"/>
      <c r="CG961" s="87"/>
      <c r="CH961" s="87"/>
    </row>
    <row r="962" spans="74:86">
      <c r="BV962" s="87"/>
      <c r="BW962" s="87"/>
      <c r="BX962" s="87"/>
      <c r="BY962" s="87"/>
      <c r="BZ962" s="87"/>
      <c r="CA962" s="87"/>
      <c r="CB962" s="87"/>
      <c r="CC962" s="87"/>
      <c r="CD962" s="87"/>
      <c r="CE962" s="87"/>
      <c r="CF962" s="87"/>
      <c r="CG962" s="87"/>
      <c r="CH962" s="87"/>
    </row>
    <row r="963" spans="74:86">
      <c r="BV963" s="87"/>
      <c r="BW963" s="87"/>
      <c r="BX963" s="87"/>
      <c r="BY963" s="87"/>
      <c r="BZ963" s="87"/>
      <c r="CA963" s="87"/>
      <c r="CB963" s="87"/>
      <c r="CC963" s="87"/>
      <c r="CD963" s="87"/>
      <c r="CE963" s="87"/>
      <c r="CF963" s="87"/>
      <c r="CG963" s="87"/>
      <c r="CH963" s="87"/>
    </row>
    <row r="964" spans="74:86">
      <c r="BV964" s="87"/>
      <c r="BW964" s="87"/>
      <c r="BX964" s="87"/>
      <c r="BY964" s="87"/>
      <c r="BZ964" s="87"/>
      <c r="CA964" s="87"/>
      <c r="CB964" s="87"/>
      <c r="CC964" s="87"/>
      <c r="CD964" s="87"/>
      <c r="CE964" s="87"/>
      <c r="CF964" s="87"/>
      <c r="CG964" s="87"/>
      <c r="CH964" s="87"/>
    </row>
    <row r="965" spans="74:86">
      <c r="BV965" s="87"/>
      <c r="BW965" s="87"/>
      <c r="BX965" s="87"/>
      <c r="BY965" s="87"/>
      <c r="BZ965" s="87"/>
      <c r="CA965" s="87"/>
      <c r="CB965" s="87"/>
      <c r="CC965" s="87"/>
      <c r="CD965" s="87"/>
      <c r="CE965" s="87"/>
      <c r="CF965" s="87"/>
      <c r="CG965" s="87"/>
      <c r="CH965" s="87"/>
    </row>
    <row r="966" spans="74:86">
      <c r="BV966" s="87"/>
      <c r="BW966" s="87"/>
      <c r="BX966" s="87"/>
      <c r="BY966" s="87"/>
      <c r="BZ966" s="87"/>
      <c r="CA966" s="87"/>
      <c r="CB966" s="87"/>
      <c r="CC966" s="87"/>
      <c r="CD966" s="87"/>
      <c r="CE966" s="87"/>
      <c r="CF966" s="87"/>
      <c r="CG966" s="87"/>
      <c r="CH966" s="87"/>
    </row>
    <row r="967" spans="74:86">
      <c r="BV967" s="87"/>
      <c r="BW967" s="87"/>
      <c r="BX967" s="87"/>
      <c r="BY967" s="87"/>
      <c r="BZ967" s="87"/>
      <c r="CA967" s="87"/>
      <c r="CB967" s="87"/>
      <c r="CC967" s="87"/>
      <c r="CD967" s="87"/>
      <c r="CE967" s="87"/>
      <c r="CF967" s="87"/>
      <c r="CG967" s="87"/>
      <c r="CH967" s="87"/>
    </row>
    <row r="968" spans="74:86">
      <c r="BV968" s="87"/>
      <c r="BW968" s="87"/>
      <c r="BX968" s="87"/>
      <c r="BY968" s="87"/>
      <c r="BZ968" s="87"/>
      <c r="CA968" s="87"/>
      <c r="CB968" s="87"/>
      <c r="CC968" s="87"/>
      <c r="CD968" s="87"/>
      <c r="CE968" s="87"/>
      <c r="CF968" s="87"/>
      <c r="CG968" s="87"/>
      <c r="CH968" s="87"/>
    </row>
    <row r="969" spans="74:86">
      <c r="BV969" s="87"/>
      <c r="BW969" s="87"/>
      <c r="BX969" s="87"/>
      <c r="BY969" s="87"/>
      <c r="BZ969" s="87"/>
      <c r="CA969" s="87"/>
      <c r="CB969" s="87"/>
      <c r="CC969" s="87"/>
      <c r="CD969" s="87"/>
      <c r="CE969" s="87"/>
      <c r="CF969" s="87"/>
      <c r="CG969" s="87"/>
      <c r="CH969" s="87"/>
    </row>
    <row r="970" spans="74:86">
      <c r="BV970" s="87"/>
      <c r="BW970" s="87"/>
      <c r="BX970" s="87"/>
      <c r="BY970" s="87"/>
      <c r="BZ970" s="87"/>
      <c r="CA970" s="87"/>
      <c r="CB970" s="87"/>
      <c r="CC970" s="87"/>
      <c r="CD970" s="87"/>
      <c r="CE970" s="87"/>
      <c r="CF970" s="87"/>
      <c r="CG970" s="87"/>
      <c r="CH970" s="87"/>
    </row>
    <row r="971" spans="74:86">
      <c r="BV971" s="87"/>
      <c r="BW971" s="87"/>
      <c r="BX971" s="87"/>
      <c r="BY971" s="87"/>
      <c r="BZ971" s="87"/>
      <c r="CA971" s="87"/>
      <c r="CB971" s="87"/>
      <c r="CC971" s="87"/>
      <c r="CD971" s="87"/>
      <c r="CE971" s="87"/>
      <c r="CF971" s="87"/>
      <c r="CG971" s="87"/>
      <c r="CH971" s="87"/>
    </row>
    <row r="972" spans="74:86">
      <c r="BV972" s="87"/>
      <c r="BW972" s="87"/>
      <c r="BX972" s="87"/>
      <c r="BY972" s="87"/>
      <c r="BZ972" s="87"/>
      <c r="CA972" s="87"/>
      <c r="CB972" s="87"/>
      <c r="CC972" s="87"/>
      <c r="CD972" s="87"/>
      <c r="CE972" s="87"/>
      <c r="CF972" s="87"/>
      <c r="CG972" s="87"/>
      <c r="CH972" s="87"/>
    </row>
    <row r="973" spans="74:86">
      <c r="BV973" s="87"/>
      <c r="BW973" s="87"/>
      <c r="BX973" s="87"/>
      <c r="BY973" s="87"/>
      <c r="BZ973" s="87"/>
      <c r="CA973" s="87"/>
      <c r="CB973" s="87"/>
      <c r="CC973" s="87"/>
      <c r="CD973" s="87"/>
      <c r="CE973" s="87"/>
      <c r="CF973" s="87"/>
      <c r="CG973" s="87"/>
      <c r="CH973" s="87"/>
    </row>
    <row r="974" spans="74:86">
      <c r="BV974" s="87"/>
      <c r="BW974" s="87"/>
      <c r="BX974" s="87"/>
      <c r="BY974" s="87"/>
      <c r="BZ974" s="87"/>
      <c r="CA974" s="87"/>
      <c r="CB974" s="87"/>
      <c r="CC974" s="87"/>
      <c r="CD974" s="87"/>
      <c r="CE974" s="87"/>
      <c r="CF974" s="87"/>
      <c r="CG974" s="87"/>
      <c r="CH974" s="87"/>
    </row>
    <row r="975" spans="74:86">
      <c r="BV975" s="87"/>
      <c r="BW975" s="87"/>
      <c r="BX975" s="87"/>
      <c r="BY975" s="87"/>
      <c r="BZ975" s="87"/>
      <c r="CA975" s="87"/>
      <c r="CB975" s="87"/>
      <c r="CC975" s="87"/>
      <c r="CD975" s="87"/>
      <c r="CE975" s="87"/>
      <c r="CF975" s="87"/>
      <c r="CG975" s="87"/>
      <c r="CH975" s="87"/>
    </row>
    <row r="976" spans="74:86">
      <c r="BV976" s="87"/>
      <c r="BW976" s="87"/>
      <c r="BX976" s="87"/>
      <c r="BY976" s="87"/>
      <c r="BZ976" s="87"/>
      <c r="CA976" s="87"/>
      <c r="CB976" s="87"/>
      <c r="CC976" s="87"/>
      <c r="CD976" s="87"/>
      <c r="CE976" s="87"/>
      <c r="CF976" s="87"/>
      <c r="CG976" s="87"/>
      <c r="CH976" s="87"/>
    </row>
    <row r="977" spans="74:86">
      <c r="BV977" s="87"/>
      <c r="BW977" s="87"/>
      <c r="BX977" s="87"/>
      <c r="BY977" s="87"/>
      <c r="BZ977" s="87"/>
      <c r="CA977" s="87"/>
      <c r="CB977" s="87"/>
      <c r="CC977" s="87"/>
      <c r="CD977" s="87"/>
      <c r="CE977" s="87"/>
      <c r="CF977" s="87"/>
      <c r="CG977" s="87"/>
      <c r="CH977" s="87"/>
    </row>
    <row r="978" spans="74:86">
      <c r="BV978" s="87"/>
      <c r="BW978" s="87"/>
      <c r="BX978" s="87"/>
      <c r="BY978" s="87"/>
      <c r="BZ978" s="87"/>
      <c r="CA978" s="87"/>
      <c r="CB978" s="87"/>
      <c r="CC978" s="87"/>
      <c r="CD978" s="87"/>
      <c r="CE978" s="87"/>
      <c r="CF978" s="87"/>
      <c r="CG978" s="87"/>
      <c r="CH978" s="87"/>
    </row>
    <row r="979" spans="74:86">
      <c r="BV979" s="87"/>
      <c r="BW979" s="87"/>
      <c r="BX979" s="87"/>
      <c r="BY979" s="87"/>
      <c r="BZ979" s="87"/>
      <c r="CA979" s="87"/>
      <c r="CB979" s="87"/>
      <c r="CC979" s="87"/>
      <c r="CD979" s="87"/>
      <c r="CE979" s="87"/>
      <c r="CF979" s="87"/>
      <c r="CG979" s="87"/>
      <c r="CH979" s="87"/>
    </row>
  </sheetData>
  <mergeCells count="15">
    <mergeCell ref="BV3:CH3"/>
    <mergeCell ref="A1:BI2"/>
    <mergeCell ref="A3:A4"/>
    <mergeCell ref="B3:B4"/>
    <mergeCell ref="C3:C4"/>
    <mergeCell ref="D3:D4"/>
    <mergeCell ref="E3:E4"/>
    <mergeCell ref="F3:F4"/>
    <mergeCell ref="G3:G4"/>
    <mergeCell ref="H3:H4"/>
    <mergeCell ref="I3:U3"/>
    <mergeCell ref="V3:AH3"/>
    <mergeCell ref="AI3:AU3"/>
    <mergeCell ref="AV3:BH3"/>
    <mergeCell ref="BI3:BU3"/>
  </mergeCells>
  <conditionalFormatting sqref="F5 G5:H35">
    <cfRule type="cellIs" dxfId="5" priority="4" operator="greaterThanOrEqual">
      <formula>"E5"</formula>
    </cfRule>
  </conditionalFormatting>
  <conditionalFormatting sqref="BI5:CH35">
    <cfRule type="cellIs" dxfId="4" priority="2" operator="greaterThanOrEqual">
      <formula>0</formula>
    </cfRule>
    <cfRule type="cellIs" dxfId="3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5"/>
  <sheetViews>
    <sheetView zoomScaleNormal="100" workbookViewId="0"/>
  </sheetViews>
  <sheetFormatPr defaultColWidth="14.42578125" defaultRowHeight="15"/>
  <sheetData>
    <row r="1" spans="1:26">
      <c r="A1" s="87">
        <v>-1367.886</v>
      </c>
      <c r="B1" s="87">
        <v>-1347.606</v>
      </c>
      <c r="C1" s="87">
        <v>-1323.27</v>
      </c>
      <c r="D1" s="87">
        <v>-1032.252</v>
      </c>
      <c r="E1" s="87">
        <v>-878.12400000000002</v>
      </c>
      <c r="F1" s="87">
        <v>-1236.066</v>
      </c>
      <c r="G1" s="87">
        <v>-1440.894</v>
      </c>
      <c r="H1" s="87">
        <v>-2028</v>
      </c>
      <c r="I1" s="87">
        <v>-2539.056</v>
      </c>
      <c r="J1" s="87">
        <v>-2182.1280000000002</v>
      </c>
      <c r="K1" s="87">
        <v>-750.36</v>
      </c>
      <c r="L1" s="87">
        <v>-1057.6020000000001</v>
      </c>
      <c r="M1" s="87">
        <v>-597.24599999999998</v>
      </c>
      <c r="N1" s="87">
        <v>-844.66200000000003</v>
      </c>
      <c r="O1" s="87">
        <v>-814.24199999999996</v>
      </c>
      <c r="P1" s="87">
        <v>-765.57</v>
      </c>
      <c r="Q1" s="87"/>
      <c r="R1" s="87">
        <v>-163.25399999999999</v>
      </c>
      <c r="S1" s="87">
        <v>-597.24599999999998</v>
      </c>
      <c r="T1" s="87">
        <v>-1210.7159999999999</v>
      </c>
      <c r="U1" s="87">
        <v>-1798.836</v>
      </c>
      <c r="V1" s="87">
        <v>-2130.4140000000002</v>
      </c>
      <c r="W1" s="87">
        <v>-1594.008</v>
      </c>
      <c r="X1" s="87">
        <v>-341.71800000000002</v>
      </c>
      <c r="Y1" s="87">
        <v>-802.07399999999996</v>
      </c>
      <c r="Z1" s="87"/>
    </row>
    <row r="2" spans="1:26">
      <c r="A2" s="87"/>
      <c r="B2" s="87"/>
      <c r="C2" s="87"/>
      <c r="D2" s="87"/>
      <c r="E2" s="87"/>
      <c r="F2" s="87"/>
      <c r="G2" s="87"/>
      <c r="H2" s="87"/>
      <c r="I2" s="87"/>
      <c r="J2" s="87">
        <v>-1829.2560000000001</v>
      </c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>
      <c r="A3" s="87">
        <v>-2890.3488000000002</v>
      </c>
      <c r="B3" s="87">
        <v>-2847.9623999999999</v>
      </c>
      <c r="C3" s="87">
        <v>-1449.2112</v>
      </c>
      <c r="D3" s="87">
        <v>-2466.4848000000002</v>
      </c>
      <c r="E3" s="87">
        <v>-3144.6671999999999</v>
      </c>
      <c r="F3" s="87">
        <v>-3271.8263999999999</v>
      </c>
      <c r="G3" s="87">
        <v>-5603.0784000000003</v>
      </c>
      <c r="H3" s="87">
        <v>-6238.8743999999997</v>
      </c>
      <c r="I3" s="87">
        <v>-6366.0335999999998</v>
      </c>
      <c r="J3" s="87">
        <v>-5857.3968000000004</v>
      </c>
      <c r="K3" s="87">
        <v>-2720.8031999999998</v>
      </c>
      <c r="L3" s="87">
        <v>-2720.8031999999998</v>
      </c>
      <c r="M3" s="87">
        <v>-1703.5296000000001</v>
      </c>
      <c r="N3" s="87"/>
      <c r="O3" s="87"/>
      <c r="P3" s="87"/>
      <c r="Q3" s="87"/>
      <c r="R3" s="87"/>
      <c r="S3" s="87"/>
      <c r="T3" s="87">
        <v>-1097.1204372</v>
      </c>
      <c r="U3" s="87">
        <v>-4424.1282612000005</v>
      </c>
      <c r="V3" s="87">
        <v>-4174.6026744000001</v>
      </c>
      <c r="W3" s="87">
        <v>-3176.5003271999999</v>
      </c>
      <c r="X3" s="87"/>
      <c r="Y3" s="87"/>
      <c r="Z3" s="87"/>
    </row>
    <row r="4" spans="1:26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>
      <c r="A5" s="87">
        <v>-3037.944</v>
      </c>
      <c r="B5" s="87">
        <v>-3037.944</v>
      </c>
      <c r="C5" s="87">
        <v>-3037.944</v>
      </c>
      <c r="D5" s="87">
        <v>-3037.944</v>
      </c>
      <c r="E5" s="87">
        <v>-3037.944</v>
      </c>
      <c r="F5" s="87">
        <v>-3037.944</v>
      </c>
      <c r="G5" s="87">
        <v>-3037.944</v>
      </c>
      <c r="H5" s="87">
        <v>-3037.944</v>
      </c>
      <c r="I5" s="87">
        <v>-3037.944</v>
      </c>
      <c r="J5" s="87">
        <v>-3037.944</v>
      </c>
      <c r="K5" s="87">
        <v>-3037.944</v>
      </c>
      <c r="L5" s="87">
        <v>-3037.944</v>
      </c>
      <c r="M5" s="87">
        <v>-2867.5920000000001</v>
      </c>
      <c r="N5" s="87">
        <v>-2867.5920000000001</v>
      </c>
      <c r="O5" s="87">
        <v>-2867.5920000000001</v>
      </c>
      <c r="P5" s="87">
        <v>-2867.5920000000001</v>
      </c>
      <c r="Q5" s="87"/>
      <c r="R5" s="87">
        <v>-2867.5920000000001</v>
      </c>
      <c r="S5" s="87">
        <v>-2867.5920000000001</v>
      </c>
      <c r="T5" s="87">
        <v>-2867.5920000000001</v>
      </c>
      <c r="U5" s="87">
        <v>-2867.5920000000001</v>
      </c>
      <c r="V5" s="87">
        <v>-2867.5920000000001</v>
      </c>
      <c r="W5" s="87">
        <v>-2867.5920000000001</v>
      </c>
      <c r="X5" s="87">
        <v>-2867.5920000000001</v>
      </c>
      <c r="Y5" s="87">
        <v>-2867.5920000000001</v>
      </c>
      <c r="Z5" s="87">
        <v>-2867.5920000000001</v>
      </c>
    </row>
    <row r="6" spans="1:26">
      <c r="A6" s="87">
        <v>-2616.12</v>
      </c>
      <c r="B6" s="87">
        <v>-2530.944</v>
      </c>
      <c r="C6" s="87">
        <v>-2445.768</v>
      </c>
      <c r="D6" s="87">
        <v>-2530.944</v>
      </c>
      <c r="E6" s="87">
        <v>-2530.944</v>
      </c>
      <c r="F6" s="87">
        <v>-2360.5920000000001</v>
      </c>
      <c r="G6" s="87">
        <v>-2445.768</v>
      </c>
      <c r="H6" s="87">
        <v>-2360.5920000000001</v>
      </c>
      <c r="I6" s="87">
        <v>-2445.768</v>
      </c>
      <c r="J6" s="87">
        <v>-2445.768</v>
      </c>
      <c r="K6" s="87">
        <v>-2019.8879999999999</v>
      </c>
      <c r="L6" s="87">
        <v>-1934.712</v>
      </c>
      <c r="M6" s="87">
        <v>-1849.5360000000001</v>
      </c>
      <c r="N6" s="87">
        <v>-2019.8879999999999</v>
      </c>
      <c r="O6" s="87">
        <v>-2019.8879999999999</v>
      </c>
      <c r="P6" s="87">
        <v>-2105.0639999999999</v>
      </c>
      <c r="Q6" s="87"/>
      <c r="R6" s="87">
        <v>-2105.0639999999999</v>
      </c>
      <c r="S6" s="87">
        <v>-2105.0639999999999</v>
      </c>
      <c r="T6" s="87">
        <v>-2105.0639999999999</v>
      </c>
      <c r="U6" s="87">
        <v>-2190.2399999999998</v>
      </c>
      <c r="V6" s="87">
        <v>-2360.5920000000001</v>
      </c>
      <c r="W6" s="87">
        <v>-2190.2399999999998</v>
      </c>
      <c r="X6" s="87">
        <v>-1764.36</v>
      </c>
      <c r="Y6" s="87">
        <v>-1679.184</v>
      </c>
      <c r="Z6" s="87">
        <v>-1594.008</v>
      </c>
    </row>
    <row r="7" spans="1:26">
      <c r="A7" s="87">
        <v>-4005.3</v>
      </c>
      <c r="B7" s="87">
        <v>-4005.3</v>
      </c>
      <c r="C7" s="87">
        <v>-4005.3</v>
      </c>
      <c r="D7" s="87">
        <v>-4005.3</v>
      </c>
      <c r="E7" s="87">
        <v>-4005.3</v>
      </c>
      <c r="F7" s="87">
        <v>-4005.3</v>
      </c>
      <c r="G7" s="87">
        <v>-4005.3</v>
      </c>
      <c r="H7" s="87">
        <v>-4005.3</v>
      </c>
      <c r="I7" s="87">
        <v>-3988.0619999999999</v>
      </c>
      <c r="J7" s="87">
        <v>-4005.3</v>
      </c>
      <c r="K7" s="87">
        <v>-4005.3</v>
      </c>
      <c r="L7" s="87">
        <v>-4005.3</v>
      </c>
      <c r="M7" s="87">
        <v>-4005.3</v>
      </c>
      <c r="N7" s="87">
        <v>-4005.3</v>
      </c>
      <c r="O7" s="87">
        <v>-4005.3</v>
      </c>
      <c r="P7" s="87">
        <v>-4005.3</v>
      </c>
      <c r="Q7" s="87"/>
      <c r="R7" s="87">
        <v>-4005.3</v>
      </c>
      <c r="S7" s="87">
        <v>-4005.3</v>
      </c>
      <c r="T7" s="87">
        <v>-3988.0619999999999</v>
      </c>
      <c r="U7" s="87">
        <v>-4005.3</v>
      </c>
      <c r="V7" s="87">
        <v>-4005.3</v>
      </c>
      <c r="W7" s="87">
        <v>-4005.3</v>
      </c>
      <c r="X7" s="87">
        <v>-4005.3</v>
      </c>
      <c r="Y7" s="87">
        <v>-4005.3</v>
      </c>
      <c r="Z7" s="87">
        <v>-4005.3</v>
      </c>
    </row>
    <row r="8" spans="1:26">
      <c r="A8" s="87"/>
      <c r="B8" s="87"/>
      <c r="C8" s="87"/>
      <c r="D8" s="87"/>
      <c r="E8" s="87">
        <v>-498.88799999999998</v>
      </c>
      <c r="F8" s="87">
        <v>-1009.944</v>
      </c>
      <c r="G8" s="87"/>
      <c r="H8" s="87">
        <v>-4331.808</v>
      </c>
      <c r="I8" s="87">
        <v>-4842.8639999999996</v>
      </c>
      <c r="J8" s="87">
        <v>-4928.04</v>
      </c>
      <c r="K8" s="87">
        <v>-1123.5119999999999</v>
      </c>
      <c r="L8" s="87">
        <v>-640.84799999999996</v>
      </c>
      <c r="M8" s="87">
        <v>-73.007999999999896</v>
      </c>
      <c r="N8" s="87"/>
      <c r="O8" s="87"/>
      <c r="P8" s="87"/>
      <c r="Q8" s="87"/>
      <c r="R8" s="87">
        <v>-158.184</v>
      </c>
      <c r="S8" s="87">
        <v>-413.71199999999999</v>
      </c>
      <c r="T8" s="87"/>
      <c r="U8" s="87">
        <v>-1946.88</v>
      </c>
      <c r="V8" s="87">
        <v>-4757.6880000000001</v>
      </c>
      <c r="W8" s="87"/>
      <c r="X8" s="87">
        <v>-1123.5119999999999</v>
      </c>
      <c r="Y8" s="87">
        <v>-44.615999999999801</v>
      </c>
      <c r="Z8" s="87"/>
    </row>
    <row r="9" spans="1:26">
      <c r="A9" s="87"/>
      <c r="B9" s="87">
        <v>-2125.3440000000001</v>
      </c>
      <c r="C9" s="87"/>
      <c r="D9" s="87">
        <v>-2210.52</v>
      </c>
      <c r="E9" s="87">
        <v>-2125.3440000000001</v>
      </c>
      <c r="F9" s="87">
        <v>-2125.3440000000001</v>
      </c>
      <c r="G9" s="87">
        <v>-1861.704</v>
      </c>
      <c r="H9" s="87">
        <v>-2133.4560000000001</v>
      </c>
      <c r="I9" s="87">
        <v>-2636.4</v>
      </c>
      <c r="J9" s="87">
        <v>-2040.1679999999999</v>
      </c>
      <c r="K9" s="87">
        <v>-2806.752</v>
      </c>
      <c r="L9" s="87">
        <v>-2040.1679999999999</v>
      </c>
      <c r="M9" s="87">
        <v>-2040.1679999999999</v>
      </c>
      <c r="N9" s="87">
        <v>-2125.3440000000001</v>
      </c>
      <c r="O9" s="87">
        <v>-2125.3440000000001</v>
      </c>
      <c r="P9" s="87"/>
      <c r="Q9" s="87"/>
      <c r="R9" s="87"/>
      <c r="S9" s="87">
        <v>-2040.1679999999999</v>
      </c>
      <c r="T9" s="87"/>
      <c r="U9" s="87">
        <v>-1742.0519999999999</v>
      </c>
      <c r="V9" s="87">
        <v>-2636.4</v>
      </c>
      <c r="W9" s="87">
        <v>-1954.992</v>
      </c>
      <c r="X9" s="87">
        <v>-2040.1679999999999</v>
      </c>
      <c r="Y9" s="87">
        <v>-1699.4639999999999</v>
      </c>
      <c r="Z9" s="87"/>
    </row>
    <row r="10" spans="1:26">
      <c r="A10" s="87">
        <v>-788.89200000000005</v>
      </c>
      <c r="B10" s="87">
        <v>-755.43</v>
      </c>
      <c r="C10" s="87">
        <v>-788.89200000000005</v>
      </c>
      <c r="D10" s="87">
        <v>-1129.596</v>
      </c>
      <c r="E10" s="87">
        <v>-1266.4860000000001</v>
      </c>
      <c r="F10" s="87">
        <v>-1402.3620000000001</v>
      </c>
      <c r="G10" s="87">
        <v>-1232.01</v>
      </c>
      <c r="H10" s="87">
        <v>-1675.1279999999999</v>
      </c>
      <c r="I10" s="87">
        <v>-1504.7760000000001</v>
      </c>
      <c r="J10" s="87">
        <v>-1368.9</v>
      </c>
      <c r="K10" s="87">
        <v>-1061.6579999999999</v>
      </c>
      <c r="L10" s="87">
        <v>-1028.1959999999999</v>
      </c>
      <c r="M10" s="87">
        <v>-993.72</v>
      </c>
      <c r="N10" s="87"/>
      <c r="O10" s="87"/>
      <c r="P10" s="87"/>
      <c r="Q10" s="87"/>
      <c r="R10" s="87"/>
      <c r="S10" s="87"/>
      <c r="T10" s="87"/>
      <c r="U10" s="87">
        <v>-176.43600000000001</v>
      </c>
      <c r="V10" s="87">
        <v>-448.18799999999999</v>
      </c>
      <c r="W10" s="87">
        <v>-176.43600000000001</v>
      </c>
      <c r="X10" s="87"/>
      <c r="Y10" s="87"/>
      <c r="Z10" s="87"/>
    </row>
    <row r="11" spans="1:26">
      <c r="A11" s="87">
        <v>-4586.3220000000001</v>
      </c>
      <c r="B11" s="87">
        <v>-4518.384</v>
      </c>
      <c r="C11" s="87">
        <v>-4483.9080000000004</v>
      </c>
      <c r="D11" s="87">
        <v>-4586.3220000000001</v>
      </c>
      <c r="E11" s="87">
        <v>-4586.3220000000001</v>
      </c>
      <c r="F11" s="87">
        <v>-4586.3220000000001</v>
      </c>
      <c r="G11" s="87">
        <v>-4620.7979999999998</v>
      </c>
      <c r="H11" s="87">
        <v>-4723.2120000000004</v>
      </c>
      <c r="I11" s="87">
        <v>-4756.674</v>
      </c>
      <c r="J11" s="87">
        <v>-4927.0259999999998</v>
      </c>
      <c r="K11" s="87">
        <v>-4552.8599999999997</v>
      </c>
      <c r="L11" s="87">
        <v>-4415.97</v>
      </c>
      <c r="M11" s="87">
        <v>-4075.2660000000001</v>
      </c>
      <c r="N11" s="87">
        <v>-3291.444</v>
      </c>
      <c r="O11" s="87">
        <v>-3360.3960000000002</v>
      </c>
      <c r="P11" s="87">
        <v>-2712.45</v>
      </c>
      <c r="Q11" s="87"/>
      <c r="R11" s="87">
        <v>-3461.7959999999998</v>
      </c>
      <c r="S11" s="87">
        <v>-3393.8580000000002</v>
      </c>
      <c r="T11" s="87">
        <v>-3325.92</v>
      </c>
      <c r="U11" s="87">
        <v>-3393.8580000000002</v>
      </c>
      <c r="V11" s="87">
        <v>-3666.6239999999998</v>
      </c>
      <c r="W11" s="87">
        <v>-3972.8519999999999</v>
      </c>
      <c r="X11" s="87">
        <v>-3155.5680000000002</v>
      </c>
      <c r="Y11" s="87">
        <v>-3019.692</v>
      </c>
      <c r="Z11" s="87">
        <v>-3428.3339999999998</v>
      </c>
    </row>
    <row r="12" spans="1:26">
      <c r="A12" s="87">
        <v>-3536.8319999999999</v>
      </c>
      <c r="B12" s="87">
        <v>-3672.7080000000001</v>
      </c>
      <c r="C12" s="87">
        <v>-3604.77</v>
      </c>
      <c r="D12" s="87">
        <v>-3322.8780000000002</v>
      </c>
      <c r="E12" s="87">
        <v>-1798.836</v>
      </c>
      <c r="F12" s="87">
        <v>-5070</v>
      </c>
      <c r="G12" s="87">
        <v>-3366.48</v>
      </c>
      <c r="H12" s="87">
        <v>-3502.3560000000002</v>
      </c>
      <c r="I12" s="87">
        <v>-3843.06</v>
      </c>
      <c r="J12" s="87">
        <v>-27.378000000000299</v>
      </c>
      <c r="K12" s="87">
        <v>-5070</v>
      </c>
      <c r="L12" s="87">
        <v>-2889.9</v>
      </c>
      <c r="M12" s="87">
        <v>-3221.4780000000001</v>
      </c>
      <c r="N12" s="87"/>
      <c r="O12" s="87"/>
      <c r="P12" s="87"/>
      <c r="Q12" s="87"/>
      <c r="R12" s="87"/>
      <c r="S12" s="87">
        <v>-5070</v>
      </c>
      <c r="T12" s="87"/>
      <c r="U12" s="87">
        <v>-27.378000000000299</v>
      </c>
      <c r="V12" s="87"/>
      <c r="W12" s="87"/>
      <c r="X12" s="87">
        <v>-5070</v>
      </c>
      <c r="Y12" s="87"/>
      <c r="Z12" s="87"/>
    </row>
    <row r="13" spans="1:26">
      <c r="A13" s="87">
        <v>-2684.058</v>
      </c>
      <c r="B13" s="87">
        <v>-2786.4720000000002</v>
      </c>
      <c r="C13" s="87">
        <v>-2709.4079999999999</v>
      </c>
      <c r="D13" s="87">
        <v>-2709.4079999999999</v>
      </c>
      <c r="E13" s="87">
        <v>-2684.058</v>
      </c>
      <c r="F13" s="87">
        <v>-2786.4720000000002</v>
      </c>
      <c r="G13" s="87">
        <v>-2581.6439999999998</v>
      </c>
      <c r="H13" s="87">
        <v>-2786.4720000000002</v>
      </c>
      <c r="I13" s="87">
        <v>-2735.7719999999999</v>
      </c>
      <c r="J13" s="87">
        <v>-2735.7719999999999</v>
      </c>
      <c r="K13" s="87">
        <v>-2761.1219999999998</v>
      </c>
      <c r="L13" s="87">
        <v>-2709.4079999999999</v>
      </c>
      <c r="M13" s="87">
        <v>-2684.058</v>
      </c>
      <c r="N13" s="87">
        <v>-742.24800000000005</v>
      </c>
      <c r="O13" s="87">
        <v>-358.95600000000002</v>
      </c>
      <c r="P13" s="87">
        <v>-691.548</v>
      </c>
      <c r="Q13" s="87"/>
      <c r="R13" s="87">
        <v>-486.72</v>
      </c>
      <c r="S13" s="87">
        <v>-614.48400000000004</v>
      </c>
      <c r="T13" s="87">
        <v>-742.24800000000005</v>
      </c>
      <c r="U13" s="87">
        <v>-997.77599999999995</v>
      </c>
      <c r="V13" s="87">
        <v>-512.07000000000005</v>
      </c>
      <c r="W13" s="87">
        <v>-742.24800000000005</v>
      </c>
      <c r="X13" s="87">
        <v>-512.07000000000005</v>
      </c>
      <c r="Y13" s="87">
        <v>-281.892</v>
      </c>
      <c r="Z13" s="87">
        <v>-154.12799999999999</v>
      </c>
    </row>
    <row r="14" spans="1:26">
      <c r="A14" s="87">
        <v>-3062.28</v>
      </c>
      <c r="B14" s="87">
        <v>-3402.9839999999999</v>
      </c>
      <c r="C14" s="87">
        <v>-2891.9279999999999</v>
      </c>
      <c r="D14" s="87">
        <v>-2891.9279999999999</v>
      </c>
      <c r="E14" s="87">
        <v>-3573.3359999999998</v>
      </c>
      <c r="F14" s="87">
        <v>-3402.9839999999999</v>
      </c>
      <c r="G14" s="87">
        <v>-7321.08</v>
      </c>
      <c r="H14" s="87">
        <v>-7150.7280000000001</v>
      </c>
      <c r="I14" s="87">
        <v>-7321.08</v>
      </c>
      <c r="J14" s="87">
        <v>-7150.7280000000001</v>
      </c>
      <c r="K14" s="87">
        <v>-7150.7280000000001</v>
      </c>
      <c r="L14" s="87">
        <v>-6639.6719999999996</v>
      </c>
      <c r="M14" s="87">
        <v>-6810.0240000000003</v>
      </c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>
      <c r="A15" s="87">
        <v>-2510.6640000000002</v>
      </c>
      <c r="B15" s="87">
        <v>-20482.8</v>
      </c>
      <c r="C15" s="87">
        <v>-20653.151999999998</v>
      </c>
      <c r="D15" s="87"/>
      <c r="E15" s="87">
        <v>-2340.3119999999999</v>
      </c>
      <c r="F15" s="87">
        <v>-2936.5439999999999</v>
      </c>
      <c r="G15" s="87">
        <v>-2340.3119999999999</v>
      </c>
      <c r="H15" s="87">
        <v>-4810.4160000000002</v>
      </c>
      <c r="I15" s="87">
        <v>-3532.7759999999998</v>
      </c>
      <c r="J15" s="87">
        <v>-3106.8960000000002</v>
      </c>
      <c r="K15" s="87"/>
      <c r="L15" s="87">
        <v>-12987.312</v>
      </c>
      <c r="M15" s="87">
        <v>-20908.68</v>
      </c>
      <c r="N15" s="87"/>
      <c r="O15" s="87">
        <v>-4810.4160000000002</v>
      </c>
      <c r="P15" s="87">
        <v>-19119.984</v>
      </c>
      <c r="Q15" s="87"/>
      <c r="R15" s="87"/>
      <c r="S15" s="87"/>
      <c r="T15" s="87">
        <v>-125.736000000001</v>
      </c>
      <c r="U15" s="87">
        <v>-4299.3599999999997</v>
      </c>
      <c r="V15" s="87">
        <v>-2169.96</v>
      </c>
      <c r="W15" s="87">
        <v>-3532.7759999999998</v>
      </c>
      <c r="X15" s="87"/>
      <c r="Y15" s="87">
        <v>-10517.208000000001</v>
      </c>
      <c r="Z15" s="87">
        <v>-18864.455999999998</v>
      </c>
    </row>
    <row r="16" spans="1:26">
      <c r="A16" s="87">
        <v>-3805.5419999999999</v>
      </c>
      <c r="B16" s="87">
        <v>-3941.4180000000001</v>
      </c>
      <c r="C16" s="87">
        <v>-4214.1840000000002</v>
      </c>
      <c r="D16" s="87">
        <v>-3839.0039999999999</v>
      </c>
      <c r="E16" s="87">
        <v>-3907.9560000000001</v>
      </c>
      <c r="F16" s="87">
        <v>-4111.7700000000004</v>
      </c>
      <c r="G16" s="87">
        <v>-4622.826</v>
      </c>
      <c r="H16" s="87">
        <v>-4725.24</v>
      </c>
      <c r="I16" s="87">
        <v>-4861.116</v>
      </c>
      <c r="J16" s="87">
        <v>-3975.8939999999998</v>
      </c>
      <c r="K16" s="87">
        <v>-4214.1840000000002</v>
      </c>
      <c r="L16" s="87">
        <v>-4384.5360000000001</v>
      </c>
      <c r="M16" s="87">
        <v>-3873.48</v>
      </c>
      <c r="N16" s="87">
        <v>-3635.19</v>
      </c>
      <c r="O16" s="87">
        <v>-3941.4180000000001</v>
      </c>
      <c r="P16" s="87">
        <v>-3975.8939999999998</v>
      </c>
      <c r="Q16" s="87"/>
      <c r="R16" s="87">
        <v>-3907.9560000000001</v>
      </c>
      <c r="S16" s="87">
        <v>-4009.3560000000002</v>
      </c>
      <c r="T16" s="87">
        <v>-4520.4120000000003</v>
      </c>
      <c r="U16" s="87">
        <v>-4725.24</v>
      </c>
      <c r="V16" s="87">
        <v>-4520.4120000000003</v>
      </c>
      <c r="W16" s="87">
        <v>-4316.598</v>
      </c>
      <c r="X16" s="87">
        <v>-4214.1840000000002</v>
      </c>
      <c r="Y16" s="87">
        <v>-3805.5419999999999</v>
      </c>
      <c r="Z16" s="87">
        <v>-3362.424</v>
      </c>
    </row>
    <row r="17" spans="1:26">
      <c r="A17" s="87">
        <v>-2871.6480000000001</v>
      </c>
      <c r="B17" s="87">
        <v>-2190.2399999999998</v>
      </c>
      <c r="C17" s="87">
        <v>-2190.2399999999998</v>
      </c>
      <c r="D17" s="87">
        <v>-2275.4160000000002</v>
      </c>
      <c r="E17" s="87">
        <v>-2616.12</v>
      </c>
      <c r="F17" s="87">
        <v>-2616.12</v>
      </c>
      <c r="G17" s="87">
        <v>-2616.12</v>
      </c>
      <c r="H17" s="87">
        <v>-2786.4720000000002</v>
      </c>
      <c r="I17" s="87">
        <v>-2701.2959999999998</v>
      </c>
      <c r="J17" s="87">
        <v>-2786.4720000000002</v>
      </c>
      <c r="K17" s="87">
        <v>-2786.4720000000002</v>
      </c>
      <c r="L17" s="87">
        <v>-2786.4720000000002</v>
      </c>
      <c r="M17" s="87">
        <v>-2786.4720000000002</v>
      </c>
      <c r="N17" s="87">
        <v>-2105.0639999999999</v>
      </c>
      <c r="O17" s="87">
        <v>-2105.0639999999999</v>
      </c>
      <c r="P17" s="87">
        <v>-2190.2399999999998</v>
      </c>
      <c r="Q17" s="87"/>
      <c r="R17" s="87">
        <v>-2275.4160000000002</v>
      </c>
      <c r="S17" s="87">
        <v>-2275.4160000000002</v>
      </c>
      <c r="T17" s="87">
        <v>-2360.5920000000001</v>
      </c>
      <c r="U17" s="87">
        <v>-2701.2959999999998</v>
      </c>
      <c r="V17" s="87">
        <v>-1594.008</v>
      </c>
      <c r="W17" s="87">
        <v>-2786.4720000000002</v>
      </c>
      <c r="X17" s="87">
        <v>-2701.2959999999998</v>
      </c>
      <c r="Y17" s="87">
        <v>-2786.4720000000002</v>
      </c>
      <c r="Z17" s="87">
        <v>-2786.4720000000002</v>
      </c>
    </row>
    <row r="18" spans="1:26">
      <c r="A18" s="87">
        <v>-9009.39</v>
      </c>
      <c r="B18" s="87">
        <v>-8225.5679999999993</v>
      </c>
      <c r="C18" s="87">
        <v>-9383.5560000000005</v>
      </c>
      <c r="D18" s="87">
        <v>-9452.5079999999998</v>
      </c>
      <c r="E18" s="87">
        <v>-9111.8040000000001</v>
      </c>
      <c r="F18" s="87">
        <v>-10304.268</v>
      </c>
      <c r="G18" s="87">
        <v>-11019.138000000001</v>
      </c>
      <c r="H18" s="87">
        <v>-11291.904</v>
      </c>
      <c r="I18" s="87">
        <v>-11462.255999999999</v>
      </c>
      <c r="J18" s="87">
        <v>-11427.78</v>
      </c>
      <c r="K18" s="87">
        <v>-9042.8520000000008</v>
      </c>
      <c r="L18" s="87">
        <v>-9553.9079999999994</v>
      </c>
      <c r="M18" s="87">
        <v>-8395.92</v>
      </c>
      <c r="N18" s="87"/>
      <c r="O18" s="87"/>
      <c r="P18" s="87"/>
      <c r="Q18" s="87"/>
      <c r="R18" s="87"/>
      <c r="S18" s="87"/>
      <c r="T18" s="87"/>
      <c r="U18" s="87"/>
      <c r="V18" s="87">
        <v>-354.9</v>
      </c>
      <c r="W18" s="87"/>
      <c r="X18" s="87"/>
      <c r="Y18" s="87"/>
      <c r="Z18" s="87"/>
    </row>
    <row r="19" spans="1:26">
      <c r="A19" s="87">
        <v>-3409.0680000000002</v>
      </c>
      <c r="B19" s="87">
        <v>-2829.06</v>
      </c>
      <c r="C19" s="87">
        <v>-3340.116</v>
      </c>
      <c r="D19" s="87">
        <v>-3510.4679999999998</v>
      </c>
      <c r="E19" s="87">
        <v>-3510.4679999999998</v>
      </c>
      <c r="F19" s="87">
        <v>-3409.0680000000002</v>
      </c>
      <c r="G19" s="87">
        <v>-3409.0680000000002</v>
      </c>
      <c r="H19" s="87">
        <v>-3510.4679999999998</v>
      </c>
      <c r="I19" s="87">
        <v>-3238.7159999999999</v>
      </c>
      <c r="J19" s="87">
        <v>-3409.0680000000002</v>
      </c>
      <c r="K19" s="87">
        <v>-3272.1779999999999</v>
      </c>
      <c r="L19" s="87">
        <v>-3306.654</v>
      </c>
      <c r="M19" s="87">
        <v>-3442.53</v>
      </c>
      <c r="N19" s="87">
        <v>-1875.9</v>
      </c>
      <c r="O19" s="87">
        <v>-137.904</v>
      </c>
      <c r="P19" s="87">
        <v>-2114.19</v>
      </c>
      <c r="Q19" s="87"/>
      <c r="R19" s="87">
        <v>-2216.6039999999998</v>
      </c>
      <c r="S19" s="87">
        <v>-2386.9560000000001</v>
      </c>
      <c r="T19" s="87">
        <v>-2352.48</v>
      </c>
      <c r="U19" s="87">
        <v>-2318.0039999999999</v>
      </c>
      <c r="V19" s="87">
        <v>-2046.252</v>
      </c>
      <c r="W19" s="87">
        <v>-2216.6039999999998</v>
      </c>
      <c r="X19" s="87">
        <v>-2147.652</v>
      </c>
      <c r="Y19" s="87">
        <v>-2046.252</v>
      </c>
      <c r="Z19" s="87">
        <v>-1977.3</v>
      </c>
    </row>
    <row r="20" spans="1:26">
      <c r="A20" s="87">
        <v>-14252.784</v>
      </c>
      <c r="B20" s="87">
        <v>-12889.968000000001</v>
      </c>
      <c r="C20" s="87">
        <v>-11953.031999999999</v>
      </c>
      <c r="D20" s="87">
        <v>-16467.36</v>
      </c>
      <c r="E20" s="87">
        <v>-16978.416000000001</v>
      </c>
      <c r="F20" s="87">
        <v>-17489.472000000002</v>
      </c>
      <c r="G20" s="87">
        <v>-17915.351999999999</v>
      </c>
      <c r="H20" s="87">
        <v>-18341.232</v>
      </c>
      <c r="I20" s="87">
        <v>-17745</v>
      </c>
      <c r="J20" s="87">
        <v>-17659.824000000001</v>
      </c>
      <c r="K20" s="87">
        <v>-15104.544</v>
      </c>
      <c r="L20" s="87">
        <v>-14678.664000000001</v>
      </c>
      <c r="M20" s="87">
        <v>-13656.552</v>
      </c>
      <c r="N20" s="87">
        <v>-3265.08</v>
      </c>
      <c r="O20" s="87">
        <v>-2754.0239999999999</v>
      </c>
      <c r="P20" s="87">
        <v>-1987.44</v>
      </c>
      <c r="Q20" s="87"/>
      <c r="R20" s="87">
        <v>-5053.7759999999998</v>
      </c>
      <c r="S20" s="87">
        <v>-6501.768</v>
      </c>
      <c r="T20" s="87">
        <v>-8205.2880000000005</v>
      </c>
      <c r="U20" s="87">
        <v>-9482.9279999999999</v>
      </c>
      <c r="V20" s="87">
        <v>-9653.2800000000007</v>
      </c>
      <c r="W20" s="87">
        <v>-8631.1679999999997</v>
      </c>
      <c r="X20" s="87">
        <v>-2668.848</v>
      </c>
      <c r="Y20" s="87">
        <v>-3861.3119999999999</v>
      </c>
      <c r="Z20" s="87">
        <v>-1561.56</v>
      </c>
    </row>
    <row r="21" spans="1:26">
      <c r="A21" s="87">
        <v>-2496.4679999999998</v>
      </c>
      <c r="B21" s="87">
        <v>-2428.5300000000002</v>
      </c>
      <c r="C21" s="87">
        <v>-2666.82</v>
      </c>
      <c r="D21" s="87">
        <v>-1849.5360000000001</v>
      </c>
      <c r="E21" s="87">
        <v>-2598.8820000000001</v>
      </c>
      <c r="F21" s="87">
        <v>-2496.4679999999998</v>
      </c>
      <c r="G21" s="87">
        <v>-2530.944</v>
      </c>
      <c r="H21" s="87">
        <v>-2496.4679999999998</v>
      </c>
      <c r="I21" s="87">
        <v>-2530.944</v>
      </c>
      <c r="J21" s="87">
        <v>-2463.0059999999999</v>
      </c>
      <c r="K21" s="87">
        <v>-2428.5300000000002</v>
      </c>
      <c r="L21" s="87">
        <v>-2463.0059999999999</v>
      </c>
      <c r="M21" s="87">
        <v>-2463.0059999999999</v>
      </c>
      <c r="N21" s="87"/>
      <c r="O21" s="87"/>
      <c r="P21" s="87">
        <v>-1611.2460000000001</v>
      </c>
      <c r="Q21" s="87"/>
      <c r="R21" s="87"/>
      <c r="S21" s="87">
        <v>-316.36799999999999</v>
      </c>
      <c r="T21" s="87">
        <v>-691.548</v>
      </c>
      <c r="U21" s="87">
        <v>-1065.7139999999999</v>
      </c>
      <c r="V21" s="87">
        <v>-1270.5419999999999</v>
      </c>
      <c r="W21" s="87">
        <v>-1065.7139999999999</v>
      </c>
      <c r="X21" s="87">
        <v>-622.596</v>
      </c>
      <c r="Y21" s="87">
        <v>-316.36799999999999</v>
      </c>
      <c r="Z21" s="87">
        <v>-350.84399999999999</v>
      </c>
    </row>
    <row r="22" spans="1:26">
      <c r="A22" s="87">
        <v>-2070.5880000000002</v>
      </c>
      <c r="B22" s="87">
        <v>-2224.7159999999999</v>
      </c>
      <c r="C22" s="87">
        <v>-2769.2339999999999</v>
      </c>
      <c r="D22" s="87">
        <v>-2139.54</v>
      </c>
      <c r="E22" s="87">
        <v>-2155.7640000000001</v>
      </c>
      <c r="F22" s="87">
        <v>-2207.4780000000001</v>
      </c>
      <c r="G22" s="87">
        <v>-2395.0680000000002</v>
      </c>
      <c r="H22" s="87">
        <v>-2360.5920000000001</v>
      </c>
      <c r="I22" s="87">
        <v>-2463.0059999999999</v>
      </c>
      <c r="J22" s="87">
        <v>-2445.768</v>
      </c>
      <c r="K22" s="87">
        <v>-2326.116</v>
      </c>
      <c r="L22" s="87">
        <v>-2292.654</v>
      </c>
      <c r="M22" s="87">
        <v>-2139.54</v>
      </c>
      <c r="N22" s="87">
        <v>-281.892</v>
      </c>
      <c r="O22" s="87">
        <v>-521.19600000000003</v>
      </c>
      <c r="P22" s="87">
        <v>-2070.5880000000002</v>
      </c>
      <c r="Q22" s="87"/>
      <c r="R22" s="87">
        <v>-657.072</v>
      </c>
      <c r="S22" s="87">
        <v>-707.77200000000005</v>
      </c>
      <c r="T22" s="87">
        <v>-469.48200000000003</v>
      </c>
      <c r="U22" s="87">
        <v>-1117.4280000000001</v>
      </c>
      <c r="V22" s="87">
        <v>-1150.8900000000001</v>
      </c>
      <c r="W22" s="87">
        <v>-912.6</v>
      </c>
      <c r="X22" s="87">
        <v>-997.77599999999995</v>
      </c>
      <c r="Y22" s="87">
        <v>-980.53800000000001</v>
      </c>
      <c r="Z22" s="87">
        <v>-861.9</v>
      </c>
    </row>
    <row r="23" spans="1:26">
      <c r="A23" s="87">
        <v>-1032.252</v>
      </c>
      <c r="B23" s="87">
        <v>-1611.2460000000001</v>
      </c>
      <c r="C23" s="87">
        <v>-2122.3020000000001</v>
      </c>
      <c r="D23" s="87">
        <v>-1951.95</v>
      </c>
      <c r="E23" s="87">
        <v>-1781.598</v>
      </c>
      <c r="F23" s="87">
        <v>-1679.184</v>
      </c>
      <c r="G23" s="87">
        <v>-1747.1220000000001</v>
      </c>
      <c r="H23" s="87">
        <v>-1747.1220000000001</v>
      </c>
      <c r="I23" s="87">
        <v>-1713.66</v>
      </c>
      <c r="J23" s="87">
        <v>-1338.48</v>
      </c>
      <c r="K23" s="87">
        <v>-1406.4179999999999</v>
      </c>
      <c r="L23" s="87">
        <v>-1363.83</v>
      </c>
      <c r="M23" s="87">
        <v>-1459.146</v>
      </c>
      <c r="N23" s="87">
        <v>-657.072</v>
      </c>
      <c r="O23" s="87">
        <v>-1202.604</v>
      </c>
      <c r="P23" s="87">
        <v>-1679.184</v>
      </c>
      <c r="Q23" s="87"/>
      <c r="R23" s="87">
        <v>-929.83799999999997</v>
      </c>
      <c r="S23" s="87">
        <v>-1304.0039999999999</v>
      </c>
      <c r="T23" s="87">
        <v>-1236.066</v>
      </c>
      <c r="U23" s="87">
        <v>-1270.5419999999999</v>
      </c>
      <c r="V23" s="87">
        <v>-1406.4179999999999</v>
      </c>
      <c r="W23" s="87">
        <v>-1168.1279999999999</v>
      </c>
      <c r="X23" s="87">
        <v>-691.548</v>
      </c>
      <c r="Y23" s="87">
        <v>-882.18</v>
      </c>
      <c r="Z23" s="87">
        <v>-1048.4760000000001</v>
      </c>
    </row>
    <row r="24" spans="1:26">
      <c r="A24" s="87">
        <v>-2326.116</v>
      </c>
      <c r="B24" s="87">
        <v>-2326.116</v>
      </c>
      <c r="C24" s="87">
        <v>-2360.5920000000001</v>
      </c>
      <c r="D24" s="87">
        <v>-2155.7640000000001</v>
      </c>
      <c r="E24" s="87">
        <v>-2224.7159999999999</v>
      </c>
      <c r="F24" s="87">
        <v>-2122.3020000000001</v>
      </c>
      <c r="G24" s="87">
        <v>-2190.2399999999998</v>
      </c>
      <c r="H24" s="87">
        <v>-2353.4940000000001</v>
      </c>
      <c r="I24" s="87">
        <v>-2368.7040000000002</v>
      </c>
      <c r="J24" s="87">
        <v>-2389.998</v>
      </c>
      <c r="K24" s="87">
        <v>-2396.0819999999999</v>
      </c>
      <c r="L24" s="87">
        <v>-2318.0039999999999</v>
      </c>
      <c r="M24" s="87"/>
      <c r="N24" s="87">
        <v>-861.9</v>
      </c>
      <c r="O24" s="87">
        <v>-1202.604</v>
      </c>
      <c r="P24" s="87">
        <v>-1474.356</v>
      </c>
      <c r="Q24" s="87"/>
      <c r="R24" s="87">
        <v>-827.42399999999998</v>
      </c>
      <c r="S24" s="87">
        <v>-759.48599999999999</v>
      </c>
      <c r="T24" s="87">
        <v>-997.77599999999995</v>
      </c>
      <c r="U24" s="87">
        <v>-1011.972</v>
      </c>
      <c r="V24" s="87">
        <v>-1069.77</v>
      </c>
      <c r="W24" s="87">
        <v>-1118.442</v>
      </c>
      <c r="X24" s="87">
        <v>-1082.952</v>
      </c>
      <c r="Y24" s="87">
        <v>-848.71799999999996</v>
      </c>
      <c r="Z24" s="87"/>
    </row>
    <row r="25" spans="1:26">
      <c r="A25" s="87">
        <v>-2360.5920000000001</v>
      </c>
      <c r="B25" s="87">
        <v>-2360.5920000000001</v>
      </c>
      <c r="C25" s="87">
        <v>-2275.4160000000002</v>
      </c>
      <c r="D25" s="87">
        <v>-2190.2399999999998</v>
      </c>
      <c r="E25" s="87">
        <v>-2445.768</v>
      </c>
      <c r="F25" s="87">
        <v>-2445.768</v>
      </c>
      <c r="G25" s="87">
        <v>-2445.768</v>
      </c>
      <c r="H25" s="87">
        <v>-2445.768</v>
      </c>
      <c r="I25" s="87">
        <v>-2445.768</v>
      </c>
      <c r="J25" s="87">
        <v>-2360.5920000000001</v>
      </c>
      <c r="K25" s="87">
        <v>-2701.2959999999998</v>
      </c>
      <c r="L25" s="87">
        <v>-2786.4720000000002</v>
      </c>
      <c r="M25" s="87">
        <v>-2701.2959999999998</v>
      </c>
      <c r="N25" s="87">
        <v>-2360.5920000000001</v>
      </c>
      <c r="O25" s="87">
        <v>-2275.4160000000002</v>
      </c>
      <c r="P25" s="87">
        <v>-2275.4160000000002</v>
      </c>
      <c r="Q25" s="87"/>
      <c r="R25" s="87">
        <v>-2360.5920000000001</v>
      </c>
      <c r="S25" s="87">
        <v>-2275.4160000000002</v>
      </c>
      <c r="T25" s="87">
        <v>-2360.5920000000001</v>
      </c>
      <c r="U25" s="87">
        <v>-2275.4160000000002</v>
      </c>
      <c r="V25" s="87">
        <v>-2360.5920000000001</v>
      </c>
      <c r="W25" s="87">
        <v>-2360.5920000000001</v>
      </c>
      <c r="X25" s="87">
        <v>-2701.2959999999998</v>
      </c>
      <c r="Y25" s="87">
        <v>-2616.12</v>
      </c>
      <c r="Z25" s="87">
        <v>-2616.12</v>
      </c>
    </row>
    <row r="26" spans="1:26">
      <c r="A26" s="87">
        <v>-2593.8119999999999</v>
      </c>
      <c r="B26" s="87">
        <v>-2457.9360000000001</v>
      </c>
      <c r="C26" s="87">
        <v>-3480.0479999999998</v>
      </c>
      <c r="D26" s="87">
        <v>-3480.0479999999998</v>
      </c>
      <c r="E26" s="87">
        <v>-3956.6280000000002</v>
      </c>
      <c r="F26" s="87">
        <v>-3718.3380000000002</v>
      </c>
      <c r="G26" s="87">
        <v>-4366.2839999999997</v>
      </c>
      <c r="H26" s="87">
        <v>-5149.0919999999996</v>
      </c>
      <c r="I26" s="87">
        <v>-6137.7420000000002</v>
      </c>
      <c r="J26" s="87">
        <v>-4570.098</v>
      </c>
      <c r="K26" s="87">
        <v>-3412.11</v>
      </c>
      <c r="L26" s="87">
        <v>-3412.11</v>
      </c>
      <c r="M26" s="87">
        <v>-3139.3440000000001</v>
      </c>
      <c r="N26" s="87">
        <v>-1776.528</v>
      </c>
      <c r="O26" s="87">
        <v>-38.531999999999499</v>
      </c>
      <c r="P26" s="87">
        <v>-2355.5219999999999</v>
      </c>
      <c r="Q26" s="87"/>
      <c r="R26" s="87">
        <v>-2253.1080000000002</v>
      </c>
      <c r="S26" s="87">
        <v>-2730.7020000000002</v>
      </c>
      <c r="T26" s="87">
        <v>-4706.9880000000003</v>
      </c>
      <c r="U26" s="87">
        <v>-4399.7460000000001</v>
      </c>
      <c r="V26" s="87">
        <v>-5081.1540000000005</v>
      </c>
      <c r="W26" s="87">
        <v>-3923.1660000000002</v>
      </c>
      <c r="X26" s="87">
        <v>-2322.06</v>
      </c>
      <c r="Y26" s="87">
        <v>-2593.8119999999999</v>
      </c>
      <c r="Z26" s="87">
        <v>-175.422</v>
      </c>
    </row>
    <row r="27" spans="1:26">
      <c r="A27" s="87">
        <v>-1938.768</v>
      </c>
      <c r="B27" s="87">
        <v>-2142.5819999999999</v>
      </c>
      <c r="C27" s="87">
        <v>-2705.3519999999999</v>
      </c>
      <c r="D27" s="87">
        <v>-2270.346</v>
      </c>
      <c r="E27" s="87">
        <v>-2628.288</v>
      </c>
      <c r="F27" s="87">
        <v>-2628.288</v>
      </c>
      <c r="G27" s="87">
        <v>-2577.5880000000002</v>
      </c>
      <c r="H27" s="87">
        <v>-2883.8159999999998</v>
      </c>
      <c r="I27" s="87">
        <v>-2577.5880000000002</v>
      </c>
      <c r="J27" s="87">
        <v>-2551.2240000000002</v>
      </c>
      <c r="K27" s="87">
        <v>-2219.6460000000002</v>
      </c>
      <c r="L27" s="87">
        <v>-2347.41</v>
      </c>
      <c r="M27" s="87">
        <v>-2219.6460000000002</v>
      </c>
      <c r="N27" s="87">
        <v>-303.18599999999998</v>
      </c>
      <c r="O27" s="87">
        <v>-890.29200000000003</v>
      </c>
      <c r="P27" s="87">
        <v>-2066.5320000000002</v>
      </c>
      <c r="Q27" s="87"/>
      <c r="R27" s="87">
        <v>-1095.1199999999999</v>
      </c>
      <c r="S27" s="87">
        <v>-1145.82</v>
      </c>
      <c r="T27" s="87">
        <v>-1606.1759999999999</v>
      </c>
      <c r="U27" s="87">
        <v>-1938.768</v>
      </c>
      <c r="V27" s="87">
        <v>-2091.8820000000001</v>
      </c>
      <c r="W27" s="87">
        <v>-1478.412</v>
      </c>
      <c r="X27" s="87">
        <v>-1120.47</v>
      </c>
      <c r="Y27" s="87">
        <v>-711.82799999999997</v>
      </c>
      <c r="Z27" s="87">
        <v>-533.36400000000003</v>
      </c>
    </row>
    <row r="28" spans="1:26">
      <c r="A28" s="87">
        <v>-657.072</v>
      </c>
      <c r="B28" s="87">
        <v>-657.072</v>
      </c>
      <c r="C28" s="87">
        <v>-691.548</v>
      </c>
      <c r="D28" s="87">
        <v>-657.072</v>
      </c>
      <c r="E28" s="87">
        <v>-486.72</v>
      </c>
      <c r="F28" s="87">
        <v>-622.596</v>
      </c>
      <c r="G28" s="87">
        <v>-589.13400000000001</v>
      </c>
      <c r="H28" s="87">
        <v>-799.03200000000004</v>
      </c>
      <c r="I28" s="87">
        <v>-792.94799999999998</v>
      </c>
      <c r="J28" s="87">
        <v>-799.03200000000004</v>
      </c>
      <c r="K28" s="87">
        <v>-806.13</v>
      </c>
      <c r="L28" s="87">
        <v>-799.03200000000004</v>
      </c>
      <c r="M28" s="87">
        <v>-742.24800000000005</v>
      </c>
      <c r="N28" s="87"/>
      <c r="O28" s="87"/>
      <c r="P28" s="87">
        <v>-281.892</v>
      </c>
      <c r="Q28" s="87"/>
      <c r="R28" s="87"/>
      <c r="S28" s="87"/>
      <c r="T28" s="87"/>
      <c r="U28" s="87">
        <v>-124.72199999999999</v>
      </c>
      <c r="V28" s="87">
        <v>-149.05799999999999</v>
      </c>
      <c r="W28" s="87">
        <v>-202.8</v>
      </c>
      <c r="X28" s="87">
        <v>-209.898</v>
      </c>
      <c r="Y28" s="87">
        <v>-231.19200000000001</v>
      </c>
      <c r="Z28" s="87"/>
    </row>
    <row r="29" spans="1:26">
      <c r="A29" s="87">
        <v>-5454.3059999999996</v>
      </c>
      <c r="B29" s="87">
        <v>-5096.3639999999996</v>
      </c>
      <c r="C29" s="87">
        <v>-5071.0140000000001</v>
      </c>
      <c r="D29" s="87">
        <v>-6834.36</v>
      </c>
      <c r="E29" s="87">
        <v>-6706.5959999999995</v>
      </c>
      <c r="F29" s="87">
        <v>-7089.8879999999999</v>
      </c>
      <c r="G29" s="87">
        <v>-6936.7740000000003</v>
      </c>
      <c r="H29" s="87">
        <v>-7089.8879999999999</v>
      </c>
      <c r="I29" s="87">
        <v>-7089.8879999999999</v>
      </c>
      <c r="J29" s="87">
        <v>-7064.5379999999996</v>
      </c>
      <c r="K29" s="87">
        <v>-6553.482</v>
      </c>
      <c r="L29" s="87">
        <v>-6067.7759999999998</v>
      </c>
      <c r="M29" s="87">
        <v>-5633.7839999999997</v>
      </c>
      <c r="N29" s="87"/>
      <c r="O29" s="87"/>
      <c r="P29" s="87"/>
      <c r="Q29" s="87"/>
      <c r="R29" s="87"/>
      <c r="S29" s="87"/>
      <c r="T29" s="87">
        <v>-752.38800000000003</v>
      </c>
      <c r="U29" s="87">
        <v>-1315.1579999999999</v>
      </c>
      <c r="V29" s="87">
        <v>-778.75200000000098</v>
      </c>
      <c r="W29" s="87">
        <v>-727.03800000000001</v>
      </c>
      <c r="X29" s="87"/>
      <c r="Y29" s="87"/>
      <c r="Z29" s="87"/>
    </row>
    <row r="30" spans="1:26">
      <c r="A30" s="87">
        <v>-4009.3560000000002</v>
      </c>
      <c r="B30" s="87">
        <v>-4146.2460000000001</v>
      </c>
      <c r="C30" s="87">
        <v>-4316.598</v>
      </c>
      <c r="D30" s="87">
        <v>-3089.6579999999999</v>
      </c>
      <c r="E30" s="87">
        <v>-4419.0119999999997</v>
      </c>
      <c r="F30" s="87">
        <v>-4350.0600000000004</v>
      </c>
      <c r="G30" s="87">
        <v>-4452.4740000000002</v>
      </c>
      <c r="H30" s="87">
        <v>-4179.7079999999996</v>
      </c>
      <c r="I30" s="87">
        <v>-3260.01</v>
      </c>
      <c r="J30" s="87">
        <v>-3124.134</v>
      </c>
      <c r="K30" s="87">
        <v>-3327.9479999999999</v>
      </c>
      <c r="L30" s="87">
        <v>-3703.1280000000002</v>
      </c>
      <c r="M30" s="87">
        <v>-3975.8939999999998</v>
      </c>
      <c r="N30" s="87">
        <v>-3056.1959999999999</v>
      </c>
      <c r="O30" s="87">
        <v>-2715.4920000000002</v>
      </c>
      <c r="P30" s="87">
        <v>-3157.596</v>
      </c>
      <c r="Q30" s="87"/>
      <c r="R30" s="87">
        <v>-2816.8919999999998</v>
      </c>
      <c r="S30" s="87">
        <v>-3021.72</v>
      </c>
      <c r="T30" s="87">
        <v>-2783.43</v>
      </c>
      <c r="U30" s="87">
        <v>-3464.8380000000002</v>
      </c>
      <c r="V30" s="87">
        <v>-2613.078</v>
      </c>
      <c r="W30" s="87">
        <v>-2272.3739999999998</v>
      </c>
      <c r="X30" s="87">
        <v>-2135.4839999999999</v>
      </c>
      <c r="Y30" s="87">
        <v>-2204.4360000000001</v>
      </c>
      <c r="Z30" s="87">
        <v>-2340.3119999999999</v>
      </c>
    </row>
    <row r="31" spans="1:26">
      <c r="A31" s="87">
        <v>-7691.19</v>
      </c>
      <c r="B31" s="87">
        <v>-7520.8379999999997</v>
      </c>
      <c r="C31" s="87">
        <v>-5153.1480000000001</v>
      </c>
      <c r="D31" s="87">
        <v>-7793.6040000000003</v>
      </c>
      <c r="E31" s="87">
        <v>-8389.8359999999993</v>
      </c>
      <c r="F31" s="87">
        <v>-8576.4120000000003</v>
      </c>
      <c r="G31" s="87">
        <v>-8235.7080000000005</v>
      </c>
      <c r="H31" s="87">
        <v>-7844.3040000000001</v>
      </c>
      <c r="I31" s="87">
        <v>-8525.7119999999995</v>
      </c>
      <c r="J31" s="87">
        <v>-8099.8320000000003</v>
      </c>
      <c r="K31" s="87">
        <v>-7554.3</v>
      </c>
      <c r="L31" s="87">
        <v>-7673.9520000000002</v>
      </c>
      <c r="M31" s="87">
        <v>-7367.7240000000002</v>
      </c>
      <c r="N31" s="87"/>
      <c r="O31" s="87"/>
      <c r="P31" s="87">
        <v>-229.16400000000101</v>
      </c>
      <c r="Q31" s="87"/>
      <c r="R31" s="87">
        <v>-2989.2719999999999</v>
      </c>
      <c r="S31" s="87">
        <v>-3176.8620000000001</v>
      </c>
      <c r="T31" s="87">
        <v>-4028.6219999999998</v>
      </c>
      <c r="U31" s="87">
        <v>-3415.152</v>
      </c>
      <c r="V31" s="87">
        <v>-3380.6759999999999</v>
      </c>
      <c r="W31" s="87">
        <v>-945.04799999999898</v>
      </c>
      <c r="X31" s="87">
        <v>-1899.222</v>
      </c>
      <c r="Y31" s="87">
        <v>-468.46800000000098</v>
      </c>
      <c r="Z31" s="87">
        <v>-621.58199999999999</v>
      </c>
    </row>
    <row r="34" spans="1:3">
      <c r="A34" s="123" t="s">
        <v>2095</v>
      </c>
      <c r="B34" s="123"/>
      <c r="C34" s="123"/>
    </row>
    <row r="35" spans="1:3">
      <c r="A35" s="124">
        <f>SUM(A1:Z31)</f>
        <v>-2099581.1516999984</v>
      </c>
      <c r="B35" s="124"/>
      <c r="C35" s="124"/>
    </row>
  </sheetData>
  <mergeCells count="2">
    <mergeCell ref="A34:C34"/>
    <mergeCell ref="A35:C35"/>
  </mergeCells>
  <conditionalFormatting sqref="A1:Z31">
    <cfRule type="cellIs" dxfId="2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"/>
  <sheetViews>
    <sheetView showGridLines="0" zoomScaleNormal="100" workbookViewId="0"/>
  </sheetViews>
  <sheetFormatPr defaultColWidth="14.42578125" defaultRowHeight="15"/>
  <sheetData>
    <row r="1" spans="1:26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>
        <v>1160.0160000000001</v>
      </c>
      <c r="R1" s="87"/>
      <c r="S1" s="87"/>
      <c r="T1" s="87"/>
      <c r="U1" s="87"/>
      <c r="V1" s="87"/>
      <c r="W1" s="87"/>
      <c r="X1" s="87"/>
      <c r="Y1" s="87"/>
      <c r="Z1" s="87">
        <v>245.38800000000001</v>
      </c>
    </row>
    <row r="2" spans="1:26">
      <c r="A2" s="87">
        <v>8562.2160000000003</v>
      </c>
      <c r="B2" s="87">
        <v>10180.56</v>
      </c>
      <c r="C2" s="87">
        <v>10520.25</v>
      </c>
      <c r="D2" s="87">
        <v>10095.384</v>
      </c>
      <c r="E2" s="87">
        <v>6347.64</v>
      </c>
      <c r="F2" s="87">
        <v>5240.3519999999999</v>
      </c>
      <c r="G2" s="87">
        <v>4218.24</v>
      </c>
      <c r="H2" s="87">
        <v>1151.904</v>
      </c>
      <c r="I2" s="87">
        <v>470.49599999999901</v>
      </c>
      <c r="J2" s="87"/>
      <c r="K2" s="87">
        <v>7199.4</v>
      </c>
      <c r="L2" s="87">
        <v>7625.28</v>
      </c>
      <c r="M2" s="87">
        <v>11032.32</v>
      </c>
      <c r="N2" s="87">
        <v>19209.216</v>
      </c>
      <c r="O2" s="87">
        <v>19635.096000000001</v>
      </c>
      <c r="P2" s="87">
        <v>19038.864000000001</v>
      </c>
      <c r="Q2" s="87">
        <v>8348.2620000000006</v>
      </c>
      <c r="R2" s="87">
        <v>12139.608</v>
      </c>
      <c r="S2" s="87">
        <v>12309.96</v>
      </c>
      <c r="T2" s="87">
        <v>12309.96</v>
      </c>
      <c r="U2" s="87">
        <v>5495.88</v>
      </c>
      <c r="V2" s="87">
        <v>6517.9920000000002</v>
      </c>
      <c r="W2" s="87">
        <v>7199.4</v>
      </c>
      <c r="X2" s="87">
        <v>14269.008</v>
      </c>
      <c r="Y2" s="87">
        <v>13417.248</v>
      </c>
      <c r="Z2" s="87">
        <v>19636.11</v>
      </c>
    </row>
    <row r="3" spans="1:26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>
        <v>6222.2967755999998</v>
      </c>
      <c r="O3" s="87">
        <v>3976.5664944</v>
      </c>
      <c r="P3" s="87">
        <v>9632.4797952000008</v>
      </c>
      <c r="Q3" s="87">
        <v>9149.2715160000007</v>
      </c>
      <c r="R3" s="87">
        <v>3477.5153208000002</v>
      </c>
      <c r="S3" s="87">
        <v>1647.6610175999999</v>
      </c>
      <c r="T3" s="87"/>
      <c r="U3" s="87"/>
      <c r="V3" s="87"/>
      <c r="W3" s="87"/>
      <c r="X3" s="87">
        <v>5141.0192328000003</v>
      </c>
      <c r="Y3" s="87">
        <v>3061.6393428000001</v>
      </c>
      <c r="Z3" s="87">
        <v>7885.8006875999999</v>
      </c>
    </row>
    <row r="4" spans="1:26">
      <c r="A4" s="87">
        <v>5151.12</v>
      </c>
      <c r="B4" s="87">
        <v>6173.232</v>
      </c>
      <c r="C4" s="87">
        <v>6513.9359999999997</v>
      </c>
      <c r="D4" s="87">
        <v>5491.8239999999996</v>
      </c>
      <c r="E4" s="87">
        <v>4469.7120000000004</v>
      </c>
      <c r="F4" s="87">
        <v>3788.3040000000001</v>
      </c>
      <c r="G4" s="87">
        <v>3106.8960000000002</v>
      </c>
      <c r="H4" s="87">
        <v>2425.4879999999998</v>
      </c>
      <c r="I4" s="87">
        <v>2084.7840000000001</v>
      </c>
      <c r="J4" s="87">
        <v>3106.8960000000002</v>
      </c>
      <c r="K4" s="87">
        <v>4129.0079999999998</v>
      </c>
      <c r="L4" s="87">
        <v>4469.7120000000004</v>
      </c>
      <c r="M4" s="87">
        <v>5151.12</v>
      </c>
      <c r="N4" s="87">
        <v>8898.8639999999996</v>
      </c>
      <c r="O4" s="87">
        <v>9580.2720000000008</v>
      </c>
      <c r="P4" s="87">
        <v>9920.9760000000006</v>
      </c>
      <c r="Q4" s="87">
        <v>2725.6320000000001</v>
      </c>
      <c r="R4" s="87">
        <v>6854.64</v>
      </c>
      <c r="S4" s="87">
        <v>6513.9359999999997</v>
      </c>
      <c r="T4" s="87">
        <v>6173.232</v>
      </c>
      <c r="U4" s="87">
        <v>5491.8239999999996</v>
      </c>
      <c r="V4" s="87">
        <v>3447.6</v>
      </c>
      <c r="W4" s="87">
        <v>4810.4160000000002</v>
      </c>
      <c r="X4" s="87">
        <v>7876.7520000000004</v>
      </c>
      <c r="Y4" s="87">
        <v>7876.7520000000004</v>
      </c>
      <c r="Z4" s="87">
        <v>8898.8639999999996</v>
      </c>
    </row>
    <row r="5" spans="1:26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>
        <v>0</v>
      </c>
      <c r="R5" s="87"/>
      <c r="S5" s="87"/>
      <c r="T5" s="87"/>
      <c r="U5" s="87"/>
      <c r="V5" s="87"/>
      <c r="W5" s="87"/>
      <c r="X5" s="87"/>
      <c r="Y5" s="87"/>
      <c r="Z5" s="87"/>
    </row>
    <row r="6" spans="1:26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>
        <v>681.40800000000002</v>
      </c>
      <c r="R6" s="87"/>
      <c r="S6" s="87"/>
      <c r="T6" s="87"/>
      <c r="U6" s="87"/>
      <c r="V6" s="87"/>
      <c r="W6" s="87"/>
      <c r="X6" s="87"/>
      <c r="Y6" s="87"/>
      <c r="Z6" s="87"/>
    </row>
    <row r="7" spans="1:26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>
        <v>0</v>
      </c>
      <c r="R7" s="87"/>
      <c r="S7" s="87"/>
      <c r="T7" s="87"/>
      <c r="U7" s="87"/>
      <c r="V7" s="87"/>
      <c r="W7" s="87"/>
      <c r="X7" s="87"/>
      <c r="Y7" s="87"/>
      <c r="Z7" s="87"/>
    </row>
    <row r="8" spans="1:26">
      <c r="A8" s="87">
        <v>8274.24</v>
      </c>
      <c r="B8" s="87">
        <v>863.928</v>
      </c>
      <c r="C8" s="87">
        <v>608.4</v>
      </c>
      <c r="D8" s="87">
        <v>523.22400000000005</v>
      </c>
      <c r="E8" s="87"/>
      <c r="F8" s="87"/>
      <c r="G8" s="87">
        <v>1460.16</v>
      </c>
      <c r="H8" s="87"/>
      <c r="I8" s="87"/>
      <c r="J8" s="87"/>
      <c r="K8" s="87"/>
      <c r="L8" s="87"/>
      <c r="M8" s="87"/>
      <c r="N8" s="87">
        <v>8274.24</v>
      </c>
      <c r="O8" s="87">
        <v>438.048</v>
      </c>
      <c r="P8" s="87">
        <v>1119.4559999999999</v>
      </c>
      <c r="Q8" s="87">
        <v>425.88</v>
      </c>
      <c r="R8" s="87"/>
      <c r="S8" s="87"/>
      <c r="T8" s="87">
        <v>2397.096</v>
      </c>
      <c r="U8" s="87"/>
      <c r="V8" s="87"/>
      <c r="W8" s="87">
        <v>97.344000000000094</v>
      </c>
      <c r="X8" s="87"/>
      <c r="Y8" s="87"/>
      <c r="Z8" s="87">
        <v>863.928</v>
      </c>
    </row>
    <row r="9" spans="1:26">
      <c r="A9" s="87">
        <v>515.11199999999997</v>
      </c>
      <c r="B9" s="87"/>
      <c r="C9" s="87">
        <v>515.11199999999997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>
        <v>515.11199999999997</v>
      </c>
      <c r="Q9" s="87">
        <v>0</v>
      </c>
      <c r="R9" s="87">
        <v>770.64</v>
      </c>
      <c r="S9" s="87"/>
      <c r="T9" s="87">
        <v>557.70000000000005</v>
      </c>
      <c r="U9" s="87"/>
      <c r="V9" s="87"/>
      <c r="W9" s="87"/>
      <c r="X9" s="87"/>
      <c r="Y9" s="87"/>
      <c r="Z9" s="87">
        <v>685.46400000000006</v>
      </c>
    </row>
    <row r="10" spans="1:26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>
        <v>845.67600000000004</v>
      </c>
      <c r="O10" s="87">
        <v>1323.27</v>
      </c>
      <c r="P10" s="87">
        <v>948.09</v>
      </c>
      <c r="Q10" s="87">
        <v>1771.4580000000001</v>
      </c>
      <c r="R10" s="87">
        <v>607.38599999999997</v>
      </c>
      <c r="S10" s="87">
        <v>301.15800000000002</v>
      </c>
      <c r="T10" s="87">
        <v>62.867999999999803</v>
      </c>
      <c r="U10" s="87"/>
      <c r="V10" s="87"/>
      <c r="W10" s="87"/>
      <c r="X10" s="87">
        <v>1084.98</v>
      </c>
      <c r="Y10" s="87">
        <v>948.09</v>
      </c>
      <c r="Z10" s="87">
        <v>1766.3879999999999</v>
      </c>
    </row>
    <row r="11" spans="1:26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>
        <v>1157.9880000000001</v>
      </c>
      <c r="R11" s="87"/>
      <c r="S11" s="87"/>
      <c r="T11" s="87"/>
      <c r="U11" s="87"/>
      <c r="V11" s="87"/>
      <c r="W11" s="87"/>
      <c r="X11" s="87"/>
      <c r="Y11" s="87"/>
      <c r="Z11" s="87"/>
    </row>
    <row r="12" spans="1:26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>
        <v>1130.6099999999999</v>
      </c>
      <c r="O12" s="87">
        <v>1300.962</v>
      </c>
      <c r="P12" s="87">
        <v>1879.9559999999999</v>
      </c>
      <c r="Q12" s="87">
        <v>3601.7280000000001</v>
      </c>
      <c r="R12" s="87">
        <v>1335.4380000000001</v>
      </c>
      <c r="S12" s="87"/>
      <c r="T12" s="87">
        <v>687.49199999999996</v>
      </c>
      <c r="U12" s="87"/>
      <c r="V12" s="87">
        <v>619.55399999999997</v>
      </c>
      <c r="W12" s="87">
        <v>1948.9079999999999</v>
      </c>
      <c r="X12" s="87"/>
      <c r="Y12" s="87">
        <v>1778.556</v>
      </c>
      <c r="Z12" s="87">
        <v>1430.7539999999999</v>
      </c>
    </row>
    <row r="13" spans="1:26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>
        <v>2503.5659999999998</v>
      </c>
      <c r="R13" s="87"/>
      <c r="S13" s="87"/>
      <c r="T13" s="87"/>
      <c r="U13" s="87"/>
      <c r="V13" s="87"/>
      <c r="W13" s="87"/>
      <c r="X13" s="87"/>
      <c r="Y13" s="87"/>
      <c r="Z13" s="87"/>
    </row>
    <row r="14" spans="1:26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>
        <v>2388.9839999999999</v>
      </c>
      <c r="O14" s="87">
        <v>2388.9839999999999</v>
      </c>
      <c r="P14" s="87">
        <v>2729.6880000000001</v>
      </c>
      <c r="Q14" s="87">
        <v>4940.2079999999996</v>
      </c>
      <c r="R14" s="87">
        <v>4773.9120000000003</v>
      </c>
      <c r="S14" s="87">
        <v>3922.152</v>
      </c>
      <c r="T14" s="87">
        <v>2559.3359999999998</v>
      </c>
      <c r="U14" s="87">
        <v>3581.4479999999999</v>
      </c>
      <c r="V14" s="87">
        <v>344.76000000000101</v>
      </c>
      <c r="W14" s="87">
        <v>2559.3359999999998</v>
      </c>
      <c r="X14" s="87">
        <v>4944.2640000000001</v>
      </c>
      <c r="Y14" s="87">
        <v>5625.6719999999996</v>
      </c>
      <c r="Z14" s="87">
        <v>3411.096</v>
      </c>
    </row>
    <row r="15" spans="1:26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>
        <v>3622.0079999999998</v>
      </c>
      <c r="L15" s="87"/>
      <c r="M15" s="87"/>
      <c r="N15" s="87">
        <v>2088.84</v>
      </c>
      <c r="O15" s="87"/>
      <c r="P15" s="87"/>
      <c r="Q15" s="87">
        <v>24615.864000000001</v>
      </c>
      <c r="R15" s="87">
        <v>2088.84</v>
      </c>
      <c r="S15" s="87">
        <v>3451.6559999999999</v>
      </c>
      <c r="T15" s="87"/>
      <c r="U15" s="87"/>
      <c r="V15" s="87"/>
      <c r="W15" s="87"/>
      <c r="X15" s="87">
        <v>3110.9520000000002</v>
      </c>
      <c r="Y15" s="87"/>
      <c r="Z15" s="87"/>
    </row>
    <row r="16" spans="1:26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>
        <v>851.76</v>
      </c>
      <c r="R16" s="87"/>
      <c r="S16" s="87"/>
      <c r="T16" s="87"/>
      <c r="U16" s="87"/>
      <c r="V16" s="87"/>
      <c r="W16" s="87"/>
      <c r="X16" s="87"/>
      <c r="Y16" s="87"/>
      <c r="Z16" s="87"/>
    </row>
    <row r="17" spans="1:26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>
        <v>85.176000000000002</v>
      </c>
      <c r="R17" s="87"/>
      <c r="S17" s="87"/>
      <c r="T17" s="87"/>
      <c r="U17" s="87"/>
      <c r="V17" s="87"/>
      <c r="W17" s="87"/>
      <c r="X17" s="87"/>
      <c r="Y17" s="87"/>
      <c r="Z17" s="87"/>
    </row>
    <row r="18" spans="1:26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>
        <v>6527.1180000000004</v>
      </c>
      <c r="O18" s="87">
        <v>6662.9939999999997</v>
      </c>
      <c r="P18" s="87">
        <v>6527.1180000000004</v>
      </c>
      <c r="Q18" s="87">
        <v>16455.191999999999</v>
      </c>
      <c r="R18" s="87">
        <v>3699.0720000000001</v>
      </c>
      <c r="S18" s="87">
        <v>3120.078</v>
      </c>
      <c r="T18" s="87">
        <v>1143.7919999999999</v>
      </c>
      <c r="U18" s="87">
        <v>326.50799999999998</v>
      </c>
      <c r="V18" s="87"/>
      <c r="W18" s="87">
        <v>427.90800000000002</v>
      </c>
      <c r="X18" s="87">
        <v>6084</v>
      </c>
      <c r="Y18" s="87">
        <v>4721.1840000000002</v>
      </c>
      <c r="Z18" s="87">
        <v>7957.8720000000003</v>
      </c>
    </row>
    <row r="19" spans="1:26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>
        <v>1123.5119999999999</v>
      </c>
      <c r="R19" s="87"/>
      <c r="S19" s="87"/>
      <c r="T19" s="87"/>
      <c r="U19" s="87"/>
      <c r="V19" s="87"/>
      <c r="W19" s="87"/>
      <c r="X19" s="87"/>
      <c r="Y19" s="87"/>
      <c r="Z19" s="87"/>
    </row>
    <row r="20" spans="1:26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>
        <v>9710.0640000000003</v>
      </c>
      <c r="R20" s="87"/>
      <c r="S20" s="87"/>
      <c r="T20" s="87"/>
      <c r="U20" s="87"/>
      <c r="V20" s="87"/>
      <c r="W20" s="87"/>
      <c r="X20" s="87"/>
      <c r="Y20" s="87"/>
      <c r="Z20" s="87"/>
    </row>
    <row r="21" spans="1:26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>
        <v>92.274000000000001</v>
      </c>
      <c r="O21" s="87">
        <v>92.274000000000001</v>
      </c>
      <c r="P21" s="87"/>
      <c r="Q21" s="87">
        <v>2827.0320000000002</v>
      </c>
      <c r="R21" s="87">
        <v>24.3359999999998</v>
      </c>
      <c r="S21" s="87"/>
      <c r="T21" s="87"/>
      <c r="U21" s="87"/>
      <c r="V21" s="87"/>
      <c r="W21" s="87"/>
      <c r="X21" s="87"/>
      <c r="Y21" s="87"/>
      <c r="Z21" s="87"/>
    </row>
    <row r="22" spans="1:26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>
        <v>2248.038</v>
      </c>
      <c r="R22" s="87"/>
      <c r="S22" s="87"/>
      <c r="T22" s="87"/>
      <c r="U22" s="87"/>
      <c r="V22" s="87"/>
      <c r="W22" s="87"/>
      <c r="X22" s="87"/>
      <c r="Y22" s="87"/>
      <c r="Z22" s="87"/>
    </row>
    <row r="23" spans="1:26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>
        <v>1192.4639999999999</v>
      </c>
      <c r="R23" s="87"/>
      <c r="S23" s="87"/>
      <c r="T23" s="87"/>
      <c r="U23" s="87"/>
      <c r="V23" s="87"/>
      <c r="W23" s="87"/>
      <c r="X23" s="87"/>
      <c r="Y23" s="87"/>
      <c r="Z23" s="87"/>
    </row>
    <row r="24" spans="1:26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>
        <v>1567.644</v>
      </c>
      <c r="R24" s="87"/>
      <c r="S24" s="87"/>
      <c r="T24" s="87"/>
      <c r="U24" s="87"/>
      <c r="V24" s="87"/>
      <c r="W24" s="87"/>
      <c r="X24" s="87"/>
      <c r="Y24" s="87"/>
      <c r="Z24" s="87"/>
    </row>
    <row r="25" spans="1:26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>
        <v>170.352</v>
      </c>
      <c r="R25" s="87"/>
      <c r="S25" s="87"/>
      <c r="T25" s="87"/>
      <c r="U25" s="87"/>
      <c r="V25" s="87"/>
      <c r="W25" s="87"/>
      <c r="X25" s="87"/>
      <c r="Y25" s="87"/>
      <c r="Z25" s="87"/>
    </row>
    <row r="26" spans="1:26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>
        <v>1260.402</v>
      </c>
      <c r="R26" s="87"/>
      <c r="S26" s="87"/>
      <c r="T26" s="87"/>
      <c r="U26" s="87"/>
      <c r="V26" s="87"/>
      <c r="W26" s="87"/>
      <c r="X26" s="87"/>
      <c r="Y26" s="87"/>
      <c r="Z26" s="87"/>
    </row>
    <row r="27" spans="1:26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>
        <v>1763.346</v>
      </c>
      <c r="R27" s="87"/>
      <c r="S27" s="87"/>
      <c r="T27" s="87"/>
      <c r="U27" s="87"/>
      <c r="V27" s="87"/>
      <c r="W27" s="87"/>
      <c r="X27" s="87"/>
      <c r="Y27" s="87"/>
      <c r="Z27" s="87"/>
    </row>
    <row r="28" spans="1:26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>
        <v>569.86800000000005</v>
      </c>
      <c r="O28" s="87">
        <v>876.096</v>
      </c>
      <c r="P28" s="87"/>
      <c r="Q28" s="87">
        <v>1567.644</v>
      </c>
      <c r="R28" s="87">
        <v>1251.2760000000001</v>
      </c>
      <c r="S28" s="87">
        <v>876.096</v>
      </c>
      <c r="T28" s="87">
        <v>637.80600000000004</v>
      </c>
      <c r="U28" s="87"/>
      <c r="V28" s="87"/>
      <c r="W28" s="87"/>
      <c r="X28" s="87"/>
      <c r="Y28" s="87"/>
      <c r="Z28" s="87">
        <v>961.27200000000005</v>
      </c>
    </row>
    <row r="29" spans="1:26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>
        <v>2850.3539999999998</v>
      </c>
      <c r="O29" s="87">
        <v>3642.288</v>
      </c>
      <c r="P29" s="87">
        <v>11972.298000000001</v>
      </c>
      <c r="Q29" s="87">
        <v>8610.8880000000008</v>
      </c>
      <c r="R29" s="87">
        <v>1598.0640000000001</v>
      </c>
      <c r="S29" s="87">
        <v>959.24400000000003</v>
      </c>
      <c r="T29" s="87"/>
      <c r="U29" s="87"/>
      <c r="V29" s="87"/>
      <c r="W29" s="87"/>
      <c r="X29" s="87">
        <v>2058.42</v>
      </c>
      <c r="Y29" s="87">
        <v>1214.7719999999999</v>
      </c>
      <c r="Z29" s="87">
        <v>2517.7620000000002</v>
      </c>
    </row>
    <row r="30" spans="1:26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>
        <v>1362.816</v>
      </c>
      <c r="R30" s="87"/>
      <c r="S30" s="87"/>
      <c r="T30" s="87"/>
      <c r="U30" s="87"/>
      <c r="V30" s="87"/>
      <c r="W30" s="87"/>
      <c r="X30" s="87"/>
      <c r="Y30" s="87"/>
      <c r="Z30" s="87"/>
    </row>
    <row r="31" spans="1:26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>
        <v>298.11599999999999</v>
      </c>
      <c r="O31" s="87">
        <v>826.41000000000099</v>
      </c>
      <c r="P31" s="87"/>
      <c r="Q31" s="87">
        <v>4003.2719999999999</v>
      </c>
      <c r="R31" s="87"/>
      <c r="S31" s="87"/>
      <c r="T31" s="87"/>
      <c r="U31" s="87"/>
      <c r="V31" s="87"/>
      <c r="W31" s="87"/>
      <c r="X31" s="87"/>
      <c r="Y31" s="87"/>
      <c r="Z31" s="87"/>
    </row>
    <row r="35" spans="1:2" ht="41.85" customHeight="1">
      <c r="A35" s="125" t="s">
        <v>2096</v>
      </c>
      <c r="B35" s="125"/>
    </row>
    <row r="36" spans="1:2">
      <c r="A36" s="124">
        <f>SUM(A1:Z31)</f>
        <v>725987.73218280007</v>
      </c>
      <c r="B36" s="124"/>
    </row>
  </sheetData>
  <mergeCells count="2">
    <mergeCell ref="A35:B35"/>
    <mergeCell ref="A36:B36"/>
  </mergeCells>
  <conditionalFormatting sqref="A1:Z31">
    <cfRule type="cellIs" dxfId="1" priority="2" operator="greaterThanOrEqual">
      <formula>0</formula>
    </cfRule>
    <cfRule type="cellIs" dxfId="0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B3</vt:lpstr>
      <vt:lpstr>B1</vt:lpstr>
      <vt:lpstr>B4A Ilum. Pública</vt:lpstr>
      <vt:lpstr>A4 VERDE</vt:lpstr>
      <vt:lpstr>Dimensionamento Prévio UFVs</vt:lpstr>
      <vt:lpstr>pastepage</vt:lpstr>
      <vt:lpstr>ANÁLISE CONSUMO A4 VERDE X ACL</vt:lpstr>
      <vt:lpstr>ANÁLISE DEMANDA CONTRATADA A4</vt:lpstr>
      <vt:lpstr>DEMANDA CONTRATADA E NÃO UTILIZ</vt:lpstr>
      <vt:lpstr>DEMANDA CONTRATADA ULTRAPASSADA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02</dc:creator>
  <dc:description/>
  <cp:lastModifiedBy>Emerson Sun</cp:lastModifiedBy>
  <cp:revision>0</cp:revision>
  <dcterms:created xsi:type="dcterms:W3CDTF">2026-02-20T19:10:26Z</dcterms:created>
  <dcterms:modified xsi:type="dcterms:W3CDTF">2026-03-03T20:39:38Z</dcterms:modified>
  <dc:language>en-US</dc:language>
</cp:coreProperties>
</file>