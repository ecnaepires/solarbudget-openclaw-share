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 02\Documents\Grupo Sun\Campos Dos Goytacazes\EDITAL\"/>
    </mc:Choice>
  </mc:AlternateContent>
  <xr:revisionPtr revIDLastSave="0" documentId="13_ncr:1_{469A1FF1-9692-45F6-9303-30164C4B567D}" xr6:coauthVersionLast="47" xr6:coauthVersionMax="47" xr10:uidLastSave="{00000000-0000-0000-0000-000000000000}"/>
  <bookViews>
    <workbookView xWindow="-120" yWindow="-120" windowWidth="20730" windowHeight="11040" tabRatio="601" firstSheet="35" activeTab="36" xr2:uid="{A3E1C63B-B093-4746-9CB4-BEA88D359B73}"/>
  </bookViews>
  <sheets>
    <sheet name="PROJ.VIABILIDADE" sheetId="38" r:id="rId1"/>
    <sheet name="1.0 PLANILHA ORÇAMENTARIA" sheetId="1" r:id="rId2"/>
    <sheet name="2.0 MOVIMENTO DE TERRA E DREN" sheetId="2" r:id="rId3"/>
    <sheet name="3.1 CERCAMENTO DO TERRENO" sheetId="3" r:id="rId4"/>
    <sheet name="4.1 FUNDAÇÃO ESTRUTURAS PAINEIS" sheetId="4" r:id="rId5"/>
    <sheet name="5.1 EDIFICIOS ESCRITÓRIO E ALMO" sheetId="5" r:id="rId6"/>
    <sheet name="5.2 REVESTIMENTO DE PAREDES" sheetId="6" r:id="rId7"/>
    <sheet name="5.3 ESQUADRIAS DE MADEIRA" sheetId="7" r:id="rId8"/>
    <sheet name="5.4 PINTURA ACABAMENTO" sheetId="8" r:id="rId9"/>
    <sheet name="5.5 COBERTURA" sheetId="9" r:id="rId10"/>
    <sheet name="5.6 FORROS E DIVISORIAS" sheetId="10" r:id="rId11"/>
    <sheet name="5.7 INSTALACOES HIDRAULICAS" sheetId="11" r:id="rId12"/>
    <sheet name="5.8 INSTALACOES SANITARIAS PLU" sheetId="12" r:id="rId13"/>
    <sheet name="5.9 INSTALAÇÓES ELÉTRICAS" sheetId="13" r:id="rId14"/>
    <sheet name="5.10 CALÇADA EXTERNA" sheetId="14" r:id="rId15"/>
    <sheet name="6.1 EDIFÍCIO CASA DE FORÇA" sheetId="15" r:id="rId16"/>
    <sheet name="6.2 REVESTIMENTO DE PAREDES" sheetId="16" r:id="rId17"/>
    <sheet name="6.3 ESQUADRIAS DE VIDROS" sheetId="17" r:id="rId18"/>
    <sheet name="6.4 PINTURA" sheetId="18" r:id="rId19"/>
    <sheet name="6.5 COBERTURA" sheetId="20" r:id="rId20"/>
    <sheet name="6.6 DIVISÓRIAS ACARTONADA" sheetId="21" r:id="rId21"/>
    <sheet name="6.7 INSTALAÇÕES AR CONDICIONADO" sheetId="22" r:id="rId22"/>
    <sheet name="6.8 INSTALAÇÕES SANITÁRIAS PLUV" sheetId="23" r:id="rId23"/>
    <sheet name="6.9 INSTALAÇÕES ELÉTRICAS" sheetId="24" r:id="rId24"/>
    <sheet name="6.10 CALÇADA EXTERNA" sheetId="25" r:id="rId25"/>
    <sheet name="7.1 MÓDULOS FOTOVOLTAICAS" sheetId="27" r:id="rId26"/>
    <sheet name="7.2 INVERSORES" sheetId="28" r:id="rId27"/>
    <sheet name="7.3 ESTRUTURA DE SUPORTE METÁLI" sheetId="29" r:id="rId28"/>
    <sheet name="8.1 INSTALAÇÕES ELÉTRICAS EXTER" sheetId="30" r:id="rId29"/>
    <sheet name="9 SUBESTAÇÃO_x0009__x0009_" sheetId="31" r:id="rId30"/>
    <sheet name="10 ADMINISTRAÇÃO" sheetId="32" r:id="rId31"/>
    <sheet name="TOTAL GERAL" sheetId="34" r:id="rId32"/>
    <sheet name="PLAN.FIN.CAD02" sheetId="36" r:id="rId33"/>
    <sheet name="QUADRO DE RECEITAS" sheetId="39" r:id="rId34"/>
    <sheet name="CUSTOS E DESPESAS ADM-OPER." sheetId="40" r:id="rId35"/>
    <sheet name="FORMAÇÃO CUSTO KWh" sheetId="41" r:id="rId36"/>
    <sheet name="FLUXO CAIXA" sheetId="42" r:id="rId37"/>
    <sheet name="FLUXO CAIXA DESCONTADO" sheetId="43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40" l="1"/>
  <c r="B35" i="40"/>
  <c r="C33" i="40"/>
  <c r="C26" i="40"/>
  <c r="C15" i="40"/>
  <c r="C32" i="40"/>
  <c r="C34" i="40"/>
  <c r="C27" i="40"/>
  <c r="C28" i="40"/>
  <c r="C29" i="40"/>
  <c r="C30" i="40"/>
  <c r="C16" i="40"/>
  <c r="C17" i="40"/>
  <c r="C18" i="40"/>
  <c r="C19" i="40"/>
  <c r="C20" i="40"/>
  <c r="C21" i="40"/>
  <c r="C22" i="40"/>
  <c r="C23" i="40"/>
  <c r="C24" i="40"/>
  <c r="C25" i="40"/>
  <c r="C5" i="40"/>
  <c r="C6" i="40"/>
  <c r="C7" i="40"/>
  <c r="C8" i="40"/>
  <c r="C9" i="40"/>
  <c r="C10" i="40"/>
  <c r="C11" i="40"/>
  <c r="C12" i="40"/>
  <c r="C13" i="40"/>
  <c r="C14" i="40"/>
  <c r="C4" i="40"/>
  <c r="D7" i="39"/>
  <c r="D10" i="39"/>
  <c r="U4" i="39"/>
  <c r="T4" i="39"/>
  <c r="S4" i="39"/>
  <c r="R4" i="39"/>
  <c r="Q4" i="39"/>
  <c r="P4" i="39"/>
  <c r="O4" i="39"/>
  <c r="N4" i="39"/>
  <c r="M4" i="39"/>
  <c r="L4" i="39"/>
  <c r="K4" i="39"/>
  <c r="J4" i="39"/>
  <c r="I4" i="39"/>
  <c r="H4" i="39"/>
  <c r="G4" i="39"/>
  <c r="F4" i="39"/>
  <c r="E4" i="39"/>
  <c r="C4" i="36"/>
  <c r="E4" i="36" s="1"/>
  <c r="E33" i="36" s="1"/>
  <c r="L31" i="36"/>
  <c r="L3" i="36"/>
  <c r="L5" i="36"/>
  <c r="L6" i="36"/>
  <c r="L7" i="36"/>
  <c r="L8" i="36"/>
  <c r="L9" i="36"/>
  <c r="L10" i="36"/>
  <c r="L11" i="36"/>
  <c r="L12" i="36"/>
  <c r="L13" i="36"/>
  <c r="L14" i="36"/>
  <c r="L15" i="36"/>
  <c r="L16" i="36"/>
  <c r="L17" i="36"/>
  <c r="L18" i="36"/>
  <c r="L19" i="36"/>
  <c r="L20" i="36"/>
  <c r="L21" i="36"/>
  <c r="L22" i="36"/>
  <c r="L23" i="36"/>
  <c r="L24" i="36"/>
  <c r="L25" i="36"/>
  <c r="L26" i="36"/>
  <c r="L27" i="36"/>
  <c r="L28" i="36"/>
  <c r="L29" i="36"/>
  <c r="L30" i="36"/>
  <c r="L32" i="36"/>
  <c r="L2" i="36"/>
  <c r="K33" i="36"/>
  <c r="J33" i="36"/>
  <c r="I33" i="36"/>
  <c r="H33" i="36"/>
  <c r="G33" i="36"/>
  <c r="F33" i="36"/>
  <c r="E30" i="36"/>
  <c r="D31" i="36"/>
  <c r="D33" i="36" s="1"/>
  <c r="E21" i="36"/>
  <c r="E22" i="36"/>
  <c r="E23" i="36"/>
  <c r="E24" i="36"/>
  <c r="E25" i="36"/>
  <c r="E26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C6" i="36"/>
  <c r="E6" i="36" s="1"/>
  <c r="J32" i="36"/>
  <c r="D32" i="36"/>
  <c r="C26" i="36" a="1"/>
  <c r="C26" i="36" s="1"/>
  <c r="C3" i="36"/>
  <c r="C5" i="36"/>
  <c r="F5" i="36" s="1"/>
  <c r="C7" i="36"/>
  <c r="E7" i="36" s="1"/>
  <c r="C8" i="36"/>
  <c r="E8" i="36" s="1"/>
  <c r="C9" i="36"/>
  <c r="C10" i="36"/>
  <c r="C11" i="36"/>
  <c r="C12" i="36"/>
  <c r="C13" i="36"/>
  <c r="C14" i="36"/>
  <c r="C15" i="36"/>
  <c r="C16" i="36" a="1"/>
  <c r="C16" i="36" s="1"/>
  <c r="C17" i="36"/>
  <c r="C18" i="36"/>
  <c r="C19" i="36"/>
  <c r="C20" i="36"/>
  <c r="C21" i="36"/>
  <c r="C22" i="36"/>
  <c r="C23" i="36"/>
  <c r="C24" i="36"/>
  <c r="C25" i="36"/>
  <c r="C27" i="36"/>
  <c r="F27" i="36" s="1"/>
  <c r="C28" i="36"/>
  <c r="E28" i="36" s="1"/>
  <c r="C29" i="36" a="1"/>
  <c r="C29" i="36" s="1"/>
  <c r="E29" i="36" s="1"/>
  <c r="C30" i="36"/>
  <c r="C31" i="36"/>
  <c r="C32" i="36"/>
  <c r="I32" i="36" s="1"/>
  <c r="H9" i="30"/>
  <c r="H5" i="30"/>
  <c r="H6" i="30"/>
  <c r="H10" i="1"/>
  <c r="H33" i="1" s="1"/>
  <c r="H13" i="1"/>
  <c r="H16" i="1"/>
  <c r="H18" i="1"/>
  <c r="H20" i="1"/>
  <c r="H21" i="1"/>
  <c r="H23" i="1"/>
  <c r="H24" i="1"/>
  <c r="H27" i="1"/>
  <c r="C2" i="36"/>
  <c r="D2" i="36" s="1"/>
  <c r="H5" i="38"/>
  <c r="H6" i="38" s="1"/>
  <c r="G8" i="38" s="1"/>
  <c r="H7" i="31"/>
  <c r="H6" i="31"/>
  <c r="H5" i="31"/>
  <c r="H8" i="32"/>
  <c r="H7" i="32"/>
  <c r="H6" i="32"/>
  <c r="H5" i="32"/>
  <c r="H5" i="29"/>
  <c r="H6" i="29" s="1"/>
  <c r="H5" i="27"/>
  <c r="H6" i="27" s="1"/>
  <c r="H5" i="28"/>
  <c r="H6" i="28" s="1"/>
  <c r="H5" i="25"/>
  <c r="H6" i="25" s="1"/>
  <c r="H8" i="25" s="1"/>
  <c r="H16" i="24"/>
  <c r="H15" i="24"/>
  <c r="H14" i="24"/>
  <c r="H13" i="24"/>
  <c r="H12" i="24"/>
  <c r="H11" i="24"/>
  <c r="H10" i="24"/>
  <c r="H9" i="24"/>
  <c r="H8" i="24"/>
  <c r="H7" i="24"/>
  <c r="H6" i="24"/>
  <c r="H5" i="24"/>
  <c r="H5" i="23"/>
  <c r="H6" i="23"/>
  <c r="H7" i="23"/>
  <c r="H8" i="23"/>
  <c r="H5" i="22"/>
  <c r="H7" i="22" s="1"/>
  <c r="H6" i="22"/>
  <c r="H5" i="21"/>
  <c r="H6" i="21" s="1"/>
  <c r="H5" i="20"/>
  <c r="H6" i="20"/>
  <c r="H5" i="18"/>
  <c r="H6" i="18"/>
  <c r="H7" i="18"/>
  <c r="H5" i="17"/>
  <c r="H6" i="17"/>
  <c r="H7" i="17" s="1"/>
  <c r="H5" i="15"/>
  <c r="H6" i="15"/>
  <c r="H7" i="15"/>
  <c r="H8" i="15"/>
  <c r="H11" i="15" s="1"/>
  <c r="H9" i="15"/>
  <c r="H10" i="15"/>
  <c r="H5" i="16"/>
  <c r="H6" i="16" s="1"/>
  <c r="H8" i="18"/>
  <c r="H7" i="20"/>
  <c r="H9" i="23"/>
  <c r="H8" i="14"/>
  <c r="H7" i="14"/>
  <c r="H6" i="14"/>
  <c r="H5" i="14"/>
  <c r="H9" i="14" s="1"/>
  <c r="H11" i="14" s="1"/>
  <c r="H9" i="13"/>
  <c r="H7" i="13"/>
  <c r="H16" i="13"/>
  <c r="H15" i="13"/>
  <c r="H14" i="13"/>
  <c r="H13" i="13"/>
  <c r="H12" i="13"/>
  <c r="H11" i="13"/>
  <c r="H10" i="13"/>
  <c r="H8" i="13"/>
  <c r="H6" i="13"/>
  <c r="H5" i="13"/>
  <c r="H12" i="12"/>
  <c r="H10" i="12"/>
  <c r="H8" i="12"/>
  <c r="H6" i="12"/>
  <c r="H14" i="12"/>
  <c r="H6" i="11"/>
  <c r="H9" i="11"/>
  <c r="H24" i="11" s="1"/>
  <c r="H12" i="11"/>
  <c r="H13" i="11"/>
  <c r="H15" i="11"/>
  <c r="H17" i="11"/>
  <c r="H19" i="11"/>
  <c r="H23" i="11"/>
  <c r="H6" i="10"/>
  <c r="H8" i="10" s="1"/>
  <c r="H9" i="9"/>
  <c r="H6" i="9"/>
  <c r="H13" i="9" s="1"/>
  <c r="H12" i="8"/>
  <c r="H10" i="8"/>
  <c r="H8" i="8"/>
  <c r="H6" i="8"/>
  <c r="H14" i="8" s="1"/>
  <c r="H21" i="7"/>
  <c r="H6" i="7"/>
  <c r="H10" i="7"/>
  <c r="H14" i="7"/>
  <c r="H16" i="7"/>
  <c r="H19" i="7"/>
  <c r="H10" i="6"/>
  <c r="H6" i="6"/>
  <c r="H24" i="5"/>
  <c r="H21" i="5"/>
  <c r="H17" i="5"/>
  <c r="H14" i="5"/>
  <c r="H12" i="5"/>
  <c r="H9" i="5"/>
  <c r="H6" i="5"/>
  <c r="H8" i="4"/>
  <c r="H5" i="4"/>
  <c r="H10" i="4" s="1"/>
  <c r="H9" i="3"/>
  <c r="H7" i="3"/>
  <c r="H5" i="3"/>
  <c r="H11" i="3" s="1"/>
  <c r="H14" i="2"/>
  <c r="H12" i="2"/>
  <c r="H10" i="2"/>
  <c r="H9" i="2"/>
  <c r="H7" i="2"/>
  <c r="H5" i="2"/>
  <c r="L4" i="36" l="1"/>
  <c r="M4" i="36" s="1"/>
  <c r="L33" i="36"/>
  <c r="M9" i="36" s="1"/>
  <c r="E32" i="36"/>
  <c r="K32" i="36" s="1"/>
  <c r="F32" i="36"/>
  <c r="D3" i="36"/>
  <c r="E3" i="36" s="1"/>
  <c r="G32" i="36"/>
  <c r="F6" i="36"/>
  <c r="H32" i="36"/>
  <c r="C33" i="36"/>
  <c r="A2" i="34" s="1"/>
  <c r="H7" i="30"/>
  <c r="H9" i="32"/>
  <c r="H8" i="29"/>
  <c r="H17" i="24"/>
  <c r="H17" i="13"/>
  <c r="H14" i="6"/>
  <c r="M25" i="36" l="1"/>
  <c r="M28" i="36"/>
  <c r="M5" i="36"/>
  <c r="M22" i="36"/>
  <c r="M3" i="36"/>
  <c r="M16" i="36"/>
  <c r="M23" i="36"/>
  <c r="M6" i="36"/>
  <c r="M17" i="36"/>
  <c r="M24" i="36"/>
  <c r="M14" i="36"/>
  <c r="M2" i="36"/>
  <c r="M33" i="36" s="1"/>
  <c r="M32" i="36"/>
  <c r="M13" i="36"/>
  <c r="M31" i="36"/>
  <c r="M10" i="36"/>
  <c r="M21" i="36"/>
  <c r="M7" i="36"/>
  <c r="M29" i="36"/>
  <c r="M11" i="36"/>
  <c r="M19" i="36"/>
  <c r="M18" i="36"/>
  <c r="M12" i="36"/>
  <c r="M30" i="36"/>
  <c r="M8" i="36"/>
  <c r="M26" i="36"/>
  <c r="M20" i="36"/>
  <c r="M15" i="36"/>
  <c r="M27" i="3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<sst xmlns="http://schemas.openxmlformats.org/spreadsheetml/2006/main" count="1166" uniqueCount="517">
  <si>
    <t>PREFEITURA MUNICIPAL DE CAMPOS DOS GOYTACAZES USINA SOLAR FOTOVOLTAICA PLANILHA ORÇAMENTÁRIA</t>
  </si>
  <si>
    <t>PLANILHA ORÇAMENTÁRIA</t>
  </si>
  <si>
    <t>DADOS DA OBRA</t>
  </si>
  <si>
    <t>NOME: USINA SOLAR FOTOVOLTAICA CAMPOS DOS GOYTACAZES - RJ</t>
  </si>
  <si>
    <t>ITEM</t>
  </si>
  <si>
    <t>REFERÊNCIA</t>
  </si>
  <si>
    <t>DISCRIMINAÇÃO</t>
  </si>
  <si>
    <t xml:space="preserve">UND </t>
  </si>
  <si>
    <t>QUANTIDADE</t>
  </si>
  <si>
    <t>PREÇO UNITÁRIO</t>
  </si>
  <si>
    <t>P. TOTAL</t>
  </si>
  <si>
    <t>SEM BDI</t>
  </si>
  <si>
    <t>COM BDI</t>
  </si>
  <si>
    <t>EXECUÇAO DE DEP SITO EM CANTEIRO DE OBRA EM CHAPA DE MADEIRA COMPENSAD A, NÃO INCLUSO MOBILIÁRIO.</t>
  </si>
  <si>
    <t>1.2</t>
  </si>
  <si>
    <t>1.3</t>
  </si>
  <si>
    <t>1.4</t>
  </si>
  <si>
    <t>COMPOSIÇÃO</t>
  </si>
  <si>
    <t>DE X 1,125* M (SEM POSTES PARA FIXACAO)</t>
  </si>
  <si>
    <t>R$ 8 60</t>
  </si>
  <si>
    <t>1.5</t>
  </si>
  <si>
    <t>ELABORAÇÃO DE PROJETOS HIDROSSANITÁRIOS, INCLUINDO PLUVIAL PARA EDIFICAÇÕES NOVAS</t>
  </si>
  <si>
    <t>IT12</t>
  </si>
  <si>
    <t>1.6</t>
  </si>
  <si>
    <t>1.7</t>
  </si>
  <si>
    <t>PROJETO ARQUITETONICO DE EDIFICAÇOES NOVAS</t>
  </si>
  <si>
    <t>1.8</t>
  </si>
  <si>
    <t>IBEC</t>
  </si>
  <si>
    <t>PROJETO EIÉTRICO</t>
  </si>
  <si>
    <t>1.9</t>
  </si>
  <si>
    <t>FONTE: SINAPI 2021</t>
  </si>
  <si>
    <t>TIPO DE INTERVENÇAO: CONSTRUÇÃO</t>
  </si>
  <si>
    <t>ENDEREÇO: CAMPOS DOS GOYTACAZES</t>
  </si>
  <si>
    <t>EXECUÇÃO DE ALMOXARIFADO EM CANTEIRO DE OBRA EM CHAPA DE MADEIRA COMPE NSADA, INCLUSO PRATELEIRAS. AF_02/2016</t>
  </si>
  <si>
    <t>PLACA DE OBRA (PARA CONSTRUCAO CIVIL) EM CHAPA GALVANIZADA *N. 22*, ADESIVADA, M2 225,00</t>
  </si>
  <si>
    <t>ELABORAÇ O DE PROJETOS DE AR CONDICIONADO, INCLUINDO DRENAGEM, PARA EDIFICA ÓES NOVAS</t>
  </si>
  <si>
    <t>ELABORAÇAO DE PROJETO ARQUITETONICO URBANISTICO (INCLUINDO TOPOGRAFIA, PROJETO URBANISTICO, REGULARIZAÇÃO DOS PARCELAMENTOS DE SOLO, PROJETOS PAVIMENTA Ao, SINALIZA Ao DE TRÂNSITO PAISAGíSTlCO, URBANISTICO, DRENAGEM,</t>
  </si>
  <si>
    <t>TOTAL ITEM 1</t>
  </si>
  <si>
    <t>BDI:</t>
  </si>
  <si>
    <t>2.1</t>
  </si>
  <si>
    <t>LIMPEZA MECANIZADA DE CAMADA VEGETAL, VEGETAÇÃO E PEQUENAS ÁRVORES (DIAMETRO DE TRONCO MENOR QUE 0,20M) COM TRATOR DE ESTEIRA. AF 05/2018</t>
  </si>
  <si>
    <t>mg</t>
  </si>
  <si>
    <t>2.2</t>
  </si>
  <si>
    <t>ARGILA OU BARRO PARA ATERRO/REATERRO .COM TRANSPORTE ATÉ IOKM)</t>
  </si>
  <si>
    <t>2.3</t>
  </si>
  <si>
    <t>ESCAVAÇAO MANUAL DE VALA COM PROFUNDIDADE MENOR OU IGUALA 1,30 M. AF 02/2021</t>
  </si>
  <si>
    <t>2.4</t>
  </si>
  <si>
    <t>REATERRO APILOADO DE VALA COM MATERIAL DA OBRA</t>
  </si>
  <si>
    <t>2.5</t>
  </si>
  <si>
    <t>REGULARIZAÇÃO DE SUPERFÍCIES COM MOTONIVELADORA. AF_11/2019</t>
  </si>
  <si>
    <t>Total do item 2</t>
  </si>
  <si>
    <r>
      <t>ÁREA: 400.000,00 m</t>
    </r>
    <r>
      <rPr>
        <b/>
        <vertAlign val="superscript"/>
        <sz val="14"/>
        <color rgb="FF000000"/>
        <rFont val="Arial"/>
        <family val="2"/>
      </rPr>
      <t>2</t>
    </r>
  </si>
  <si>
    <t>1 SERVIÇOS PRELIMINARES</t>
  </si>
  <si>
    <t>2 MOVIMENTO DE TERRA E DRENAGEM</t>
  </si>
  <si>
    <t>3 CERCAMENTO DO TERRENO</t>
  </si>
  <si>
    <t>3.1</t>
  </si>
  <si>
    <t>ALAMBRADO EM MOURÕES DE CONCRETO COM TELA DE ARAME GALVANIZADO (INLCUSIVE MURETA EM CONCRETO). AF 05/2018</t>
  </si>
  <si>
    <t>M</t>
  </si>
  <si>
    <t>3.2</t>
  </si>
  <si>
    <t>PORTÃO DE CORRER EM GRADIL FIXO DE BARRA DE FERRO CHATA DE 3 X 1/4" NA VERTICAL, SEM REQUADRO, ACABAMENTO NATURAL, COM TRILHOS E ROLDANAS</t>
  </si>
  <si>
    <t>3.3</t>
  </si>
  <si>
    <t>Total do item 3</t>
  </si>
  <si>
    <t>RECOMPOSIÇÃO PARCIAL DE ARAME FARPADON0 14 CAKSSE 250, FIXADO EM CERCA COM MOURÕES DE CONCRETO - FORNECIMENTO E INSTALAÇÃO. AF 05/2020</t>
  </si>
  <si>
    <t>4 FUNDAÇÃO DAS ESTRUTURAS DOS PAINÉIS</t>
  </si>
  <si>
    <t>4.1</t>
  </si>
  <si>
    <t>4.2</t>
  </si>
  <si>
    <t>MARCAÇÃO DE PONTOS EM GABARITO OU CAVALTE. AF_10/2018</t>
  </si>
  <si>
    <t>und</t>
  </si>
  <si>
    <t>Total do item 4</t>
  </si>
  <si>
    <t>ESTACA BROCA DE CONCRETO, DIÂMETRO DE 30CM, ESCAVAÇÃO COM TRADO CONCHA, INTEIRAMENTE ARMADA. AF_05/2020</t>
  </si>
  <si>
    <t>5.1</t>
  </si>
  <si>
    <t>FUNDAÇÕES E ESTRUTURAS</t>
  </si>
  <si>
    <t>5.1.1</t>
  </si>
  <si>
    <t>5.1.2</t>
  </si>
  <si>
    <t>m2</t>
  </si>
  <si>
    <t>5.1.3</t>
  </si>
  <si>
    <t>CONTRAPISO EM ARGAMASSA TRAÇO (CIMENTO E AREIA), PREPARO MECÂNICO COM BETONEIRA 400 L, APLICADO EM ÁREAS SECAS SOBRE LAJE, NÃO ADERIDO, ESPESSURA 5CM AF 06/2014</t>
  </si>
  <si>
    <t>REVESTIMENTO CERAMICO PARA PISO COM PLACAS TIPO GRÉS DE DIMENSÕES 35X35 CM APLICADA EM AMBIENTES DE ÁREA MENOR QUE 5 rv12</t>
  </si>
  <si>
    <t>5.1.4</t>
  </si>
  <si>
    <t>KG</t>
  </si>
  <si>
    <t>5.1.5</t>
  </si>
  <si>
    <t>5.1.6</t>
  </si>
  <si>
    <t>ARMAÇÃO DE PILAR OU VIGA DE UMA ESTRUTURA CONVENCIONAL DE CONCRETO ARM ADO EM UMA EDIFiCAÇÃO TÉRREA OU SOBRADO UTILIZANDO AÇO CA-60 DE 5.0 MM - MONTAGEM. AF_12/2015</t>
  </si>
  <si>
    <t>ARMAÇÃO DE PILAR OU VIGA DE UMA ESTRUTURA CONVENCIONAL DE CONCRETO ARM ADO EM UMA EDIFíCAÇÃO TÉRREA OU SOBRADO UTILIZANDO AÇO CA-50 DE 12.5 M M - MONTAGEM</t>
  </si>
  <si>
    <t>CONCRETO FCK 20MPA, TRAÇO (CIMENTO/ AREIA MÉDIA] BRITA 1) - PREPARO MECÂNICO COM BETONEIRA 400 L. AF_07/2016</t>
  </si>
  <si>
    <t>RODAPE CERAMICO DE 7CM DE ALTURA COM PLACAS TIPO GRÉS DE DIMENSÕES 35X 35CM. AF 06/2014</t>
  </si>
  <si>
    <t>5.2</t>
  </si>
  <si>
    <t>REVESTIMENTO DE PAREDES E LAJES</t>
  </si>
  <si>
    <t>5.2.1</t>
  </si>
  <si>
    <t>5.2.2</t>
  </si>
  <si>
    <t>CHAPISCO APLICADO EM ALVENARIAS E ESTRUTURAS DE CONCRETO INTERNAS, COM COLHER DE PEDREIRO. ARGAMASSA TRAÇO COM PREPARO MANUAL. AF 06/20 14</t>
  </si>
  <si>
    <t xml:space="preserve">REVESTIMENTO CERAMICO PARA PAREDES INTERNAS COM PLACAS TIPO GRÉS OU SEMl-GRÉS DE DIMENSÕES  CM APLICADAS EM AMBIENTES DE ÁREA MENOR QUE 5 M2 NA ALTURA INTEIRA DAS PAREDES. AF 06/2014 </t>
  </si>
  <si>
    <t>Total do item 5.2</t>
  </si>
  <si>
    <t>5.2 REVESTIMENTO DE PAREDES E LAJES</t>
  </si>
  <si>
    <t>5.3.2</t>
  </si>
  <si>
    <t>5.3.3</t>
  </si>
  <si>
    <t>INSTALAÇÃO DE VIDRO TEMPERADO, R: IOMM, ENCAIXADO EM PERFIL U. AF 01/2021 P</t>
  </si>
  <si>
    <t>rn2</t>
  </si>
  <si>
    <t>336, 14</t>
  </si>
  <si>
    <t>5.3.4</t>
  </si>
  <si>
    <t>5.3.5</t>
  </si>
  <si>
    <t>4828 — COMPOSIÇÃO</t>
  </si>
  <si>
    <t>PORTA DE MADEIRA PARA PINTURA, SEMI-OCA (LEVE OU MÉDIA), 80X210CM, ESP ESSURA DE 3,5CM, INCLUSO DOBRADIÇAS - FORNECIMENTO E INSTALAÇÃO. AF 08 12015</t>
  </si>
  <si>
    <t>5.3</t>
  </si>
  <si>
    <t>FECHADURA DE EMBUTIR PARA PORTAS INTERNAS, COMPLETA, ACABAMENTO PADRÃO MÉDIO, COM EXECUÇÃO DE FURO - FORNECIMENTO E INSTALAÇÃO. AF 08/2015</t>
  </si>
  <si>
    <t>PORTA EM ALUMÍNIO DE ABRIR TIPO VENEZIANA COM GUARNIÇÃO, FIXAÇÃO COM PARAFUSOS FORNECIMENTO E INSTALAÇÃO. AF_12/2019</t>
  </si>
  <si>
    <t>SOLEIRA/ PEITORIL EM MARMORE, POLIDO, BRANCO COMUM,  CM, E: *2* CM, CORTE RETO</t>
  </si>
  <si>
    <t>Total do item 5.3</t>
  </si>
  <si>
    <t>5.4</t>
  </si>
  <si>
    <t>PINTURA</t>
  </si>
  <si>
    <t>APLICAÇÃO E LIXAMENTO DE MASSA LÁTEX EM PAREDES, DUAS DEMÃOS. AF 06/20 14</t>
  </si>
  <si>
    <t>APLICAÇAO MANUAL DE PINTURA COM TINTA LÁTEX ACRÍLICA EM TETO, DUAS DEM Aos. AF 06/2014</t>
  </si>
  <si>
    <t>APLICAÇÃO DE FUNDO SELADOR ACRÍLICO EM PAREDES, UMA DEMÃO. AF 06/2014</t>
  </si>
  <si>
    <t>5.4.4</t>
  </si>
  <si>
    <t>PINTURA EM VERNIZ SINTETICO BRILHANTE EM MADEIRA, TRES DEMAOS</t>
  </si>
  <si>
    <t>21 ,48</t>
  </si>
  <si>
    <t>Total do item 5.4</t>
  </si>
  <si>
    <t>5.4.1</t>
  </si>
  <si>
    <t>5.4.2</t>
  </si>
  <si>
    <t>5.4.3</t>
  </si>
  <si>
    <t>COBERTURA</t>
  </si>
  <si>
    <t>5.5</t>
  </si>
  <si>
    <t>5.5 COBERTURA</t>
  </si>
  <si>
    <t>5.5.1</t>
  </si>
  <si>
    <t>5.5.2</t>
  </si>
  <si>
    <t>UND</t>
  </si>
  <si>
    <t>5.6</t>
  </si>
  <si>
    <t>FORROS E DIVISORIAS</t>
  </si>
  <si>
    <t>5.6.1</t>
  </si>
  <si>
    <t xml:space="preserve">39566 COMPOSIÇÃO </t>
  </si>
  <si>
    <t>TELHAMENTO COM TELHA METALICA TERMOACÚSTICA E = 30 MM, COM ATÉ 2 ÁGUAS INCLUSO I AMENTO. AF 06/2016</t>
  </si>
  <si>
    <t>FABRICAÇÃO E INSTALAÇÃO DE TESOURA INTEIRA EM AÇO, VÃO DE 5 M, PARA TELHA ONDULADA DE FIBROCIMENTO, METÁLICA, PLASTICA OU TERMOACUSTICA, INCLUSO IÇAMENTO. AF_12/2015</t>
  </si>
  <si>
    <t>5.6 FORROS E DIVISORIAS</t>
  </si>
  <si>
    <t>PLACA / CHAPA DE GESSO ACARTONADO, ACABAMENTO VINILICO LISO EM UMA DAS FACES, COR BRANCA, BORDA QUADRADA, E = 9,5 MM, 625 X 625 MM (L X C), PARA FORRO REMOVIVEL</t>
  </si>
  <si>
    <t>5.7 INSTALACOES HIDRAULICAS</t>
  </si>
  <si>
    <t>5.7</t>
  </si>
  <si>
    <t>INSTALACOES HIDRAULICAS</t>
  </si>
  <si>
    <t>5.7.1</t>
  </si>
  <si>
    <t>5.7.2</t>
  </si>
  <si>
    <t>m</t>
  </si>
  <si>
    <t>5.7.3</t>
  </si>
  <si>
    <t>5.7.4</t>
  </si>
  <si>
    <t>5.7.5</t>
  </si>
  <si>
    <t>VALVULA DE DESCARGA METALICA, BASE 1 1/2 " E ACABAMENTO METALICO CROMADO</t>
  </si>
  <si>
    <t>5.7.6</t>
  </si>
  <si>
    <t>VASO SANITARIO SIFONADO CONVENCIONAL COM LOUÇA BRANCA - FORNECIMENTO E INSTALAÇÃO. AF 10/2016</t>
  </si>
  <si>
    <t>5.7.9</t>
  </si>
  <si>
    <t>315, 14</t>
  </si>
  <si>
    <t>5.7.10</t>
  </si>
  <si>
    <t>TUBO, pvc, SOLDÁVEL, DN 50 MM, INSTALADO EM RESERVAÇÃO DE ÁGUA DE EDIFICIOS QUE POSSUA RESERVATÓRIO DE FIBRA, FORNECIMENTO E INSTALAÇÃO. AF_06/2016</t>
  </si>
  <si>
    <t>REGISTRO GAVETA COM ACABAMENTO E CANOPLA CROMADOS, SIMPLES, BITOLA 1 " (REF 1509</t>
  </si>
  <si>
    <t>SUPORTE APOIO CAIXA D AGUA BARROTES MADEIRA DE 1000 LITROS. AF_05/2018_P</t>
  </si>
  <si>
    <t>CAIXA DE AGUA EM FIBRA DE VIDRO 1000 LITROS, COM TAMPA</t>
  </si>
  <si>
    <t>LAVATORIO LOUÇA BRANCA COM COLUNA, X 35,5* CM, PADRÃO POPULAR, INCLUSO SIFÃO FLEXíVEL EM pvc, VÁLVULA E ENGATE FLEXíVEL 30CM EM PLÁSTICO E COM TORNERA CROMADA PADRÃO POPULAR - FORNECIMENTO E INSTALAÇÃO. AF 12/2013</t>
  </si>
  <si>
    <t>TUBO, pvc, SOLDÁVEL, DN 32 MM, INSTALADO EM RESERVATORIO DE ÁGUA DE EDIFICIOS QUE POSSUA RESERVATÓRIO DE FIBRA, FORNECIMENTO E INSTALAÇÃO. AF_06/2016</t>
  </si>
  <si>
    <t>INSTALACOES SANITARIAS/PLUVIAIS</t>
  </si>
  <si>
    <t>5.8 INSTALACOES SANITARIAS/PLUVIAIS</t>
  </si>
  <si>
    <t>5.8</t>
  </si>
  <si>
    <t>5.8.1</t>
  </si>
  <si>
    <t>TUBO pvc, SERIE R, GUA PLUVIAL, DN 50 MM FORNECIDO E INSTALADO EM RA MAL DE ENCAMINHAMENTO. AF 12/2014</t>
  </si>
  <si>
    <t>5.8.2</t>
  </si>
  <si>
    <t>TUBO pvc, SERIE R, AGUA PLUVIAL, DN 50 MM, FORNECIDO E INSTALADO EM RA MAL DE ENCAMINHAMENTO. AF 12/2014</t>
  </si>
  <si>
    <t>5.8.3</t>
  </si>
  <si>
    <t>TUBO pvc, SERIE R, AGUA PLUVIAL, DN 100 MM, FORNECIDO E INSTALADO EM R AMAL DE ENCAMINHAMENTO. AF 12/2014</t>
  </si>
  <si>
    <t>60, 55</t>
  </si>
  <si>
    <t>5.8.4</t>
  </si>
  <si>
    <t>CAIXA DE GORDURA DUPLA EM CONCRETO PREMOLDADO DN 60MM COM TAMPA - FOR NECIMENTO E INSTALACAO</t>
  </si>
  <si>
    <t>Total do item 5.8</t>
  </si>
  <si>
    <t>5.9 INSTALAÇÓES ELÉTRICAS</t>
  </si>
  <si>
    <t>5.9</t>
  </si>
  <si>
    <t>INSTALAÇÓES ELÉTRICAS</t>
  </si>
  <si>
    <t>5.9.1</t>
  </si>
  <si>
    <t>5.9.2</t>
  </si>
  <si>
    <t>5.9.3</t>
  </si>
  <si>
    <r>
      <t>CABO DE COBRE FLEXíVEL ISOLADO, 4 MM</t>
    </r>
    <r>
      <rPr>
        <vertAlign val="superscript"/>
        <sz val="10.5"/>
        <color rgb="FF000000"/>
        <rFont val="Arial"/>
        <family val="2"/>
      </rPr>
      <t xml:space="preserve">2 </t>
    </r>
    <r>
      <rPr>
        <sz val="10.5"/>
        <color rgb="FF000000"/>
        <rFont val="Arial"/>
        <family val="2"/>
      </rPr>
      <t>, ANTICHAMA 450/750 V, PARA CIRC UITOS TERMINAS FORNECIMENTO E INSTALAÇÃO. AF_12/2015</t>
    </r>
  </si>
  <si>
    <t>5.9.4</t>
  </si>
  <si>
    <r>
      <t>CABO DE COBRE FLEXiVEL ISOLADO, 16 MM</t>
    </r>
    <r>
      <rPr>
        <vertAlign val="superscript"/>
        <sz val="10.5"/>
        <color rgb="FF000000"/>
        <rFont val="Arial"/>
        <family val="2"/>
      </rPr>
      <t xml:space="preserve">2 </t>
    </r>
    <r>
      <rPr>
        <sz val="10.5"/>
        <color rgb="FF000000"/>
        <rFont val="Arial"/>
        <family val="2"/>
      </rPr>
      <t>ANTICHAMA 450/750 V, PARA CR CUITOS TERMINAS FORNECIMENTO E INSTALAÇÃO. AF_12/2015</t>
    </r>
  </si>
  <si>
    <t>5.9.5</t>
  </si>
  <si>
    <t>DISJUNTOR MONOPOLAR TIPO DIN, CORRENTE NOMINAL DE 32A - FORNECIMENTO E INSTALAÇÃO. AF 10/2020</t>
  </si>
  <si>
    <t>5.9.6</t>
  </si>
  <si>
    <t>5.9.7</t>
  </si>
  <si>
    <t>5.9.8</t>
  </si>
  <si>
    <t>5.9.9</t>
  </si>
  <si>
    <t>INTERRUPTOR SIMPLES (1 MODULO) COM 1 TOMADA DE EMBUTIR 2P+T 10 A, INC LUINDO SUPORTE E PLACA - FORNECIMENTO E INSTALA Ão. AF 12/2015</t>
  </si>
  <si>
    <t>5.9.10</t>
  </si>
  <si>
    <t>5.9.11</t>
  </si>
  <si>
    <t>5.9.12</t>
  </si>
  <si>
    <t>CABO DE COBRE FLEXIVEL ISOLADO, 1,5 MT, ANTI-CHAMA 450/750 V, PARA ClRCUITOS TERMINAS - FORNECIMENTO E INSTALAÇÃO. AF 12/2015</t>
  </si>
  <si>
    <r>
      <t>CABO DE COBRE FLEX VEL ISOLADO, MM</t>
    </r>
    <r>
      <rPr>
        <vertAlign val="superscript"/>
        <sz val="10.5"/>
        <color rgb="FF000000"/>
        <rFont val="Arial"/>
        <family val="2"/>
      </rPr>
      <t xml:space="preserve">2 </t>
    </r>
    <r>
      <rPr>
        <sz val="10.5"/>
        <color rgb="FF000000"/>
        <rFont val="Arial"/>
        <family val="2"/>
      </rPr>
      <t>, ANTI-CHAMA 450/750 V, PARA ClRCUITOS TERMINAS - FORNECIMENTO E INSTALAÇÃO. AF 12/2015</t>
    </r>
  </si>
  <si>
    <t>DISJUNTOR TERMOMAGNETICO TRIPOLAR PADRAO NEMA (AMERICANO) 60 A IOOA 24 OV FORNECIMENTO E INSTALACAO</t>
  </si>
  <si>
    <t>ELETRODUTO FLEXIVEL CORRUGADO, pvc, DN 32 MM  PARA CIRCUITOS TE RMINAIS, INSTALADO EM FORRO - FORNECIMENTO E INSTALAÇÃO AF 12/2015</t>
  </si>
  <si>
    <t>LUMINARIA TIPO SPOT, DE SOBREPOR, COM 1 LÁMPADA FLUORESCENTE DE 15 W, SEM REATOR FORNECIMENTO E INSTALAÇÃO. AF_02/2020</t>
  </si>
  <si>
    <t>INTERRUPTOR SIMPLES (2 M DULOS) COM 1 TOMADA DE EMBUTIR 2P+T 10 A, IN CLUINDO SUPORTE E PLACA - FORNECIMIENTO E INSTALA Ão. AF 12/2015</t>
  </si>
  <si>
    <t>QUADRO DE DISTRIBUIÇÃO DE ENERGIA EM CHAPA DE AÇO GALVANIZADO, DE EMBUTIR, COM BARRAMENTO TRIFÁSICO, PARA 24 DISJUNTORES DIN IODA - FORNECIMENTO E INSTALAÇÃO. AF 10/2020</t>
  </si>
  <si>
    <t>CAIXA DE PASSAGEM PARA TELEFONE 80X80X15CM (SOBREPOR) FORNECIMENTO E INSTALACAO, AF 11/2019</t>
  </si>
  <si>
    <t>Total do item 5.9</t>
  </si>
  <si>
    <t>5.10 CALÇADA EXTERNA</t>
  </si>
  <si>
    <t>CALÇADA EXTERNA</t>
  </si>
  <si>
    <t>5.10</t>
  </si>
  <si>
    <t>5.10.2</t>
  </si>
  <si>
    <t>5.10.3</t>
  </si>
  <si>
    <t>PLANTIO DE GRAMA EM PLACAS. AF_05/2018</t>
  </si>
  <si>
    <t>5.10.4</t>
  </si>
  <si>
    <t>GUIA (MEIO-FIO) CONCRETO, MOLDADA IN LOCO COM EXTRUSORA 14 CM BASE X 30 CM ALTURA</t>
  </si>
  <si>
    <t>TOTAL DO ITEM 5</t>
  </si>
  <si>
    <t>EXECUÇÃO DE PÁTIO/ESTACIONAMENTO EM PISO INTERTRAVADO, COM BLOCO RETANGULAR COR NATURAL DE 20 X 10 CM, ESPESSURA 6 CM.</t>
  </si>
  <si>
    <t>EXECUÇÃO DE PÁTIO/ESTACIONAMENTO EM PISO INTERTRAVADO, COM BLOCO RETANGULAR COR NATURAL DE 20 X 10 CM, ESPESSURA 10 CM.</t>
  </si>
  <si>
    <t>Total do item 5.10</t>
  </si>
  <si>
    <t>6. EDIFÍCIO CASA DE FORÇA (INVERSORES)</t>
  </si>
  <si>
    <t>6.1</t>
  </si>
  <si>
    <t>6.1.1</t>
  </si>
  <si>
    <t>m²</t>
  </si>
  <si>
    <t>6.1.2</t>
  </si>
  <si>
    <t>REVESTIMENTO CERÂMICO PARA PISO COM PLACAS TIPO GRÉS DE DIMENSÕES 35X35 CM APLICADA EM AMBIENTES DE ÁREA MENOR QUE 5</t>
  </si>
  <si>
    <t>6.1.3</t>
  </si>
  <si>
    <t>00C40</t>
  </si>
  <si>
    <t>RODAPÉ CERÂMICO DE 7CM DE ALTURA COM PLACAS TIPO GRÉS DE DIMENSÕES 35CM. AF 06/2014</t>
  </si>
  <si>
    <t>6.1.4</t>
  </si>
  <si>
    <t>ARMAÇÃO DE PILAR OU VIGA DE UMA ESTRUTURA CONVENCIONAL DE CONCRETO ARMADO EM UMA EDIFICAÇÃO TÉRREA OU SOBRADO UTILIZANDO AÇO CA-60 DE 5.0 MM - MONTAGEM. AF_12/2015</t>
  </si>
  <si>
    <t>kg</t>
  </si>
  <si>
    <t>6.1.5</t>
  </si>
  <si>
    <t>ARMAÇÃO DE PILAR OU VIGA DE UMA ESTRUTURA CONVENCIONAL DE CONCRETO ARMADO EM UMA EDIFICAÇÃO TÉRREA OU SOBRADO UTILIZANDO AÇO CA-50 DE 12.5 MM - MONTAGEM.</t>
  </si>
  <si>
    <t>6.1.6</t>
  </si>
  <si>
    <t>CONCRETO FCK = 20MPA, TRAÇO (CIMENTO/AREIA MÉDIA/BRITA 1) - PREPARO MECÂNICO COM BETONEIRA 400 L. AF_07/2016</t>
  </si>
  <si>
    <t>m³</t>
  </si>
  <si>
    <t>EDIFÍCIO CASA DE FORÇA (INVERSORES)</t>
  </si>
  <si>
    <t>Total do item 6.1</t>
  </si>
  <si>
    <t>6.2</t>
  </si>
  <si>
    <t>6.2.1</t>
  </si>
  <si>
    <t>CHAPISCO APLICADO EM ALVENARIAS E ESTRUTURAS DE CONCRETO INTERNAS, COM COLHER DE PEDREIRO. ARGAMASSA TRAÇO COM PREPARO MANUAL. AF 06/2014</t>
  </si>
  <si>
    <t>Total do item 6.2</t>
  </si>
  <si>
    <t>6.2 REVESTIMENTO DE PAREDES E LAJES</t>
  </si>
  <si>
    <t>6.3</t>
  </si>
  <si>
    <t>6.3.1</t>
  </si>
  <si>
    <t>INSTALAÇÃO DE VIDRO TEMPERADO, IOMM, ENCAIXADO EM PERFIL U. AF 01/2021 P</t>
  </si>
  <si>
    <t>6.3.2</t>
  </si>
  <si>
    <t>4828 COMPOSIÇÃO</t>
  </si>
  <si>
    <t>SOLEIRA/ PEITORIL EM MÁRMORE, POLIDO, BRANCO COMUM, CM, E: CM, CORTE RETO</t>
  </si>
  <si>
    <t>Total do item 6.3</t>
  </si>
  <si>
    <t>6.4.1</t>
  </si>
  <si>
    <t>APLICAÇÃO E LIXAMENTO DE MASSA LÁTEX EM PAREDES, DUAS DEMÃOS. AF 06/2014</t>
  </si>
  <si>
    <t>6.4.2</t>
  </si>
  <si>
    <t>APLICAÇÃO MANUAL DE PINTURA COM TINTA LÁTEX ACRÍLICA EM TETO, DUAS DEMÃOS. AF 06/2014</t>
  </si>
  <si>
    <t>6.4.3</t>
  </si>
  <si>
    <t>APLICAÇÃO DE FUNDO SECADOR ACRÍLICO EM PAREDES, UMA DEMÃO. AF 06/2014</t>
  </si>
  <si>
    <t>Total do item 6.4</t>
  </si>
  <si>
    <t>6.4</t>
  </si>
  <si>
    <t>6.5</t>
  </si>
  <si>
    <t>6.5.1</t>
  </si>
  <si>
    <t>TELHAMENTO COM TELHA METÁLICA TERMOACÚSTICA E = 30 MM, COM ATÉ 2 ÁGUAS INCLUSO IÇAMENTO. AF 06/2016</t>
  </si>
  <si>
    <t>6.5.2</t>
  </si>
  <si>
    <t>FABRICAÇÃO E INSTALAÇÃO DE TESOURA INTERA EM AÇO, VÃO DE 5 M, PARA TELHA ONDULADA DE FIBROCIMENTO, METÁLICA, PLÁSTICA OU TERMOACÚSTICA, INCLUSO IÇAMENTO. AF_12/2015</t>
  </si>
  <si>
    <t>Total do item 6.5</t>
  </si>
  <si>
    <t>6.5 COBERTURA</t>
  </si>
  <si>
    <t>6.6.1</t>
  </si>
  <si>
    <t>39566 COMPOSIÇÃO</t>
  </si>
  <si>
    <t>PLACA / CHAPA DE GESSO ACARTONADO, ACABAMENTO VINÍLICO LISO EM UMA DAS FACES, COR BRANCA, BORDA QUADRADA, E = 9,5 MM, 625 X 625 MM (L X C), PARA FORRO REMOVÍVEL</t>
  </si>
  <si>
    <t>Total do item 6.6</t>
  </si>
  <si>
    <t>6.6</t>
  </si>
  <si>
    <t>6.7.1</t>
  </si>
  <si>
    <t>TUBO, PVC, SOLDÁVEL, DN 25MM, INSTALADO EM DRENO DE AR-CONDICIONADO - FORNECIMENTO E INSTALAÇÃO. AF 12/2014</t>
  </si>
  <si>
    <t>6.7.2</t>
  </si>
  <si>
    <t>43200 COMPOSIÇÃO</t>
  </si>
  <si>
    <t>AR CONDICIONADO SPLIT ON/OFF, CASSETE (TETO), FRIO 4 VIAS 60000 BTUS/H, CLASSIFICAÇÃO ENERGÉTICA C - SECO PROCEL, GÁS HFC, CONTROLE S/ FIO</t>
  </si>
  <si>
    <t>Total do item 6.7</t>
  </si>
  <si>
    <t>6.7 INSTALAÇÕES AR CONDICIONADO</t>
  </si>
  <si>
    <t>INSTALAÇÕES AR CONDICIONADO</t>
  </si>
  <si>
    <t>6.7</t>
  </si>
  <si>
    <t>6.8.1</t>
  </si>
  <si>
    <t>TUBO PVC, SÉRIE R, ÁGUA PLUVIAL, DN 40 MM, FORNECIDO E INSTALADO EM RAMAL DE ENCAMINHAMENTO. AF 12/2014</t>
  </si>
  <si>
    <t>6.8.2</t>
  </si>
  <si>
    <t>TUBO PVC, SÉRIE R, ÁGUA PLUVIAL, DN 50 MM, FORNECIDO E INSTALADO EM RAMAL DE ENCAMINHAMENTO. AF 12/2014</t>
  </si>
  <si>
    <t>6.8.3</t>
  </si>
  <si>
    <t>TUBO PVC, SÉRIE R, ÁGUA PLUVIAL, DN 100 MM, FORNECIDO E INSTALADO EM RAMAL DE ENCAMINHAMENTO. AF 12/2014</t>
  </si>
  <si>
    <t>6.8.4</t>
  </si>
  <si>
    <t>CAIXA DE GORDURA DUPLA EM CONCRETO PRÉ-MOLDADO DN 60 MM COM TAMPA - FORNECIMENTO E INSTALAÇÃO</t>
  </si>
  <si>
    <t>Total do item 6.8</t>
  </si>
  <si>
    <t>6.8 INSTALAÇÕES SANITÁRIAS/PLUVIAIS</t>
  </si>
  <si>
    <t>INSTALAÇÕES SANITÁRIAS/PLUVIAIS</t>
  </si>
  <si>
    <t>6.8</t>
  </si>
  <si>
    <t>6.9 INSTALAÇÕES ELÉTRICAS</t>
  </si>
  <si>
    <t>INSTALAÇÕES ELÉTRICAS</t>
  </si>
  <si>
    <t>6.9</t>
  </si>
  <si>
    <t>6.9.1</t>
  </si>
  <si>
    <t>CABO DE COBRE FLEXÍVEL ISOLADO, 1,5 MM², ANTI-CHAMA 450/750 V, PARA CIRCUITOS TERMINAIS – FORNECIMENTO E INSTALAÇÃO.</t>
  </si>
  <si>
    <t>6.9.2</t>
  </si>
  <si>
    <t>CABO DE COBRE FLEXÍVEL ISOLADO, 2,5 MM², ANTI-CHAMA 450/750 V, PARA CIRCUITOS TERMINAIS – FORNECIMENTO E INSTALAÇÃO. AF 12/2015</t>
  </si>
  <si>
    <t>6.9.3</t>
  </si>
  <si>
    <t>CABO DE COBRE FLEXÍVEL ISOLADO, 4 MM², ANTI-CHAMA 450/750 V, PARA CIRCUITOS TERMINAIS – FORNECIMENTO E INSTALAÇÃO. AF_12/2015</t>
  </si>
  <si>
    <t>6.9.4</t>
  </si>
  <si>
    <t>CABO DE COBRE FLEXÍVEL ISOLADO, 16 MM², ANTI-CHAMA 450/750 V, PARA CIRCUITOS TERMINAIS – FORNECIMENTO E INSTALAÇÃO. AF_12/2015</t>
  </si>
  <si>
    <t>6.9.5</t>
  </si>
  <si>
    <t>DISJUNTOR MONOPOLAR TIPO DIN, CORRENTE NOMINAL DE 32A – FORNECIMENTO E INSTALAÇÃO. AF 10/2020</t>
  </si>
  <si>
    <t>6.9.6</t>
  </si>
  <si>
    <t>DISJUNTOR TERMOMAGNÉTICO TRIPOLAR PADRÃO NEMA (AMERICANO) 60 A 100A 24 OV, FORNECIMENTO E INSTALAÇÃO.</t>
  </si>
  <si>
    <t>6.9.7</t>
  </si>
  <si>
    <t>ELETRODUTO FLEXÍVEL CORRUGADO, PVC, DN 32 MM PARA CIRCUITOS TERMINAIS, INSTALADO EM FORRO – FORNECIMENTO E INSTALAÇÃO. AF 12/2015</t>
  </si>
  <si>
    <t>6.9.8</t>
  </si>
  <si>
    <t>LUMINÁRIA TIPO SPOT, DE SOBREPOR, COM 1 LÂMPADA FLUORESCENTE DE 15 W, SEM REATOR – FORNECIMENTO E INSTALAÇÃO. AF_02/2020</t>
  </si>
  <si>
    <t>6.9.9</t>
  </si>
  <si>
    <t>INTERRUPTOR SIMPLES (1 MÓDULO) COM 1 TOMADA DE EMBUTIR 2P+T 10 A, INCLUINDO SUPORTE E PLACA – FORNECIMENTO E INSTALAÇÃO. AF 12/2015</t>
  </si>
  <si>
    <t>uni</t>
  </si>
  <si>
    <t>6.9.10</t>
  </si>
  <si>
    <t>INTERRUPTOR SIMPLES (2 MÓDULOS) COM 1 TOMADA DE EMBUTIR 2P+T 10 A, INCLUINDO SUPORTE E PLACA – FORNECIMENTO E INSTALAÇÃO. AF 12/2015</t>
  </si>
  <si>
    <t>6.9.11</t>
  </si>
  <si>
    <t>QUADRO DE DISTRIBUIÇÃO DE ENERGIA EM CHAPA DE AÇO GALVANIZADO, DE EMBUTIR, COM BARRAMENTO TRIFÁSICO, PARA 24 DISJUNTORES DIN 100A – FORNECIMENTO E INSTALAÇÃO. AF 10/2020</t>
  </si>
  <si>
    <t>6.9.12</t>
  </si>
  <si>
    <t>CAIXA DE PASSAGEM PARA TELEFONE 80X80X15CM (SOBREPOR) – FORNECIMENTO E INSTALAÇÃO. AF 11/2019</t>
  </si>
  <si>
    <t>Total do item 6.9</t>
  </si>
  <si>
    <t>6.10.1</t>
  </si>
  <si>
    <t>Total do item 6.10</t>
  </si>
  <si>
    <t>6.10 CALÇADA EXTERNA</t>
  </si>
  <si>
    <t>6.10</t>
  </si>
  <si>
    <t>TOTAL DO ITEM 6</t>
  </si>
  <si>
    <t>7.1</t>
  </si>
  <si>
    <t>7.1.1</t>
  </si>
  <si>
    <t>Composição</t>
  </si>
  <si>
    <t>Fornecimento e instalação de Gerador Fotovoltaico de 30.000KWp</t>
  </si>
  <si>
    <t>KWp</t>
  </si>
  <si>
    <t>Total do item 7.1</t>
  </si>
  <si>
    <t>7.2</t>
  </si>
  <si>
    <t>7.2.1</t>
  </si>
  <si>
    <t>Fornecimento e instalação dos Inversores AC DC</t>
  </si>
  <si>
    <t>Total do item 7.2</t>
  </si>
  <si>
    <t>7.3</t>
  </si>
  <si>
    <t>7.3.1</t>
  </si>
  <si>
    <t>Fornecimento e instalação de kit estrutura solo</t>
  </si>
  <si>
    <t>7.2 INVERSORES</t>
  </si>
  <si>
    <t>TOTAL DO ITEM 7</t>
  </si>
  <si>
    <t>7.3 ESTRUTURA DE SUPORTE METÁLICO</t>
  </si>
  <si>
    <t>Total do item 7.3</t>
  </si>
  <si>
    <t>Total do item 5.5</t>
  </si>
  <si>
    <t>Total do do item 5.6</t>
  </si>
  <si>
    <t>Total do item 5.7</t>
  </si>
  <si>
    <t>5.1 EDIFICIOS ESCRITÓRIO E ALMOXARIFADO</t>
  </si>
  <si>
    <t>Total do item 5.1</t>
  </si>
  <si>
    <t>5.3.1</t>
  </si>
  <si>
    <t>1 1868 COMPOSIÇÃO</t>
  </si>
  <si>
    <t>INSTALAÇÕES ELÉTRICAS EXTERNAS</t>
  </si>
  <si>
    <t>8.1</t>
  </si>
  <si>
    <t>ESCAVAÇÃO MECANIZADA DE VALA COM PROF. ATÉ 1,5 M (MÉDIA ENTRE MONTANTE E JUSANTE/UMA COMPOSIÇÃO POR TRECHO) COM RETROESCAVADEIRA (0,26 M3/188 HP), LARG. MENOR QUE 0,8 M, EM SOLO MOLE, LOCAIS COM BAIXO NÍVEL DE INTERFERÊNCIA. AF 02/2021</t>
  </si>
  <si>
    <t>8 INSTALAÇÕES ELÉTRICAS EXTERNAS</t>
  </si>
  <si>
    <t>8.2</t>
  </si>
  <si>
    <t>REATERRO MECANIZADO DE VALA COM ESCAVADEIRA HIDRÁULICA (CAPACIDADE DA CAÇAMBA: 0,8 M3 / POTÊNCIA: 111 HP), LARGURA ATÉ 1,5 M, PROFUNDIDADE E A 3,0 M, COM SOLO DE 1ª CATEGORIA EM LOCAIS COM BAIXO NÍVEL DE INTERFERÊNCIA. AF 04/2016</t>
  </si>
  <si>
    <t>TOTAL DO ITEM 8</t>
  </si>
  <si>
    <t>Total do item 8</t>
  </si>
  <si>
    <t>9.1</t>
  </si>
  <si>
    <t xml:space="preserve">9 SUBESTAÇÃO						</t>
  </si>
  <si>
    <t>Total do item 9</t>
  </si>
  <si>
    <t>10.1</t>
  </si>
  <si>
    <t>ENGENHEIRO DE OBRA PLENO (IH DIA)</t>
  </si>
  <si>
    <t>10.2</t>
  </si>
  <si>
    <t>MESTRE DE OBRAS</t>
  </si>
  <si>
    <t>MÊS</t>
  </si>
  <si>
    <t>10.3</t>
  </si>
  <si>
    <t>VIGIA NOTURNO (8H DIA)</t>
  </si>
  <si>
    <t>10.4</t>
  </si>
  <si>
    <t>TOPÓGRAFO COM ENCARGOS COMPLEMENTARES</t>
  </si>
  <si>
    <t xml:space="preserve">10 ADMINISTRAÇÃO					</t>
  </si>
  <si>
    <t xml:space="preserve"> ADMINISTRAÇÃO</t>
  </si>
  <si>
    <t>Total do item 10</t>
  </si>
  <si>
    <t>1.1</t>
  </si>
  <si>
    <t>5.10.1</t>
  </si>
  <si>
    <t>TOTAL GERAL</t>
  </si>
  <si>
    <t>Item</t>
  </si>
  <si>
    <t>Descrição</t>
  </si>
  <si>
    <t>TOTAL</t>
  </si>
  <si>
    <t>Total</t>
  </si>
  <si>
    <t>9.2</t>
  </si>
  <si>
    <t>Subestação não abrigada 380/34,5KV 2.500Va</t>
  </si>
  <si>
    <t>Subestação Principal 25.000KVA, conecxao em 380/34,5KV, ou 69KV, ou 134KV</t>
  </si>
  <si>
    <t xml:space="preserve">RESSARCIMENTO CUSTOS ESTUDO DE VIABILIDADE				</t>
  </si>
  <si>
    <t>0.1</t>
  </si>
  <si>
    <t xml:space="preserve">ELABORAÇÃO DE ESTUDOS E PROJETOS - VIABILIDADE </t>
  </si>
  <si>
    <t>Total do item 0.1</t>
  </si>
  <si>
    <t>1.0</t>
  </si>
  <si>
    <t>2.0</t>
  </si>
  <si>
    <t>MOVIMENTO DE TERRA E DRENAGEM</t>
  </si>
  <si>
    <t>3.0</t>
  </si>
  <si>
    <t>CERCAMENTO DO TERRENO</t>
  </si>
  <si>
    <t>4.0</t>
  </si>
  <si>
    <t>5.0</t>
  </si>
  <si>
    <t>FUNDAÇÃO DAS ESTRUTURAS DOS PAINÉIS</t>
  </si>
  <si>
    <t>EDIFICIOS ESCRITÓRIO E ALMOXARIFADO</t>
  </si>
  <si>
    <t>PINTURA/PREPARAÇÃO</t>
  </si>
  <si>
    <t>COBERTURA/MADEIRAMENTO</t>
  </si>
  <si>
    <t>DIVISÓRIAS ACARTONADA</t>
  </si>
  <si>
    <t>INSTALAÇÕES ELÉTRICAS INTERNAS</t>
  </si>
  <si>
    <t>MÓDULOS FOTOVOLTAICAS</t>
  </si>
  <si>
    <t>INVERSORES</t>
  </si>
  <si>
    <t>ESTRUTURA DE SOLO - USINA SOLAR</t>
  </si>
  <si>
    <t>SUBESTAÇÃO</t>
  </si>
  <si>
    <t>ADMINISTRAÇÃO</t>
  </si>
  <si>
    <t>ESQUADRIAS DE MADEIRA</t>
  </si>
  <si>
    <t>5.3 ESQUADRIAS DE MADEIRA</t>
  </si>
  <si>
    <t>6.3 ESQUADRIAS DE VIDROS</t>
  </si>
  <si>
    <t>ESQUADRIAS DE VIDROS</t>
  </si>
  <si>
    <t>5.4 PINTURA/ACABAMENTO</t>
  </si>
  <si>
    <t>PINTURA/ACABAMENTO</t>
  </si>
  <si>
    <t>RESSARCIMENTO CUSTOS ESTUDOS VIAB.</t>
  </si>
  <si>
    <t>-</t>
  </si>
  <si>
    <t>PERCENTUAL (%)</t>
  </si>
  <si>
    <t>6.4 PINTURA/PREPARAÇÃO</t>
  </si>
  <si>
    <t>6.6 DIVISÓRIAS ACARTONADA</t>
  </si>
  <si>
    <t>7.1 MÓDULOS FOTOVOLTAICAS</t>
  </si>
  <si>
    <t>Receitas totais energia elétrica liquida</t>
  </si>
  <si>
    <t>Ano 2</t>
  </si>
  <si>
    <t>Ano 3</t>
  </si>
  <si>
    <t>Ano 4</t>
  </si>
  <si>
    <t>ano 5</t>
  </si>
  <si>
    <t>Ano 6</t>
  </si>
  <si>
    <t>Ano 7</t>
  </si>
  <si>
    <t>Ano 8</t>
  </si>
  <si>
    <t>Ano 9</t>
  </si>
  <si>
    <t>Ano 10</t>
  </si>
  <si>
    <t>Ano 11</t>
  </si>
  <si>
    <t>Ano 12</t>
  </si>
  <si>
    <t>Ano 13</t>
  </si>
  <si>
    <t>Ano 14</t>
  </si>
  <si>
    <t>Ano 15</t>
  </si>
  <si>
    <t>Ano 20</t>
  </si>
  <si>
    <t>Ano 25</t>
  </si>
  <si>
    <t>Ref.</t>
  </si>
  <si>
    <t>Qtde. Liquida produzida</t>
  </si>
  <si>
    <t>Taxa de energia consumida pelo município</t>
  </si>
  <si>
    <t>Valor unitáno poder público (R$)</t>
  </si>
  <si>
    <t>Valor total do consumo poder público</t>
  </si>
  <si>
    <t>Valor outras receitas</t>
  </si>
  <si>
    <t>Capacidade de Produção</t>
  </si>
  <si>
    <t>Ano 1</t>
  </si>
  <si>
    <t>Índice de redução de eficiencia (% a.a) 25 anos</t>
  </si>
  <si>
    <t>KW/h</t>
  </si>
  <si>
    <t>Ano Incio</t>
  </si>
  <si>
    <t xml:space="preserve">Valor unitario das receitas </t>
  </si>
  <si>
    <t>Valor unitario Receita com desconto 10%</t>
  </si>
  <si>
    <t>item</t>
  </si>
  <si>
    <t>Receitas totais *</t>
  </si>
  <si>
    <t>*Receitas totais com medição a geração de energia com depreciação de geraçao sem os aumentos previstos no Caderno de desempenho Item 5 (5.3)</t>
  </si>
  <si>
    <t>* 5.1 A PARCELA REMUNERATÓRIA MENSAL corresponde ao valor estabelecido para o VALOR DE CONTRAPRESTAÇÃO MENSAL que a LICITANTE espera receber, definido a partir do lance vencedor do certame, conforme identificado no CONTRATO.
5.2 O valor do CONTRATO será estabelecido a partir da PARCELA REMUNERATÓRIA MENSAL acumulada para o período de vigência da OPERAÇÃO da(s) USINA(S) SOLAR(ES) FOTOVOLTAICA(S), o que corresponde ao total de 300 (trezentos) PARCELAS REMUNERATÓRIAS MENSAIS.
5.3 O valor da PARCELA REMUNERATÓRIA MENSAL será reajustado a cada doze meses de CONTRATO, sendo 50% pela variação anual do IPC-A e 50% pela variação anual do IGPM; ou outro índice que vier a substitui-lo.</t>
  </si>
  <si>
    <t>Mensal</t>
  </si>
  <si>
    <t>Anual</t>
  </si>
  <si>
    <t>Agua e esgoto</t>
  </si>
  <si>
    <t>Energia</t>
  </si>
  <si>
    <t>Telefone / Internet</t>
  </si>
  <si>
    <t>Material de Limpeza/consumo</t>
  </si>
  <si>
    <t>Honorarios contabeis</t>
  </si>
  <si>
    <t>Honorários advocatícios</t>
  </si>
  <si>
    <t>Associa -es de classe</t>
  </si>
  <si>
    <t>Outras despesas contingenciadas</t>
  </si>
  <si>
    <t>Aluguel de software</t>
  </si>
  <si>
    <t>Seguro obra Civil - durante a obra</t>
  </si>
  <si>
    <t>Seguro Patrimonial- durante contrato</t>
  </si>
  <si>
    <t>Seguro de veículos</t>
  </si>
  <si>
    <t>Bens de uso de pequeno valor</t>
  </si>
  <si>
    <t>Material de Escritório</t>
  </si>
  <si>
    <t>Despesas com correios e fretes</t>
  </si>
  <si>
    <t>Despesas com veículos (manut e combustiveis</t>
  </si>
  <si>
    <t>Lanches e refeições</t>
  </si>
  <si>
    <t>IPTU</t>
  </si>
  <si>
    <t>IPVA/Seguro/licenciamento veículos</t>
  </si>
  <si>
    <t>IOF</t>
  </si>
  <si>
    <t>Taxa de alvará</t>
  </si>
  <si>
    <t>Demais impostos, taxas e emolumentos</t>
  </si>
  <si>
    <t>DESPESAS COM PESSOAL</t>
  </si>
  <si>
    <t>Salários e ordenados</t>
  </si>
  <si>
    <t>Manutenção de ar condicionado (contrato mensal)</t>
  </si>
  <si>
    <t>Propaganda, publicidade e patrocínio</t>
  </si>
  <si>
    <t>Aluguel Equipamentos</t>
  </si>
  <si>
    <t>Encargos sociais FGTS/INSS+encargos sociais</t>
  </si>
  <si>
    <t>Prö labore</t>
  </si>
  <si>
    <t>Depreciação e amortização do setor de geração Módulos de geração de energia fotovoltaica  (25 anos)
Ref. R$ 102.951.600,00</t>
  </si>
  <si>
    <t>Depreciação e amortização do setor de geração Inversores (10 anos)                                                      Ref. R$ 4.756.374,00</t>
  </si>
  <si>
    <t>CUSTOS E DESPESAS ADMINISTRATIVAS/OPERACIONAIS</t>
  </si>
  <si>
    <t>FORMAÇÃO DO CUSTO UNITÁRIO POR KWh</t>
  </si>
  <si>
    <t>Custos e tributos</t>
  </si>
  <si>
    <t>Provisão para IPRJ</t>
  </si>
  <si>
    <t>Provisão para CSLL</t>
  </si>
  <si>
    <t>ICMS s vendas</t>
  </si>
  <si>
    <t>PIS e COFINS</t>
  </si>
  <si>
    <t>ISS</t>
  </si>
  <si>
    <t>Taxa de Fiscalização de Serviço de Energia Elétrica (TFSEE)</t>
  </si>
  <si>
    <t>Taxa de regularização/fiscalização</t>
  </si>
  <si>
    <t xml:space="preserve">Total dos custos e despesas </t>
  </si>
  <si>
    <t>Custos e despesas totais mensais</t>
  </si>
  <si>
    <t xml:space="preserve">R$ </t>
  </si>
  <si>
    <t>Produção total de energia no mês em KWh</t>
  </si>
  <si>
    <t>Custo unitario sem impostos e margem de lucro</t>
  </si>
  <si>
    <t>Custos variaveis</t>
  </si>
  <si>
    <t>Margem de lucro desejada</t>
  </si>
  <si>
    <t>Preço de venda</t>
  </si>
  <si>
    <t>Indices de custos</t>
  </si>
  <si>
    <t>EBITDA (R$)</t>
  </si>
  <si>
    <t>Impostos (R$)</t>
  </si>
  <si>
    <t>Ano 5</t>
  </si>
  <si>
    <t>Ano 16</t>
  </si>
  <si>
    <t>Ano 17</t>
  </si>
  <si>
    <t>Ano 18</t>
  </si>
  <si>
    <t>Ano 19</t>
  </si>
  <si>
    <t>Ano 21</t>
  </si>
  <si>
    <t>Ano 22</t>
  </si>
  <si>
    <t>Ano 23</t>
  </si>
  <si>
    <t>Ano 24</t>
  </si>
  <si>
    <t>Receita</t>
  </si>
  <si>
    <t>Bruta (R$)</t>
  </si>
  <si>
    <t>Custos</t>
  </si>
  <si>
    <t>Operacionais (R$)</t>
  </si>
  <si>
    <t xml:space="preserve">Custos  </t>
  </si>
  <si>
    <t>Financeiros (R$)</t>
  </si>
  <si>
    <t>Simples (R$)</t>
  </si>
  <si>
    <t xml:space="preserve">Fluxo de Caixa </t>
  </si>
  <si>
    <t xml:space="preserve"> Descontado (R$)</t>
  </si>
  <si>
    <t>Fluxo de Caixa</t>
  </si>
  <si>
    <t>ANO</t>
  </si>
  <si>
    <t>FC Simples (R$)</t>
  </si>
  <si>
    <t xml:space="preserve">Acumulado </t>
  </si>
  <si>
    <t>FC Descontado (R$)</t>
  </si>
  <si>
    <t>Descontado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</si>
</sst>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0.0000"/>
  </numFmts>
  <fonts count="4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.5"/>
      <color rgb="FF000000"/>
      <name val="Arial"/>
      <family val="2"/>
    </font>
    <font>
      <vertAlign val="superscript"/>
      <sz val="10.5"/>
      <color rgb="FF000000"/>
      <name val="Arial"/>
      <family val="2"/>
    </font>
    <font>
      <sz val="14"/>
      <color rgb="FF000000"/>
      <name val="Arial"/>
      <family val="2"/>
    </font>
    <font>
      <sz val="16"/>
      <color rgb="FF000000"/>
      <name val="Arial"/>
      <family val="2"/>
    </font>
    <font>
      <sz val="10"/>
      <color rgb="FF000000"/>
      <name val="Arial"/>
      <family val="2"/>
    </font>
    <font>
      <b/>
      <sz val="16"/>
      <color rgb="FF00000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b/>
      <vertAlign val="superscript"/>
      <sz val="14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6"/>
      <color theme="1"/>
      <name val="Aptos Narrow"/>
      <family val="2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36"/>
      <color theme="1"/>
      <name val="Arial"/>
      <family val="2"/>
    </font>
    <font>
      <b/>
      <sz val="36"/>
      <color theme="1"/>
      <name val="Arial"/>
      <family val="2"/>
    </font>
    <font>
      <sz val="8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Aptos Narrow"/>
      <family val="2"/>
      <scheme val="minor"/>
    </font>
    <font>
      <sz val="7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sz val="11"/>
      <name val="Arial"/>
      <family val="2"/>
    </font>
    <font>
      <b/>
      <sz val="10.5"/>
      <color rgb="FF000000"/>
      <name val="Arial"/>
      <family val="2"/>
    </font>
    <font>
      <b/>
      <sz val="10.5"/>
      <color theme="1"/>
      <name val="Arial"/>
      <family val="2"/>
    </font>
    <font>
      <sz val="10.5"/>
      <color theme="1"/>
      <name val="Arial"/>
      <family val="2"/>
    </font>
    <font>
      <sz val="10.5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2">
    <xf numFmtId="0" fontId="0" fillId="0" borderId="0" xfId="0"/>
    <xf numFmtId="0" fontId="0" fillId="2" borderId="0" xfId="0" applyFill="1"/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6" fillId="0" borderId="1" xfId="1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8" fontId="6" fillId="0" borderId="1" xfId="0" applyNumberFormat="1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4" fillId="0" borderId="0" xfId="0" applyFont="1"/>
    <xf numFmtId="0" fontId="15" fillId="0" borderId="0" xfId="0" applyFont="1"/>
    <xf numFmtId="164" fontId="6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3" borderId="0" xfId="0" applyFill="1"/>
    <xf numFmtId="164" fontId="16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vertical="center" wrapText="1"/>
    </xf>
    <xf numFmtId="0" fontId="2" fillId="0" borderId="0" xfId="0" applyFont="1"/>
    <xf numFmtId="0" fontId="0" fillId="0" borderId="1" xfId="0" applyBorder="1"/>
    <xf numFmtId="4" fontId="6" fillId="0" borderId="0" xfId="0" applyNumberFormat="1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8" fontId="16" fillId="0" borderId="1" xfId="0" applyNumberFormat="1" applyFont="1" applyBorder="1" applyAlignment="1">
      <alignment horizontal="center" vertical="center" wrapText="1"/>
    </xf>
    <xf numFmtId="164" fontId="0" fillId="0" borderId="0" xfId="0" applyNumberFormat="1"/>
    <xf numFmtId="4" fontId="16" fillId="0" borderId="1" xfId="0" applyNumberFormat="1" applyFont="1" applyBorder="1" applyAlignment="1">
      <alignment horizontal="center" vertical="center" wrapText="1"/>
    </xf>
    <xf numFmtId="3" fontId="16" fillId="0" borderId="1" xfId="0" applyNumberFormat="1" applyFont="1" applyBorder="1" applyAlignment="1">
      <alignment horizontal="center" vertical="center" wrapText="1"/>
    </xf>
    <xf numFmtId="164" fontId="22" fillId="3" borderId="1" xfId="0" applyNumberFormat="1" applyFont="1" applyFill="1" applyBorder="1" applyAlignment="1">
      <alignment horizontal="center" vertical="center"/>
    </xf>
    <xf numFmtId="8" fontId="22" fillId="3" borderId="1" xfId="0" applyNumberFormat="1" applyFont="1" applyFill="1" applyBorder="1" applyAlignment="1">
      <alignment horizontal="center" vertical="center"/>
    </xf>
    <xf numFmtId="8" fontId="22" fillId="3" borderId="4" xfId="0" applyNumberFormat="1" applyFont="1" applyFill="1" applyBorder="1" applyAlignment="1">
      <alignment horizontal="center" vertical="center" wrapText="1"/>
    </xf>
    <xf numFmtId="164" fontId="22" fillId="3" borderId="2" xfId="0" applyNumberFormat="1" applyFont="1" applyFill="1" applyBorder="1" applyAlignment="1">
      <alignment horizontal="center" vertical="center" wrapText="1"/>
    </xf>
    <xf numFmtId="164" fontId="22" fillId="3" borderId="1" xfId="0" applyNumberFormat="1" applyFont="1" applyFill="1" applyBorder="1" applyAlignment="1">
      <alignment horizontal="center" vertical="center" wrapText="1"/>
    </xf>
    <xf numFmtId="8" fontId="22" fillId="3" borderId="1" xfId="0" applyNumberFormat="1" applyFont="1" applyFill="1" applyBorder="1" applyAlignment="1">
      <alignment horizontal="center" vertical="center" wrapText="1"/>
    </xf>
    <xf numFmtId="164" fontId="19" fillId="3" borderId="1" xfId="0" applyNumberFormat="1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4" fontId="8" fillId="3" borderId="2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8" fontId="8" fillId="3" borderId="1" xfId="0" applyNumberFormat="1" applyFont="1" applyFill="1" applyBorder="1" applyAlignment="1">
      <alignment horizontal="center" vertical="center" wrapText="1"/>
    </xf>
    <xf numFmtId="164" fontId="22" fillId="3" borderId="13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15" fillId="2" borderId="0" xfId="0" applyFont="1" applyFill="1"/>
    <xf numFmtId="8" fontId="22" fillId="3" borderId="4" xfId="0" applyNumberFormat="1" applyFont="1" applyFill="1" applyBorder="1" applyAlignment="1">
      <alignment horizontal="center" vertical="center"/>
    </xf>
    <xf numFmtId="0" fontId="17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0" fontId="10" fillId="3" borderId="1" xfId="0" applyNumberFormat="1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164" fontId="6" fillId="0" borderId="6" xfId="1" applyNumberFormat="1" applyFont="1" applyBorder="1" applyAlignment="1">
      <alignment horizontal="center" vertical="center" wrapText="1"/>
    </xf>
    <xf numFmtId="8" fontId="8" fillId="3" borderId="6" xfId="1" applyNumberFormat="1" applyFont="1" applyFill="1" applyBorder="1" applyAlignment="1">
      <alignment horizontal="center" vertical="center" wrapText="1"/>
    </xf>
    <xf numFmtId="8" fontId="21" fillId="3" borderId="6" xfId="0" applyNumberFormat="1" applyFont="1" applyFill="1" applyBorder="1" applyAlignment="1">
      <alignment vertical="center"/>
    </xf>
    <xf numFmtId="164" fontId="21" fillId="3" borderId="1" xfId="0" applyNumberFormat="1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4" fontId="19" fillId="3" borderId="1" xfId="0" applyNumberFormat="1" applyFont="1" applyFill="1" applyBorder="1" applyAlignment="1">
      <alignment vertical="center"/>
    </xf>
    <xf numFmtId="8" fontId="22" fillId="3" borderId="1" xfId="0" applyNumberFormat="1" applyFont="1" applyFill="1" applyBorder="1" applyAlignment="1">
      <alignment vertical="center"/>
    </xf>
    <xf numFmtId="0" fontId="26" fillId="0" borderId="0" xfId="0" applyFont="1"/>
    <xf numFmtId="0" fontId="27" fillId="3" borderId="0" xfId="0" applyFont="1" applyFill="1"/>
    <xf numFmtId="0" fontId="28" fillId="3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164" fontId="28" fillId="0" borderId="1" xfId="0" applyNumberFormat="1" applyFont="1" applyBorder="1" applyAlignment="1">
      <alignment horizontal="center" vertical="center" wrapText="1"/>
    </xf>
    <xf numFmtId="2" fontId="28" fillId="0" borderId="1" xfId="2" applyNumberFormat="1" applyFont="1" applyBorder="1"/>
    <xf numFmtId="165" fontId="28" fillId="0" borderId="1" xfId="2" applyNumberFormat="1" applyFont="1" applyBorder="1"/>
    <xf numFmtId="164" fontId="29" fillId="3" borderId="1" xfId="0" applyNumberFormat="1" applyFont="1" applyFill="1" applyBorder="1" applyAlignment="1">
      <alignment horizontal="center" vertical="center" wrapText="1"/>
    </xf>
    <xf numFmtId="2" fontId="30" fillId="3" borderId="1" xfId="2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1" fillId="4" borderId="1" xfId="0" applyFont="1" applyFill="1" applyBorder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0" fillId="3" borderId="1" xfId="0" applyFill="1" applyBorder="1"/>
    <xf numFmtId="0" fontId="15" fillId="3" borderId="1" xfId="0" applyFont="1" applyFill="1" applyBorder="1"/>
    <xf numFmtId="0" fontId="15" fillId="4" borderId="1" xfId="0" applyFont="1" applyFill="1" applyBorder="1" applyAlignment="1">
      <alignment horizontal="right" vertical="center" wrapText="1"/>
    </xf>
    <xf numFmtId="8" fontId="15" fillId="4" borderId="1" xfId="0" applyNumberFormat="1" applyFont="1" applyFill="1" applyBorder="1" applyAlignment="1">
      <alignment horizontal="right" vertical="center"/>
    </xf>
    <xf numFmtId="8" fontId="15" fillId="4" borderId="1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34" fillId="0" borderId="0" xfId="0" applyFont="1" applyAlignment="1">
      <alignment horizontal="right" vertical="center"/>
    </xf>
    <xf numFmtId="0" fontId="33" fillId="3" borderId="1" xfId="0" applyFont="1" applyFill="1" applyBorder="1" applyAlignment="1">
      <alignment horizontal="center" vertical="center"/>
    </xf>
    <xf numFmtId="3" fontId="35" fillId="2" borderId="1" xfId="0" applyNumberFormat="1" applyFont="1" applyFill="1" applyBorder="1" applyAlignment="1">
      <alignment horizontal="right" vertical="center" wrapText="1"/>
    </xf>
    <xf numFmtId="9" fontId="15" fillId="4" borderId="1" xfId="0" applyNumberFormat="1" applyFont="1" applyFill="1" applyBorder="1" applyAlignment="1">
      <alignment horizontal="right" vertical="center" wrapText="1"/>
    </xf>
    <xf numFmtId="10" fontId="15" fillId="0" borderId="1" xfId="0" applyNumberFormat="1" applyFont="1" applyBorder="1" applyAlignment="1">
      <alignment horizontal="right" vertical="center" wrapText="1"/>
    </xf>
    <xf numFmtId="3" fontId="15" fillId="4" borderId="1" xfId="0" applyNumberFormat="1" applyFont="1" applyFill="1" applyBorder="1" applyAlignment="1">
      <alignment horizontal="right" vertical="center" wrapText="1"/>
    </xf>
    <xf numFmtId="0" fontId="35" fillId="2" borderId="1" xfId="0" applyFont="1" applyFill="1" applyBorder="1" applyAlignment="1">
      <alignment horizontal="right" vertical="center" wrapText="1"/>
    </xf>
    <xf numFmtId="0" fontId="15" fillId="0" borderId="1" xfId="0" applyFont="1" applyBorder="1" applyAlignment="1">
      <alignment horizontal="right" vertical="center" wrapText="1"/>
    </xf>
    <xf numFmtId="9" fontId="35" fillId="2" borderId="1" xfId="0" applyNumberFormat="1" applyFont="1" applyFill="1" applyBorder="1" applyAlignment="1">
      <alignment horizontal="right" vertical="center" wrapText="1"/>
    </xf>
    <xf numFmtId="164" fontId="35" fillId="2" borderId="1" xfId="0" applyNumberFormat="1" applyFont="1" applyFill="1" applyBorder="1" applyAlignment="1">
      <alignment horizontal="right" vertical="center" wrapText="1"/>
    </xf>
    <xf numFmtId="8" fontId="15" fillId="0" borderId="1" xfId="0" applyNumberFormat="1" applyFont="1" applyBorder="1" applyAlignment="1">
      <alignment horizontal="right" vertical="center"/>
    </xf>
    <xf numFmtId="0" fontId="35" fillId="3" borderId="1" xfId="0" applyFont="1" applyFill="1" applyBorder="1" applyAlignment="1">
      <alignment horizontal="righ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 wrapText="1"/>
    </xf>
    <xf numFmtId="0" fontId="38" fillId="4" borderId="1" xfId="0" applyFont="1" applyFill="1" applyBorder="1" applyAlignment="1">
      <alignment horizontal="left" vertical="center" wrapText="1" indent="4"/>
    </xf>
    <xf numFmtId="0" fontId="3" fillId="4" borderId="1" xfId="0" applyFont="1" applyFill="1" applyBorder="1" applyAlignment="1">
      <alignment horizontal="center" vertical="center" wrapText="1"/>
    </xf>
    <xf numFmtId="0" fontId="38" fillId="0" borderId="1" xfId="0" applyFont="1" applyBorder="1" applyAlignment="1">
      <alignment horizontal="left" vertical="center" wrapText="1"/>
    </xf>
    <xf numFmtId="8" fontId="38" fillId="0" borderId="1" xfId="0" applyNumberFormat="1" applyFont="1" applyBorder="1" applyAlignment="1">
      <alignment horizontal="left" vertical="center" wrapText="1"/>
    </xf>
    <xf numFmtId="0" fontId="38" fillId="4" borderId="1" xfId="0" applyFont="1" applyFill="1" applyBorder="1" applyAlignment="1">
      <alignment horizontal="right" vertical="center" wrapText="1"/>
    </xf>
    <xf numFmtId="0" fontId="38" fillId="0" borderId="1" xfId="0" applyFont="1" applyBorder="1" applyAlignment="1">
      <alignment horizontal="left" vertical="center" wrapText="1" indent="2"/>
    </xf>
    <xf numFmtId="0" fontId="3" fillId="4" borderId="1" xfId="0" applyFont="1" applyFill="1" applyBorder="1" applyAlignment="1">
      <alignment horizontal="left" vertical="center" wrapText="1"/>
    </xf>
    <xf numFmtId="0" fontId="37" fillId="0" borderId="1" xfId="0" applyFont="1" applyBorder="1" applyAlignment="1">
      <alignment horizontal="center" vertical="center" wrapText="1"/>
    </xf>
    <xf numFmtId="164" fontId="38" fillId="0" borderId="1" xfId="0" applyNumberFormat="1" applyFont="1" applyBorder="1" applyAlignment="1">
      <alignment vertical="center" wrapText="1"/>
    </xf>
    <xf numFmtId="3" fontId="38" fillId="3" borderId="1" xfId="0" applyNumberFormat="1" applyFont="1" applyFill="1" applyBorder="1" applyAlignment="1">
      <alignment vertical="center" wrapText="1"/>
    </xf>
    <xf numFmtId="164" fontId="38" fillId="0" borderId="1" xfId="0" applyNumberFormat="1" applyFont="1" applyBorder="1" applyAlignment="1">
      <alignment horizontal="right" vertical="center" wrapText="1"/>
    </xf>
    <xf numFmtId="164" fontId="0" fillId="3" borderId="1" xfId="0" applyNumberFormat="1" applyFill="1" applyBorder="1"/>
    <xf numFmtId="0" fontId="38" fillId="0" borderId="1" xfId="0" applyFont="1" applyBorder="1" applyAlignment="1">
      <alignment horizontal="justify" vertical="center" wrapText="1"/>
    </xf>
    <xf numFmtId="0" fontId="38" fillId="4" borderId="1" xfId="0" applyFont="1" applyFill="1" applyBorder="1" applyAlignment="1">
      <alignment horizontal="justify" vertical="center" wrapText="1"/>
    </xf>
    <xf numFmtId="0" fontId="36" fillId="4" borderId="1" xfId="0" applyFont="1" applyFill="1" applyBorder="1" applyAlignment="1">
      <alignment horizontal="justify" vertical="center" wrapText="1"/>
    </xf>
    <xf numFmtId="0" fontId="37" fillId="0" borderId="1" xfId="0" applyFont="1" applyBorder="1" applyAlignment="1">
      <alignment horizontal="justify" vertical="center" wrapText="1"/>
    </xf>
    <xf numFmtId="0" fontId="3" fillId="4" borderId="1" xfId="0" applyFont="1" applyFill="1" applyBorder="1" applyAlignment="1">
      <alignment horizontal="justify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/>
    </xf>
    <xf numFmtId="0" fontId="15" fillId="3" borderId="10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1" fillId="3" borderId="1" xfId="0" applyFont="1" applyFill="1" applyBorder="1" applyAlignment="1">
      <alignment horizontal="center" vertical="center"/>
    </xf>
    <xf numFmtId="164" fontId="21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6" fillId="0" borderId="1" xfId="1" applyNumberFormat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 indent="1"/>
    </xf>
    <xf numFmtId="164" fontId="8" fillId="3" borderId="1" xfId="1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" fontId="6" fillId="0" borderId="2" xfId="0" applyNumberFormat="1" applyFont="1" applyBorder="1" applyAlignment="1">
      <alignment horizontal="center" vertical="center" wrapText="1"/>
    </xf>
    <xf numFmtId="4" fontId="6" fillId="0" borderId="3" xfId="0" applyNumberFormat="1" applyFont="1" applyBorder="1" applyAlignment="1">
      <alignment horizontal="center" vertical="center" wrapText="1"/>
    </xf>
    <xf numFmtId="4" fontId="6" fillId="0" borderId="4" xfId="0" applyNumberFormat="1" applyFont="1" applyBorder="1" applyAlignment="1">
      <alignment horizontal="center" vertical="center" wrapText="1"/>
    </xf>
    <xf numFmtId="164" fontId="6" fillId="0" borderId="2" xfId="1" applyNumberFormat="1" applyFont="1" applyBorder="1" applyAlignment="1">
      <alignment horizontal="center" vertical="center" wrapText="1"/>
    </xf>
    <xf numFmtId="164" fontId="6" fillId="0" borderId="3" xfId="1" applyNumberFormat="1" applyFont="1" applyBorder="1" applyAlignment="1">
      <alignment horizontal="center" vertical="center" wrapText="1"/>
    </xf>
    <xf numFmtId="164" fontId="6" fillId="0" borderId="4" xfId="1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8" fontId="6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8" fontId="6" fillId="0" borderId="2" xfId="0" applyNumberFormat="1" applyFont="1" applyBorder="1" applyAlignment="1">
      <alignment horizontal="center" vertical="center" wrapText="1"/>
    </xf>
    <xf numFmtId="8" fontId="6" fillId="0" borderId="4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164" fontId="6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15" fillId="0" borderId="5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8" fillId="3" borderId="7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64" fontId="8" fillId="3" borderId="9" xfId="0" applyNumberFormat="1" applyFont="1" applyFill="1" applyBorder="1" applyAlignment="1">
      <alignment horizontal="center" vertical="center" wrapText="1"/>
    </xf>
    <xf numFmtId="164" fontId="8" fillId="3" borderId="5" xfId="0" applyNumberFormat="1" applyFont="1" applyFill="1" applyBorder="1" applyAlignment="1">
      <alignment horizontal="center" vertical="center" wrapText="1"/>
    </xf>
    <xf numFmtId="164" fontId="8" fillId="3" borderId="10" xfId="0" applyNumberFormat="1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2" fillId="3" borderId="5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18" fillId="3" borderId="9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22" fillId="3" borderId="14" xfId="0" applyFont="1" applyFill="1" applyBorder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22" fillId="3" borderId="15" xfId="0" applyFont="1" applyFill="1" applyBorder="1" applyAlignment="1">
      <alignment horizontal="center" vertical="center"/>
    </xf>
    <xf numFmtId="0" fontId="22" fillId="3" borderId="6" xfId="0" applyFont="1" applyFill="1" applyBorder="1" applyAlignment="1">
      <alignment horizontal="center" vertical="center" wrapText="1"/>
    </xf>
    <xf numFmtId="0" fontId="22" fillId="3" borderId="8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wrapText="1"/>
    </xf>
    <xf numFmtId="0" fontId="21" fillId="3" borderId="6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 wrapText="1"/>
    </xf>
    <xf numFmtId="0" fontId="21" fillId="3" borderId="14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1" fillId="3" borderId="15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/>
    </xf>
    <xf numFmtId="8" fontId="24" fillId="2" borderId="1" xfId="0" applyNumberFormat="1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9" fillId="3" borderId="6" xfId="0" applyFont="1" applyFill="1" applyBorder="1" applyAlignment="1">
      <alignment horizontal="center" vertical="center" wrapText="1"/>
    </xf>
    <xf numFmtId="0" fontId="29" fillId="3" borderId="8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/>
    </xf>
    <xf numFmtId="0" fontId="32" fillId="3" borderId="5" xfId="0" applyFont="1" applyFill="1" applyBorder="1" applyAlignment="1">
      <alignment horizontal="center" vertical="center" wrapText="1"/>
    </xf>
    <xf numFmtId="0" fontId="33" fillId="3" borderId="5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justify" vertical="center" wrapText="1"/>
    </xf>
    <xf numFmtId="0" fontId="36" fillId="4" borderId="1" xfId="0" applyFont="1" applyFill="1" applyBorder="1" applyAlignment="1">
      <alignment horizontal="justify" vertical="center" wrapText="1"/>
    </xf>
    <xf numFmtId="164" fontId="41" fillId="0" borderId="4" xfId="0" applyNumberFormat="1" applyFont="1" applyBorder="1"/>
    <xf numFmtId="164" fontId="41" fillId="0" borderId="1" xfId="0" applyNumberFormat="1" applyFont="1" applyBorder="1"/>
    <xf numFmtId="0" fontId="41" fillId="3" borderId="2" xfId="0" applyFont="1" applyFill="1" applyBorder="1" applyAlignment="1">
      <alignment horizontal="center"/>
    </xf>
    <xf numFmtId="0" fontId="41" fillId="3" borderId="4" xfId="0" applyFont="1" applyFill="1" applyBorder="1" applyAlignment="1">
      <alignment horizontal="center"/>
    </xf>
    <xf numFmtId="0" fontId="41" fillId="3" borderId="1" xfId="0" applyFont="1" applyFill="1" applyBorder="1"/>
    <xf numFmtId="0" fontId="40" fillId="3" borderId="9" xfId="0" applyFont="1" applyFill="1" applyBorder="1" applyAlignment="1">
      <alignment horizontal="center" vertical="center"/>
    </xf>
    <xf numFmtId="2" fontId="40" fillId="3" borderId="11" xfId="0" applyNumberFormat="1" applyFont="1" applyFill="1" applyBorder="1" applyAlignment="1">
      <alignment horizontal="center" vertical="center"/>
    </xf>
    <xf numFmtId="0" fontId="40" fillId="3" borderId="9" xfId="0" applyFont="1" applyFill="1" applyBorder="1" applyAlignment="1">
      <alignment horizontal="center" vertical="center"/>
    </xf>
    <xf numFmtId="0" fontId="40" fillId="3" borderId="2" xfId="0" applyFont="1" applyFill="1" applyBorder="1" applyAlignment="1">
      <alignment horizontal="center" vertical="center"/>
    </xf>
    <xf numFmtId="0" fontId="40" fillId="3" borderId="4" xfId="0" applyFont="1" applyFill="1" applyBorder="1" applyAlignment="1">
      <alignment horizontal="center" vertical="center"/>
    </xf>
    <xf numFmtId="0" fontId="40" fillId="3" borderId="2" xfId="0" applyFont="1" applyFill="1" applyBorder="1" applyAlignment="1">
      <alignment horizontal="center" vertical="center"/>
    </xf>
    <xf numFmtId="0" fontId="40" fillId="3" borderId="4" xfId="0" applyFont="1" applyFill="1" applyBorder="1" applyAlignment="1">
      <alignment horizontal="center" vertical="center"/>
    </xf>
    <xf numFmtId="0" fontId="40" fillId="3" borderId="11" xfId="0" applyFont="1" applyFill="1" applyBorder="1" applyAlignment="1">
      <alignment horizontal="center" vertical="center"/>
    </xf>
    <xf numFmtId="0" fontId="40" fillId="3" borderId="3" xfId="0" applyFont="1" applyFill="1" applyBorder="1" applyAlignment="1">
      <alignment horizontal="center" vertical="center"/>
    </xf>
    <xf numFmtId="0" fontId="40" fillId="3" borderId="5" xfId="0" applyFont="1" applyFill="1" applyBorder="1" applyAlignment="1">
      <alignment horizontal="center" vertical="center"/>
    </xf>
    <xf numFmtId="0" fontId="40" fillId="3" borderId="12" xfId="0" applyFont="1" applyFill="1" applyBorder="1" applyAlignment="1">
      <alignment horizontal="center" vertical="center"/>
    </xf>
    <xf numFmtId="0" fontId="40" fillId="3" borderId="11" xfId="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3EC3-B8BC-40F4-BECC-F8C95E509C3B}">
  <dimension ref="A1:H8"/>
  <sheetViews>
    <sheetView workbookViewId="0">
      <selection activeCell="G8" sqref="G8:H8"/>
    </sheetView>
  </sheetViews>
  <sheetFormatPr defaultRowHeight="15" x14ac:dyDescent="0.25"/>
  <cols>
    <col min="1" max="1" width="7.28515625" bestFit="1" customWidth="1"/>
    <col min="2" max="2" width="12.5703125" bestFit="1" customWidth="1"/>
    <col min="3" max="3" width="35.140625" customWidth="1"/>
    <col min="4" max="4" width="7.7109375" bestFit="1" customWidth="1"/>
    <col min="5" max="5" width="13.140625" bestFit="1" customWidth="1"/>
    <col min="6" max="8" width="24.42578125" bestFit="1" customWidth="1"/>
  </cols>
  <sheetData>
    <row r="1" spans="1:8" ht="18" x14ac:dyDescent="0.25">
      <c r="A1" s="117" t="s">
        <v>371</v>
      </c>
      <c r="B1" s="117"/>
      <c r="C1" s="117"/>
      <c r="D1" s="117"/>
      <c r="E1" s="117"/>
      <c r="F1" s="117"/>
      <c r="G1" s="117"/>
      <c r="H1" s="117"/>
    </row>
    <row r="2" spans="1:8" x14ac:dyDescent="0.25">
      <c r="A2" s="118" t="s">
        <v>4</v>
      </c>
      <c r="B2" s="118" t="s">
        <v>5</v>
      </c>
      <c r="C2" s="118" t="s">
        <v>6</v>
      </c>
      <c r="D2" s="118" t="s">
        <v>7</v>
      </c>
      <c r="E2" s="118" t="s">
        <v>8</v>
      </c>
      <c r="F2" s="119" t="s">
        <v>9</v>
      </c>
      <c r="G2" s="119"/>
      <c r="H2" s="118" t="s">
        <v>10</v>
      </c>
    </row>
    <row r="3" spans="1:8" x14ac:dyDescent="0.25">
      <c r="A3" s="118"/>
      <c r="B3" s="118"/>
      <c r="C3" s="118"/>
      <c r="D3" s="118"/>
      <c r="E3" s="118"/>
      <c r="F3" s="13" t="s">
        <v>11</v>
      </c>
      <c r="G3" s="13" t="s">
        <v>12</v>
      </c>
      <c r="H3" s="118"/>
    </row>
    <row r="4" spans="1:8" ht="20.25" x14ac:dyDescent="0.25">
      <c r="A4" s="48"/>
      <c r="B4" s="120" t="s">
        <v>359</v>
      </c>
      <c r="C4" s="120"/>
      <c r="D4" s="120"/>
      <c r="E4" s="120"/>
      <c r="F4" s="120"/>
      <c r="G4" s="120"/>
      <c r="H4" s="120"/>
    </row>
    <row r="5" spans="1:8" ht="25.5" x14ac:dyDescent="0.25">
      <c r="A5" s="31" t="s">
        <v>372</v>
      </c>
      <c r="B5" s="31">
        <v>1</v>
      </c>
      <c r="C5" s="32" t="s">
        <v>373</v>
      </c>
      <c r="D5" s="31"/>
      <c r="E5" s="31">
        <v>1</v>
      </c>
      <c r="F5" s="35">
        <v>1000000</v>
      </c>
      <c r="G5" s="35">
        <v>1258000</v>
      </c>
      <c r="H5" s="35">
        <f>G5*E5</f>
        <v>1258000</v>
      </c>
    </row>
    <row r="6" spans="1:8" ht="20.25" x14ac:dyDescent="0.25">
      <c r="A6" s="121"/>
      <c r="B6" s="121"/>
      <c r="C6" s="121"/>
      <c r="D6" s="121"/>
      <c r="E6" s="122"/>
      <c r="F6" s="123" t="s">
        <v>374</v>
      </c>
      <c r="G6" s="123"/>
      <c r="H6" s="40">
        <f>SUM(H5:H5)</f>
        <v>1258000</v>
      </c>
    </row>
    <row r="7" spans="1:8" x14ac:dyDescent="0.25">
      <c r="A7" s="124"/>
      <c r="B7" s="124"/>
      <c r="C7" s="124"/>
      <c r="D7" s="124"/>
      <c r="E7" s="124"/>
      <c r="F7" s="124"/>
      <c r="G7" s="124"/>
      <c r="H7" s="124"/>
    </row>
    <row r="8" spans="1:8" ht="23.25" x14ac:dyDescent="0.25">
      <c r="A8" s="125" t="s">
        <v>374</v>
      </c>
      <c r="B8" s="125"/>
      <c r="C8" s="125"/>
      <c r="D8" s="125"/>
      <c r="E8" s="125"/>
      <c r="F8" s="125"/>
      <c r="G8" s="126">
        <f>SUM(H6)</f>
        <v>1258000</v>
      </c>
      <c r="H8" s="126"/>
    </row>
  </sheetData>
  <mergeCells count="14">
    <mergeCell ref="B4:H4"/>
    <mergeCell ref="A6:E6"/>
    <mergeCell ref="F6:G6"/>
    <mergeCell ref="A7:H7"/>
    <mergeCell ref="A8:F8"/>
    <mergeCell ref="G8:H8"/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60BC-B282-4CEB-86B9-1BD99F1BCDB1}">
  <dimension ref="A1:H33"/>
  <sheetViews>
    <sheetView zoomScale="50" zoomScaleNormal="50" workbookViewId="0">
      <selection activeCell="J7" sqref="J7"/>
    </sheetView>
  </sheetViews>
  <sheetFormatPr defaultRowHeight="15" x14ac:dyDescent="0.25"/>
  <cols>
    <col min="1" max="1" width="7.85546875" bestFit="1" customWidth="1"/>
    <col min="2" max="2" width="24.28515625" customWidth="1"/>
    <col min="3" max="3" width="28.85546875" customWidth="1"/>
    <col min="4" max="4" width="7" bestFit="1" customWidth="1"/>
    <col min="5" max="5" width="19.5703125" bestFit="1" customWidth="1"/>
    <col min="6" max="6" width="20" bestFit="1" customWidth="1"/>
    <col min="7" max="7" width="22.85546875" bestFit="1" customWidth="1"/>
    <col min="8" max="8" width="28.85546875" bestFit="1" customWidth="1"/>
  </cols>
  <sheetData>
    <row r="1" spans="1:8" s="55" customFormat="1" ht="48" customHeight="1" x14ac:dyDescent="0.25">
      <c r="A1" s="117" t="s">
        <v>0</v>
      </c>
      <c r="B1" s="117"/>
      <c r="C1" s="117"/>
      <c r="D1" s="117"/>
      <c r="E1" s="117"/>
      <c r="F1" s="117"/>
      <c r="G1" s="117"/>
      <c r="H1" s="117"/>
    </row>
    <row r="2" spans="1:8" s="55" customFormat="1" ht="22.5" customHeight="1" x14ac:dyDescent="0.25">
      <c r="A2" s="117" t="s">
        <v>1</v>
      </c>
      <c r="B2" s="117"/>
      <c r="C2" s="117"/>
      <c r="D2" s="117"/>
      <c r="E2" s="117"/>
      <c r="F2" s="117"/>
      <c r="G2" s="117"/>
      <c r="H2" s="117"/>
    </row>
    <row r="3" spans="1:8" s="55" customFormat="1" ht="24" customHeight="1" x14ac:dyDescent="0.25">
      <c r="A3" s="117" t="s">
        <v>2</v>
      </c>
      <c r="B3" s="117"/>
      <c r="C3" s="117"/>
      <c r="D3" s="117"/>
      <c r="E3" s="117"/>
      <c r="F3" s="117"/>
      <c r="G3" s="117"/>
      <c r="H3" s="117"/>
    </row>
    <row r="4" spans="1:8" s="55" customFormat="1" ht="24.75" customHeight="1" x14ac:dyDescent="0.25">
      <c r="A4" s="131" t="s">
        <v>3</v>
      </c>
      <c r="B4" s="131"/>
      <c r="C4" s="131"/>
      <c r="D4" s="117" t="s">
        <v>31</v>
      </c>
      <c r="E4" s="117"/>
      <c r="F4" s="117"/>
      <c r="G4" s="132" t="s">
        <v>38</v>
      </c>
      <c r="H4" s="117" t="s">
        <v>30</v>
      </c>
    </row>
    <row r="5" spans="1:8" s="55" customFormat="1" x14ac:dyDescent="0.25">
      <c r="A5" s="131"/>
      <c r="B5" s="131"/>
      <c r="C5" s="131"/>
      <c r="D5" s="117"/>
      <c r="E5" s="117"/>
      <c r="F5" s="117"/>
      <c r="G5" s="133"/>
      <c r="H5" s="117"/>
    </row>
    <row r="6" spans="1:8" s="55" customFormat="1" ht="45" customHeight="1" x14ac:dyDescent="0.25">
      <c r="A6" s="131" t="s">
        <v>32</v>
      </c>
      <c r="B6" s="131"/>
      <c r="C6" s="131"/>
      <c r="D6" s="134" t="s">
        <v>51</v>
      </c>
      <c r="E6" s="134"/>
      <c r="F6" s="134"/>
      <c r="G6" s="57">
        <v>0.25829999999999997</v>
      </c>
      <c r="H6" s="117"/>
    </row>
    <row r="7" spans="1:8" s="56" customFormat="1" ht="36" customHeight="1" x14ac:dyDescent="0.25">
      <c r="A7" s="117" t="s">
        <v>52</v>
      </c>
      <c r="B7" s="117"/>
      <c r="C7" s="117"/>
      <c r="D7" s="117"/>
      <c r="E7" s="117"/>
      <c r="F7" s="117"/>
      <c r="G7" s="117"/>
      <c r="H7" s="117"/>
    </row>
    <row r="8" spans="1:8" s="56" customFormat="1" ht="18" x14ac:dyDescent="0.25">
      <c r="A8" s="117" t="s">
        <v>4</v>
      </c>
      <c r="B8" s="117" t="s">
        <v>5</v>
      </c>
      <c r="C8" s="117" t="s">
        <v>6</v>
      </c>
      <c r="D8" s="117" t="s">
        <v>7</v>
      </c>
      <c r="E8" s="117" t="s">
        <v>8</v>
      </c>
      <c r="F8" s="117" t="s">
        <v>9</v>
      </c>
      <c r="G8" s="117"/>
      <c r="H8" s="117" t="s">
        <v>10</v>
      </c>
    </row>
    <row r="9" spans="1:8" s="56" customFormat="1" ht="18" x14ac:dyDescent="0.25">
      <c r="A9" s="117"/>
      <c r="B9" s="117"/>
      <c r="C9" s="117"/>
      <c r="D9" s="117"/>
      <c r="E9" s="117"/>
      <c r="F9" s="14" t="s">
        <v>11</v>
      </c>
      <c r="G9" s="14" t="s">
        <v>12</v>
      </c>
      <c r="H9" s="117"/>
    </row>
    <row r="10" spans="1:8" s="3" customFormat="1" ht="171" customHeight="1" x14ac:dyDescent="0.25">
      <c r="A10" s="127" t="s">
        <v>361</v>
      </c>
      <c r="B10" s="127">
        <v>93584</v>
      </c>
      <c r="C10" s="128" t="s">
        <v>13</v>
      </c>
      <c r="D10" s="129"/>
      <c r="E10" s="127">
        <v>16</v>
      </c>
      <c r="F10" s="130">
        <v>700.18</v>
      </c>
      <c r="G10" s="130">
        <v>881</v>
      </c>
      <c r="H10" s="130">
        <f>G10*E10</f>
        <v>14096</v>
      </c>
    </row>
    <row r="11" spans="1:8" s="3" customFormat="1" hidden="1" x14ac:dyDescent="0.25">
      <c r="A11" s="127"/>
      <c r="B11" s="127"/>
      <c r="C11" s="128"/>
      <c r="D11" s="129"/>
      <c r="E11" s="127"/>
      <c r="F11" s="130"/>
      <c r="G11" s="130"/>
      <c r="H11" s="130"/>
    </row>
    <row r="12" spans="1:8" s="3" customFormat="1" hidden="1" x14ac:dyDescent="0.25">
      <c r="A12" s="127"/>
      <c r="B12" s="127"/>
      <c r="C12" s="128"/>
      <c r="D12" s="129"/>
      <c r="E12" s="127"/>
      <c r="F12" s="130"/>
      <c r="G12" s="130"/>
      <c r="H12" s="130"/>
    </row>
    <row r="13" spans="1:8" s="3" customFormat="1" ht="40.5" customHeight="1" x14ac:dyDescent="0.25">
      <c r="A13" s="127" t="s">
        <v>14</v>
      </c>
      <c r="B13" s="127">
        <v>93208</v>
      </c>
      <c r="C13" s="128" t="s">
        <v>33</v>
      </c>
      <c r="D13" s="129"/>
      <c r="E13" s="127">
        <v>20</v>
      </c>
      <c r="F13" s="130">
        <v>725.17</v>
      </c>
      <c r="G13" s="130">
        <v>912.44</v>
      </c>
      <c r="H13" s="130">
        <f>G13*E13</f>
        <v>18248.800000000003</v>
      </c>
    </row>
    <row r="14" spans="1:8" s="3" customFormat="1" x14ac:dyDescent="0.25">
      <c r="A14" s="127"/>
      <c r="B14" s="127"/>
      <c r="C14" s="128"/>
      <c r="D14" s="129"/>
      <c r="E14" s="127"/>
      <c r="F14" s="130"/>
      <c r="G14" s="130"/>
      <c r="H14" s="130"/>
    </row>
    <row r="15" spans="1:8" s="3" customFormat="1" ht="97.5" customHeight="1" x14ac:dyDescent="0.25">
      <c r="A15" s="127"/>
      <c r="B15" s="127"/>
      <c r="C15" s="128"/>
      <c r="D15" s="129"/>
      <c r="E15" s="127"/>
      <c r="F15" s="130"/>
      <c r="G15" s="130"/>
      <c r="H15" s="130"/>
    </row>
    <row r="16" spans="1:8" s="3" customFormat="1" ht="54" customHeight="1" x14ac:dyDescent="0.25">
      <c r="A16" s="127" t="s">
        <v>15</v>
      </c>
      <c r="B16" s="127">
        <v>4813</v>
      </c>
      <c r="C16" s="128" t="s">
        <v>34</v>
      </c>
      <c r="D16" s="129"/>
      <c r="E16" s="127">
        <v>6</v>
      </c>
      <c r="F16" s="130">
        <v>225</v>
      </c>
      <c r="G16" s="130">
        <v>283.10000000000002</v>
      </c>
      <c r="H16" s="130">
        <f>G16*E16</f>
        <v>1698.6000000000001</v>
      </c>
    </row>
    <row r="17" spans="1:8" s="3" customFormat="1" ht="23.25" customHeight="1" x14ac:dyDescent="0.25">
      <c r="A17" s="127"/>
      <c r="B17" s="127"/>
      <c r="C17" s="128"/>
      <c r="D17" s="129"/>
      <c r="E17" s="127"/>
      <c r="F17" s="130"/>
      <c r="G17" s="130"/>
      <c r="H17" s="130"/>
    </row>
    <row r="18" spans="1:8" s="3" customFormat="1" ht="78.75" customHeight="1" x14ac:dyDescent="0.25">
      <c r="A18" s="127" t="s">
        <v>16</v>
      </c>
      <c r="B18" s="127" t="s">
        <v>17</v>
      </c>
      <c r="C18" s="128" t="s">
        <v>18</v>
      </c>
      <c r="D18" s="129"/>
      <c r="E18" s="127">
        <v>194</v>
      </c>
      <c r="F18" s="130" t="s">
        <v>19</v>
      </c>
      <c r="G18" s="130">
        <v>10.82</v>
      </c>
      <c r="H18" s="130">
        <f>G18*E18</f>
        <v>2099.08</v>
      </c>
    </row>
    <row r="19" spans="1:8" s="3" customFormat="1" x14ac:dyDescent="0.25">
      <c r="A19" s="127"/>
      <c r="B19" s="127"/>
      <c r="C19" s="128"/>
      <c r="D19" s="129"/>
      <c r="E19" s="127"/>
      <c r="F19" s="130"/>
      <c r="G19" s="130"/>
      <c r="H19" s="130"/>
    </row>
    <row r="20" spans="1:8" s="3" customFormat="1" ht="66" customHeight="1" x14ac:dyDescent="0.25">
      <c r="A20" s="5" t="s">
        <v>20</v>
      </c>
      <c r="B20" s="5" t="s">
        <v>17</v>
      </c>
      <c r="C20" s="6" t="s">
        <v>21</v>
      </c>
      <c r="D20" s="4" t="s">
        <v>22</v>
      </c>
      <c r="E20" s="5">
        <v>194</v>
      </c>
      <c r="F20" s="7">
        <v>5.5</v>
      </c>
      <c r="G20" s="7">
        <v>6.92</v>
      </c>
      <c r="H20" s="59">
        <f>G20*E20</f>
        <v>1342.48</v>
      </c>
    </row>
    <row r="21" spans="1:8" s="3" customFormat="1" ht="54" customHeight="1" x14ac:dyDescent="0.25">
      <c r="A21" s="127" t="s">
        <v>23</v>
      </c>
      <c r="B21" s="127" t="s">
        <v>17</v>
      </c>
      <c r="C21" s="128" t="s">
        <v>35</v>
      </c>
      <c r="D21" s="129"/>
      <c r="E21" s="127">
        <v>194</v>
      </c>
      <c r="F21" s="130">
        <v>2</v>
      </c>
      <c r="G21" s="130">
        <v>2.5099999999999998</v>
      </c>
      <c r="H21" s="130">
        <f>G21*E21</f>
        <v>486.93999999999994</v>
      </c>
    </row>
    <row r="22" spans="1:8" s="3" customFormat="1" x14ac:dyDescent="0.25">
      <c r="A22" s="127"/>
      <c r="B22" s="127"/>
      <c r="C22" s="128"/>
      <c r="D22" s="129"/>
      <c r="E22" s="127"/>
      <c r="F22" s="130"/>
      <c r="G22" s="130"/>
      <c r="H22" s="130"/>
    </row>
    <row r="23" spans="1:8" s="3" customFormat="1" ht="40.5" customHeight="1" x14ac:dyDescent="0.25">
      <c r="A23" s="5" t="s">
        <v>24</v>
      </c>
      <c r="B23" s="5" t="s">
        <v>17</v>
      </c>
      <c r="C23" s="6" t="s">
        <v>25</v>
      </c>
      <c r="D23" s="4"/>
      <c r="E23" s="5">
        <v>194</v>
      </c>
      <c r="F23" s="7">
        <v>25</v>
      </c>
      <c r="G23" s="7">
        <v>31.45</v>
      </c>
      <c r="H23" s="59">
        <f>G23*E23</f>
        <v>6101.3</v>
      </c>
    </row>
    <row r="24" spans="1:8" s="3" customFormat="1" ht="23.25" customHeight="1" x14ac:dyDescent="0.25">
      <c r="A24" s="127" t="s">
        <v>26</v>
      </c>
      <c r="B24" s="127" t="s">
        <v>27</v>
      </c>
      <c r="C24" s="128" t="s">
        <v>28</v>
      </c>
      <c r="D24" s="129"/>
      <c r="E24" s="127"/>
      <c r="F24" s="130">
        <v>40000</v>
      </c>
      <c r="G24" s="130">
        <v>50330.2</v>
      </c>
      <c r="H24" s="130">
        <f>G24</f>
        <v>50330.2</v>
      </c>
    </row>
    <row r="25" spans="1:8" s="3" customFormat="1" x14ac:dyDescent="0.25">
      <c r="A25" s="127"/>
      <c r="B25" s="127"/>
      <c r="C25" s="128"/>
      <c r="D25" s="129"/>
      <c r="E25" s="127"/>
      <c r="F25" s="130"/>
      <c r="G25" s="130"/>
      <c r="H25" s="130"/>
    </row>
    <row r="26" spans="1:8" s="3" customFormat="1" ht="45.75" customHeight="1" x14ac:dyDescent="0.25">
      <c r="A26" s="127"/>
      <c r="B26" s="127"/>
      <c r="C26" s="128"/>
      <c r="D26" s="129"/>
      <c r="E26" s="127"/>
      <c r="F26" s="130"/>
      <c r="G26" s="130"/>
      <c r="H26" s="130"/>
    </row>
    <row r="27" spans="1:8" s="3" customFormat="1" ht="162" customHeight="1" x14ac:dyDescent="0.25">
      <c r="A27" s="137" t="s">
        <v>29</v>
      </c>
      <c r="B27" s="137" t="s">
        <v>17</v>
      </c>
      <c r="C27" s="149" t="s">
        <v>36</v>
      </c>
      <c r="D27" s="140"/>
      <c r="E27" s="143">
        <v>400000</v>
      </c>
      <c r="F27" s="146"/>
      <c r="G27" s="130">
        <v>1.63</v>
      </c>
      <c r="H27" s="130">
        <f>G27*E27</f>
        <v>652000</v>
      </c>
    </row>
    <row r="28" spans="1:8" s="3" customFormat="1" ht="15" customHeight="1" x14ac:dyDescent="0.25">
      <c r="A28" s="138"/>
      <c r="B28" s="138"/>
      <c r="C28" s="150"/>
      <c r="D28" s="141"/>
      <c r="E28" s="144"/>
      <c r="F28" s="147"/>
      <c r="G28" s="130"/>
      <c r="H28" s="130"/>
    </row>
    <row r="29" spans="1:8" s="3" customFormat="1" ht="15" customHeight="1" x14ac:dyDescent="0.25">
      <c r="A29" s="138"/>
      <c r="B29" s="138"/>
      <c r="C29" s="150"/>
      <c r="D29" s="141"/>
      <c r="E29" s="144"/>
      <c r="F29" s="147"/>
      <c r="G29" s="130"/>
      <c r="H29" s="130"/>
    </row>
    <row r="30" spans="1:8" s="3" customFormat="1" ht="4.5" customHeight="1" x14ac:dyDescent="0.25">
      <c r="A30" s="138"/>
      <c r="B30" s="138"/>
      <c r="C30" s="150"/>
      <c r="D30" s="141"/>
      <c r="E30" s="144"/>
      <c r="F30" s="147"/>
      <c r="G30" s="130"/>
      <c r="H30" s="130"/>
    </row>
    <row r="31" spans="1:8" s="3" customFormat="1" ht="6" hidden="1" customHeight="1" x14ac:dyDescent="0.25">
      <c r="A31" s="138"/>
      <c r="B31" s="138"/>
      <c r="C31" s="150"/>
      <c r="D31" s="141"/>
      <c r="E31" s="144"/>
      <c r="F31" s="147"/>
      <c r="G31" s="130"/>
      <c r="H31" s="130"/>
    </row>
    <row r="32" spans="1:8" s="3" customFormat="1" ht="17.25" customHeight="1" x14ac:dyDescent="0.25">
      <c r="A32" s="139"/>
      <c r="B32" s="139"/>
      <c r="C32" s="151"/>
      <c r="D32" s="142"/>
      <c r="E32" s="145"/>
      <c r="F32" s="148"/>
      <c r="G32" s="130"/>
      <c r="H32" s="130"/>
    </row>
    <row r="33" spans="1:8" s="3" customFormat="1" ht="31.5" customHeight="1" x14ac:dyDescent="0.25">
      <c r="A33" s="136"/>
      <c r="B33" s="136"/>
      <c r="C33" s="136"/>
      <c r="D33" s="136"/>
      <c r="E33" s="136"/>
      <c r="F33" s="135" t="s">
        <v>37</v>
      </c>
      <c r="G33" s="135"/>
      <c r="H33" s="60">
        <f>SUM(H10:H32)</f>
        <v>746403.4</v>
      </c>
    </row>
  </sheetData>
  <mergeCells count="75">
    <mergeCell ref="H27:H32"/>
    <mergeCell ref="G27:G32"/>
    <mergeCell ref="F33:G33"/>
    <mergeCell ref="A33:E33"/>
    <mergeCell ref="A27:A32"/>
    <mergeCell ref="B27:B32"/>
    <mergeCell ref="D27:D32"/>
    <mergeCell ref="E27:E32"/>
    <mergeCell ref="F27:F32"/>
    <mergeCell ref="C27:C32"/>
    <mergeCell ref="A7:H7"/>
    <mergeCell ref="A1:H1"/>
    <mergeCell ref="A2:H2"/>
    <mergeCell ref="H4:H6"/>
    <mergeCell ref="H8:H9"/>
    <mergeCell ref="D4:F5"/>
    <mergeCell ref="A3:H3"/>
    <mergeCell ref="A4:C5"/>
    <mergeCell ref="G4:G5"/>
    <mergeCell ref="A6:C6"/>
    <mergeCell ref="D6:F6"/>
    <mergeCell ref="A8:A9"/>
    <mergeCell ref="B8:B9"/>
    <mergeCell ref="C8:C9"/>
    <mergeCell ref="D8:D9"/>
    <mergeCell ref="E8:E9"/>
    <mergeCell ref="F13:F15"/>
    <mergeCell ref="G13:G15"/>
    <mergeCell ref="H10:H12"/>
    <mergeCell ref="H24:H26"/>
    <mergeCell ref="H21:H22"/>
    <mergeCell ref="H13:H15"/>
    <mergeCell ref="H16:H17"/>
    <mergeCell ref="H18:H19"/>
    <mergeCell ref="G10:G12"/>
    <mergeCell ref="F16:F17"/>
    <mergeCell ref="G18:G19"/>
    <mergeCell ref="G21:G22"/>
    <mergeCell ref="G16:G17"/>
    <mergeCell ref="G24:G26"/>
    <mergeCell ref="F24:F26"/>
    <mergeCell ref="F18:F19"/>
    <mergeCell ref="A24:A26"/>
    <mergeCell ref="B24:B26"/>
    <mergeCell ref="C24:C26"/>
    <mergeCell ref="D24:D26"/>
    <mergeCell ref="E24:E26"/>
    <mergeCell ref="A21:A22"/>
    <mergeCell ref="B21:B22"/>
    <mergeCell ref="D21:D22"/>
    <mergeCell ref="E21:E22"/>
    <mergeCell ref="F21:F22"/>
    <mergeCell ref="C21:C22"/>
    <mergeCell ref="A18:A19"/>
    <mergeCell ref="B18:B19"/>
    <mergeCell ref="C18:C19"/>
    <mergeCell ref="D18:D19"/>
    <mergeCell ref="E18:E19"/>
    <mergeCell ref="A16:A17"/>
    <mergeCell ref="B16:B17"/>
    <mergeCell ref="D16:D17"/>
    <mergeCell ref="E16:E17"/>
    <mergeCell ref="A13:A15"/>
    <mergeCell ref="B13:B15"/>
    <mergeCell ref="D13:D15"/>
    <mergeCell ref="E13:E15"/>
    <mergeCell ref="C13:C15"/>
    <mergeCell ref="C16:C17"/>
    <mergeCell ref="F8:G8"/>
    <mergeCell ref="A10:A12"/>
    <mergeCell ref="B10:B12"/>
    <mergeCell ref="C10:C12"/>
    <mergeCell ref="D10:D12"/>
    <mergeCell ref="E10:E12"/>
    <mergeCell ref="F10:F12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C0D2B-D731-4A7D-8203-9AF0AACFF4F4}">
  <dimension ref="A1:H14"/>
  <sheetViews>
    <sheetView workbookViewId="0">
      <selection activeCell="H14" sqref="H14"/>
    </sheetView>
  </sheetViews>
  <sheetFormatPr defaultRowHeight="15" x14ac:dyDescent="0.25"/>
  <cols>
    <col min="1" max="1" width="8.85546875" customWidth="1"/>
    <col min="2" max="2" width="17.42578125" customWidth="1"/>
    <col min="3" max="3" width="28.42578125" customWidth="1"/>
    <col min="4" max="4" width="6.5703125" customWidth="1"/>
    <col min="5" max="5" width="16.85546875" bestFit="1" customWidth="1"/>
    <col min="6" max="6" width="13.85546875" bestFit="1" customWidth="1"/>
    <col min="7" max="7" width="20.28515625" customWidth="1"/>
    <col min="8" max="8" width="29.28515625" customWidth="1"/>
  </cols>
  <sheetData>
    <row r="1" spans="1:8" ht="34.5" customHeight="1" x14ac:dyDescent="0.25">
      <c r="A1" s="157" t="s">
        <v>53</v>
      </c>
      <c r="B1" s="158"/>
      <c r="C1" s="158"/>
      <c r="D1" s="158"/>
      <c r="E1" s="158"/>
      <c r="F1" s="158"/>
      <c r="G1" s="158"/>
      <c r="H1" s="159"/>
    </row>
    <row r="2" spans="1:8" ht="15" hidden="1" customHeight="1" x14ac:dyDescent="0.25">
      <c r="A2" s="160"/>
      <c r="B2" s="161"/>
      <c r="C2" s="161"/>
      <c r="D2" s="161"/>
      <c r="E2" s="161"/>
      <c r="F2" s="161"/>
      <c r="G2" s="161"/>
      <c r="H2" s="162"/>
    </row>
    <row r="3" spans="1:8" ht="15" customHeight="1" x14ac:dyDescent="0.25">
      <c r="A3" s="163" t="s">
        <v>4</v>
      </c>
      <c r="B3" s="163" t="s">
        <v>5</v>
      </c>
      <c r="C3" s="163" t="s">
        <v>6</v>
      </c>
      <c r="D3" s="163" t="s">
        <v>7</v>
      </c>
      <c r="E3" s="163" t="s">
        <v>8</v>
      </c>
      <c r="F3" s="165" t="s">
        <v>9</v>
      </c>
      <c r="G3" s="166"/>
      <c r="H3" s="163" t="s">
        <v>10</v>
      </c>
    </row>
    <row r="4" spans="1:8" ht="15" customHeight="1" x14ac:dyDescent="0.25">
      <c r="A4" s="164"/>
      <c r="B4" s="164"/>
      <c r="C4" s="164"/>
      <c r="D4" s="164"/>
      <c r="E4" s="164"/>
      <c r="F4" s="13" t="s">
        <v>11</v>
      </c>
      <c r="G4" s="13" t="s">
        <v>12</v>
      </c>
      <c r="H4" s="164"/>
    </row>
    <row r="5" spans="1:8" ht="109.5" customHeight="1" x14ac:dyDescent="0.25">
      <c r="A5" s="127" t="s">
        <v>39</v>
      </c>
      <c r="B5" s="127">
        <v>98525</v>
      </c>
      <c r="C5" s="128" t="s">
        <v>40</v>
      </c>
      <c r="D5" s="155" t="s">
        <v>41</v>
      </c>
      <c r="E5" s="156">
        <v>400000</v>
      </c>
      <c r="F5" s="154">
        <v>0.27</v>
      </c>
      <c r="G5" s="154">
        <v>0.33</v>
      </c>
      <c r="H5" s="154">
        <f>G5*E5</f>
        <v>132000</v>
      </c>
    </row>
    <row r="6" spans="1:8" ht="15.75" customHeight="1" x14ac:dyDescent="0.25">
      <c r="A6" s="127"/>
      <c r="B6" s="127"/>
      <c r="C6" s="128"/>
      <c r="D6" s="155"/>
      <c r="E6" s="156"/>
      <c r="F6" s="154"/>
      <c r="G6" s="154"/>
      <c r="H6" s="154"/>
    </row>
    <row r="7" spans="1:8" ht="87.75" customHeight="1" x14ac:dyDescent="0.25">
      <c r="A7" s="127" t="s">
        <v>42</v>
      </c>
      <c r="B7" s="127">
        <v>6081</v>
      </c>
      <c r="C7" s="128" t="s">
        <v>43</v>
      </c>
      <c r="D7" s="155"/>
      <c r="E7" s="156">
        <v>80000</v>
      </c>
      <c r="F7" s="154">
        <v>29.31</v>
      </c>
      <c r="G7" s="154">
        <v>36.869999999999997</v>
      </c>
      <c r="H7" s="154">
        <f>G7*E7</f>
        <v>2949600</v>
      </c>
    </row>
    <row r="8" spans="1:8" x14ac:dyDescent="0.25">
      <c r="A8" s="127"/>
      <c r="B8" s="127"/>
      <c r="C8" s="128"/>
      <c r="D8" s="155"/>
      <c r="E8" s="156"/>
      <c r="F8" s="154"/>
      <c r="G8" s="154"/>
      <c r="H8" s="154"/>
    </row>
    <row r="9" spans="1:8" ht="51" x14ac:dyDescent="0.25">
      <c r="A9" s="5" t="s">
        <v>44</v>
      </c>
      <c r="B9" s="5">
        <v>93358</v>
      </c>
      <c r="C9" s="6" t="s">
        <v>45</v>
      </c>
      <c r="D9" s="2"/>
      <c r="E9" s="8">
        <v>2000</v>
      </c>
      <c r="F9" s="12">
        <v>55.46</v>
      </c>
      <c r="G9" s="12">
        <v>69.78</v>
      </c>
      <c r="H9" s="12">
        <f>G9*E9</f>
        <v>139560</v>
      </c>
    </row>
    <row r="10" spans="1:8" ht="44.25" customHeight="1" x14ac:dyDescent="0.25">
      <c r="A10" s="127" t="s">
        <v>46</v>
      </c>
      <c r="B10" s="127">
        <v>53527</v>
      </c>
      <c r="C10" s="128" t="s">
        <v>47</v>
      </c>
      <c r="D10" s="155"/>
      <c r="E10" s="156">
        <v>1000</v>
      </c>
      <c r="F10" s="154">
        <v>74.88</v>
      </c>
      <c r="G10" s="154">
        <v>94.21</v>
      </c>
      <c r="H10" s="154">
        <f>G10*E10</f>
        <v>94210</v>
      </c>
    </row>
    <row r="11" spans="1:8" x14ac:dyDescent="0.25">
      <c r="A11" s="127"/>
      <c r="B11" s="127"/>
      <c r="C11" s="128"/>
      <c r="D11" s="155"/>
      <c r="E11" s="156"/>
      <c r="F11" s="154"/>
      <c r="G11" s="154"/>
      <c r="H11" s="154"/>
    </row>
    <row r="12" spans="1:8" ht="59.25" customHeight="1" x14ac:dyDescent="0.25">
      <c r="A12" s="127" t="s">
        <v>48</v>
      </c>
      <c r="B12" s="127">
        <v>79472</v>
      </c>
      <c r="C12" s="128" t="s">
        <v>49</v>
      </c>
      <c r="D12" s="155"/>
      <c r="E12" s="156">
        <v>400000</v>
      </c>
      <c r="F12" s="154">
        <v>0.08</v>
      </c>
      <c r="G12" s="154">
        <v>0.1</v>
      </c>
      <c r="H12" s="154">
        <f>G12*E12</f>
        <v>40000</v>
      </c>
    </row>
    <row r="13" spans="1:8" x14ac:dyDescent="0.25">
      <c r="A13" s="127"/>
      <c r="B13" s="127"/>
      <c r="C13" s="128"/>
      <c r="D13" s="155"/>
      <c r="E13" s="156"/>
      <c r="F13" s="154"/>
      <c r="G13" s="154"/>
      <c r="H13" s="154"/>
    </row>
    <row r="14" spans="1:8" ht="29.25" customHeight="1" x14ac:dyDescent="0.25">
      <c r="A14" s="153"/>
      <c r="B14" s="153"/>
      <c r="C14" s="153"/>
      <c r="D14" s="153"/>
      <c r="E14" s="153"/>
      <c r="F14" s="152" t="s">
        <v>50</v>
      </c>
      <c r="G14" s="152"/>
      <c r="H14" s="49">
        <f>SUM(H5:H13)</f>
        <v>3355370</v>
      </c>
    </row>
  </sheetData>
  <mergeCells count="42">
    <mergeCell ref="H12:H13"/>
    <mergeCell ref="F12:F13"/>
    <mergeCell ref="G12:G13"/>
    <mergeCell ref="A10:A11"/>
    <mergeCell ref="B10:B11"/>
    <mergeCell ref="A1:H2"/>
    <mergeCell ref="A3:A4"/>
    <mergeCell ref="B3:B4"/>
    <mergeCell ref="C3:C4"/>
    <mergeCell ref="D3:D4"/>
    <mergeCell ref="E3:E4"/>
    <mergeCell ref="F3:G3"/>
    <mergeCell ref="H3:H4"/>
    <mergeCell ref="G5:G6"/>
    <mergeCell ref="H5:H6"/>
    <mergeCell ref="F5:F6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F14:G14"/>
    <mergeCell ref="A14:E14"/>
    <mergeCell ref="H7:H8"/>
    <mergeCell ref="F7:F8"/>
    <mergeCell ref="G7:G8"/>
    <mergeCell ref="C10:C11"/>
    <mergeCell ref="D10:D11"/>
    <mergeCell ref="E10:E11"/>
    <mergeCell ref="H10:H11"/>
    <mergeCell ref="G10:G11"/>
    <mergeCell ref="F10:F11"/>
    <mergeCell ref="A12:A13"/>
    <mergeCell ref="B12:B13"/>
    <mergeCell ref="C12:C13"/>
    <mergeCell ref="D12:D13"/>
    <mergeCell ref="E12:E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71560-7C86-440A-BC46-6BEB71CBB669}">
  <dimension ref="A1:H11"/>
  <sheetViews>
    <sheetView workbookViewId="0">
      <selection activeCell="H11" sqref="H11"/>
    </sheetView>
  </sheetViews>
  <sheetFormatPr defaultRowHeight="15" x14ac:dyDescent="0.25"/>
  <cols>
    <col min="1" max="1" width="14.140625" customWidth="1"/>
    <col min="2" max="2" width="16.7109375" customWidth="1"/>
    <col min="3" max="3" width="28.42578125" customWidth="1"/>
    <col min="4" max="4" width="17.5703125" customWidth="1"/>
    <col min="5" max="5" width="15" customWidth="1"/>
    <col min="6" max="6" width="19" customWidth="1"/>
    <col min="7" max="7" width="15.5703125" customWidth="1"/>
    <col min="8" max="8" width="27.28515625" customWidth="1"/>
  </cols>
  <sheetData>
    <row r="1" spans="1:8" ht="34.5" customHeight="1" x14ac:dyDescent="0.25">
      <c r="A1" s="117" t="s">
        <v>54</v>
      </c>
      <c r="B1" s="117"/>
      <c r="C1" s="117"/>
      <c r="D1" s="117"/>
      <c r="E1" s="117"/>
      <c r="F1" s="117"/>
      <c r="G1" s="117"/>
      <c r="H1" s="117"/>
    </row>
    <row r="2" spans="1:8" ht="15" hidden="1" customHeight="1" x14ac:dyDescent="0.25">
      <c r="A2" s="117"/>
      <c r="B2" s="117"/>
      <c r="C2" s="117"/>
      <c r="D2" s="117"/>
      <c r="E2" s="117"/>
      <c r="F2" s="117"/>
      <c r="G2" s="117"/>
      <c r="H2" s="117"/>
    </row>
    <row r="3" spans="1:8" ht="15" customHeight="1" x14ac:dyDescent="0.25">
      <c r="A3" s="118" t="s">
        <v>4</v>
      </c>
      <c r="B3" s="118" t="s">
        <v>5</v>
      </c>
      <c r="C3" s="118" t="s">
        <v>6</v>
      </c>
      <c r="D3" s="118" t="s">
        <v>7</v>
      </c>
      <c r="E3" s="118" t="s">
        <v>8</v>
      </c>
      <c r="F3" s="167" t="s">
        <v>9</v>
      </c>
      <c r="G3" s="167"/>
      <c r="H3" s="118" t="s">
        <v>10</v>
      </c>
    </row>
    <row r="4" spans="1:8" ht="15" customHeight="1" x14ac:dyDescent="0.25">
      <c r="A4" s="118"/>
      <c r="B4" s="118"/>
      <c r="C4" s="118"/>
      <c r="D4" s="118"/>
      <c r="E4" s="118"/>
      <c r="F4" s="13" t="s">
        <v>11</v>
      </c>
      <c r="G4" s="13" t="s">
        <v>12</v>
      </c>
      <c r="H4" s="118"/>
    </row>
    <row r="5" spans="1:8" ht="119.25" customHeight="1" x14ac:dyDescent="0.25">
      <c r="A5" s="127" t="s">
        <v>55</v>
      </c>
      <c r="B5" s="127">
        <v>93205</v>
      </c>
      <c r="C5" s="128" t="s">
        <v>56</v>
      </c>
      <c r="D5" s="127" t="s">
        <v>57</v>
      </c>
      <c r="E5" s="127">
        <v>2532</v>
      </c>
      <c r="F5" s="154">
        <v>116.2</v>
      </c>
      <c r="G5" s="154">
        <v>146.19999999999999</v>
      </c>
      <c r="H5" s="154">
        <f>G5*E5</f>
        <v>370178.39999999997</v>
      </c>
    </row>
    <row r="6" spans="1:8" x14ac:dyDescent="0.25">
      <c r="A6" s="127"/>
      <c r="B6" s="127"/>
      <c r="C6" s="128"/>
      <c r="D6" s="127"/>
      <c r="E6" s="127"/>
      <c r="F6" s="154"/>
      <c r="G6" s="154"/>
      <c r="H6" s="154"/>
    </row>
    <row r="7" spans="1:8" ht="146.25" customHeight="1" x14ac:dyDescent="0.25">
      <c r="A7" s="127" t="s">
        <v>58</v>
      </c>
      <c r="B7" s="127">
        <v>37562</v>
      </c>
      <c r="C7" s="128" t="s">
        <v>59</v>
      </c>
      <c r="D7" s="127"/>
      <c r="E7" s="127">
        <v>10</v>
      </c>
      <c r="F7" s="170">
        <v>620.63</v>
      </c>
      <c r="G7" s="154">
        <v>780.91</v>
      </c>
      <c r="H7" s="154">
        <f>G7*E7</f>
        <v>7809.0999999999995</v>
      </c>
    </row>
    <row r="8" spans="1:8" x14ac:dyDescent="0.25">
      <c r="A8" s="127"/>
      <c r="B8" s="127"/>
      <c r="C8" s="128"/>
      <c r="D8" s="127"/>
      <c r="E8" s="127"/>
      <c r="F8" s="171"/>
      <c r="G8" s="154"/>
      <c r="H8" s="154"/>
    </row>
    <row r="9" spans="1:8" ht="94.5" customHeight="1" x14ac:dyDescent="0.25">
      <c r="A9" s="127" t="s">
        <v>60</v>
      </c>
      <c r="B9" s="127">
        <v>101188</v>
      </c>
      <c r="C9" s="128" t="s">
        <v>62</v>
      </c>
      <c r="D9" s="127" t="s">
        <v>57</v>
      </c>
      <c r="E9" s="127">
        <v>2532</v>
      </c>
      <c r="F9" s="154">
        <v>25</v>
      </c>
      <c r="G9" s="154">
        <v>31.25</v>
      </c>
      <c r="H9" s="154">
        <f>G9*E9</f>
        <v>79125</v>
      </c>
    </row>
    <row r="10" spans="1:8" ht="80.25" customHeight="1" x14ac:dyDescent="0.25">
      <c r="A10" s="127"/>
      <c r="B10" s="127"/>
      <c r="C10" s="128"/>
      <c r="D10" s="127"/>
      <c r="E10" s="127"/>
      <c r="F10" s="154"/>
      <c r="G10" s="154"/>
      <c r="H10" s="154"/>
    </row>
    <row r="11" spans="1:8" ht="32.25" customHeight="1" x14ac:dyDescent="0.25">
      <c r="A11" s="168"/>
      <c r="B11" s="153"/>
      <c r="C11" s="153"/>
      <c r="D11" s="153"/>
      <c r="E11" s="169"/>
      <c r="F11" s="152" t="s">
        <v>61</v>
      </c>
      <c r="G11" s="152"/>
      <c r="H11" s="49">
        <f>SUM(H5:H10)</f>
        <v>457112.49999999994</v>
      </c>
    </row>
  </sheetData>
  <mergeCells count="34">
    <mergeCell ref="F11:G11"/>
    <mergeCell ref="A11:E11"/>
    <mergeCell ref="H5:H6"/>
    <mergeCell ref="H7:H8"/>
    <mergeCell ref="H9:H10"/>
    <mergeCell ref="G9:G10"/>
    <mergeCell ref="F9:F10"/>
    <mergeCell ref="G5:G6"/>
    <mergeCell ref="F7:F8"/>
    <mergeCell ref="G7:G8"/>
    <mergeCell ref="F5:F6"/>
    <mergeCell ref="A9:A10"/>
    <mergeCell ref="B9:B10"/>
    <mergeCell ref="D9:D10"/>
    <mergeCell ref="E9:E10"/>
    <mergeCell ref="C9:C10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A1:H2"/>
    <mergeCell ref="A3:A4"/>
    <mergeCell ref="B3:B4"/>
    <mergeCell ref="C3:C4"/>
    <mergeCell ref="D3:D4"/>
    <mergeCell ref="E3:E4"/>
    <mergeCell ref="F3:G3"/>
    <mergeCell ref="H3:H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55E9F-B1E6-4DAD-BC07-4F61DE33D9CF}">
  <dimension ref="A1:H10"/>
  <sheetViews>
    <sheetView workbookViewId="0">
      <selection sqref="A1:H10"/>
    </sheetView>
  </sheetViews>
  <sheetFormatPr defaultRowHeight="15" x14ac:dyDescent="0.25"/>
  <cols>
    <col min="1" max="1" width="11.7109375" customWidth="1"/>
    <col min="2" max="2" width="16.85546875" customWidth="1"/>
    <col min="3" max="3" width="21.5703125" customWidth="1"/>
    <col min="4" max="4" width="14.7109375" customWidth="1"/>
    <col min="5" max="5" width="15.7109375" customWidth="1"/>
    <col min="6" max="6" width="17.5703125" customWidth="1"/>
    <col min="7" max="7" width="19.42578125" customWidth="1"/>
    <col min="8" max="8" width="32" customWidth="1"/>
  </cols>
  <sheetData>
    <row r="1" spans="1:8" ht="34.5" customHeight="1" x14ac:dyDescent="0.25">
      <c r="A1" s="117" t="s">
        <v>63</v>
      </c>
      <c r="B1" s="117"/>
      <c r="C1" s="117"/>
      <c r="D1" s="117"/>
      <c r="E1" s="117"/>
      <c r="F1" s="117"/>
      <c r="G1" s="117"/>
      <c r="H1" s="117"/>
    </row>
    <row r="2" spans="1:8" ht="15" hidden="1" customHeight="1" x14ac:dyDescent="0.25">
      <c r="A2" s="117"/>
      <c r="B2" s="117"/>
      <c r="C2" s="117"/>
      <c r="D2" s="117"/>
      <c r="E2" s="117"/>
      <c r="F2" s="117"/>
      <c r="G2" s="117"/>
      <c r="H2" s="117"/>
    </row>
    <row r="3" spans="1:8" ht="15" customHeight="1" x14ac:dyDescent="0.25">
      <c r="A3" s="118" t="s">
        <v>4</v>
      </c>
      <c r="B3" s="118" t="s">
        <v>5</v>
      </c>
      <c r="C3" s="118" t="s">
        <v>6</v>
      </c>
      <c r="D3" s="118" t="s">
        <v>7</v>
      </c>
      <c r="E3" s="118" t="s">
        <v>8</v>
      </c>
      <c r="F3" s="167" t="s">
        <v>9</v>
      </c>
      <c r="G3" s="167"/>
      <c r="H3" s="118" t="s">
        <v>10</v>
      </c>
    </row>
    <row r="4" spans="1:8" ht="15" customHeight="1" x14ac:dyDescent="0.25">
      <c r="A4" s="118"/>
      <c r="B4" s="118"/>
      <c r="C4" s="118"/>
      <c r="D4" s="118"/>
      <c r="E4" s="118"/>
      <c r="F4" s="13" t="s">
        <v>11</v>
      </c>
      <c r="G4" s="13" t="s">
        <v>12</v>
      </c>
      <c r="H4" s="118"/>
    </row>
    <row r="5" spans="1:8" ht="108" customHeight="1" x14ac:dyDescent="0.25">
      <c r="A5" s="127" t="s">
        <v>64</v>
      </c>
      <c r="B5" s="127">
        <v>101176</v>
      </c>
      <c r="C5" s="128" t="s">
        <v>69</v>
      </c>
      <c r="D5" s="127" t="s">
        <v>57</v>
      </c>
      <c r="E5" s="173">
        <v>74100</v>
      </c>
      <c r="F5" s="172">
        <v>129.34</v>
      </c>
      <c r="G5" s="172">
        <v>162.74</v>
      </c>
      <c r="H5" s="172">
        <f>G5*E5</f>
        <v>12059034</v>
      </c>
    </row>
    <row r="6" spans="1:8" x14ac:dyDescent="0.25">
      <c r="A6" s="127"/>
      <c r="B6" s="127"/>
      <c r="C6" s="128"/>
      <c r="D6" s="127"/>
      <c r="E6" s="173"/>
      <c r="F6" s="172"/>
      <c r="G6" s="172"/>
      <c r="H6" s="172"/>
    </row>
    <row r="7" spans="1:8" x14ac:dyDescent="0.25">
      <c r="A7" s="127"/>
      <c r="B7" s="127"/>
      <c r="C7" s="128"/>
      <c r="D7" s="127"/>
      <c r="E7" s="173"/>
      <c r="F7" s="172"/>
      <c r="G7" s="172"/>
      <c r="H7" s="172"/>
    </row>
    <row r="8" spans="1:8" ht="48" customHeight="1" x14ac:dyDescent="0.25">
      <c r="A8" s="127" t="s">
        <v>65</v>
      </c>
      <c r="B8" s="127">
        <v>99062</v>
      </c>
      <c r="C8" s="128" t="s">
        <v>66</v>
      </c>
      <c r="D8" s="127" t="s">
        <v>67</v>
      </c>
      <c r="E8" s="173">
        <v>7600</v>
      </c>
      <c r="F8" s="172">
        <v>1.66</v>
      </c>
      <c r="G8" s="172">
        <v>2.08</v>
      </c>
      <c r="H8" s="172">
        <f>G8*E8</f>
        <v>15808</v>
      </c>
    </row>
    <row r="9" spans="1:8" ht="30.75" customHeight="1" x14ac:dyDescent="0.25">
      <c r="A9" s="127"/>
      <c r="B9" s="127"/>
      <c r="C9" s="128"/>
      <c r="D9" s="127"/>
      <c r="E9" s="173"/>
      <c r="F9" s="172"/>
      <c r="G9" s="172"/>
      <c r="H9" s="172"/>
    </row>
    <row r="10" spans="1:8" ht="30.75" customHeight="1" x14ac:dyDescent="0.25">
      <c r="A10" s="153"/>
      <c r="B10" s="153"/>
      <c r="C10" s="153"/>
      <c r="D10" s="153"/>
      <c r="E10" s="169"/>
      <c r="F10" s="152" t="s">
        <v>68</v>
      </c>
      <c r="G10" s="152"/>
      <c r="H10" s="46">
        <f>SUM(H5:H9)</f>
        <v>12074842</v>
      </c>
    </row>
  </sheetData>
  <mergeCells count="26">
    <mergeCell ref="F8:F9"/>
    <mergeCell ref="G8:G9"/>
    <mergeCell ref="F10:G10"/>
    <mergeCell ref="A10:E10"/>
    <mergeCell ref="H5:H7"/>
    <mergeCell ref="A8:A9"/>
    <mergeCell ref="B8:B9"/>
    <mergeCell ref="C8:C9"/>
    <mergeCell ref="D8:D9"/>
    <mergeCell ref="E8:E9"/>
    <mergeCell ref="H8:H9"/>
    <mergeCell ref="A5:A7"/>
    <mergeCell ref="B5:B7"/>
    <mergeCell ref="D5:D7"/>
    <mergeCell ref="E5:E7"/>
    <mergeCell ref="F5:F7"/>
    <mergeCell ref="G5:G7"/>
    <mergeCell ref="A1:H2"/>
    <mergeCell ref="A3:A4"/>
    <mergeCell ref="B3:B4"/>
    <mergeCell ref="C3:C4"/>
    <mergeCell ref="D3:D4"/>
    <mergeCell ref="E3:E4"/>
    <mergeCell ref="F3:G3"/>
    <mergeCell ref="H3:H4"/>
    <mergeCell ref="C5:C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F11BA-06B3-41FA-BB83-53FB378DF570}">
  <dimension ref="A1:H24"/>
  <sheetViews>
    <sheetView zoomScale="90" zoomScaleNormal="90" workbookViewId="0">
      <selection sqref="A1:H24"/>
    </sheetView>
  </sheetViews>
  <sheetFormatPr defaultRowHeight="15" x14ac:dyDescent="0.25"/>
  <cols>
    <col min="1" max="1" width="12.5703125" customWidth="1"/>
    <col min="2" max="2" width="12.5703125" bestFit="1" customWidth="1"/>
    <col min="3" max="3" width="39.7109375" customWidth="1"/>
    <col min="4" max="4" width="10.85546875" customWidth="1"/>
    <col min="5" max="5" width="13.85546875" bestFit="1" customWidth="1"/>
    <col min="6" max="7" width="15.85546875" bestFit="1" customWidth="1"/>
    <col min="8" max="8" width="34.140625" customWidth="1"/>
    <col min="12" max="12" width="13.85546875" bestFit="1" customWidth="1"/>
  </cols>
  <sheetData>
    <row r="1" spans="1:8" ht="34.5" customHeight="1" x14ac:dyDescent="0.25">
      <c r="A1" s="117" t="s">
        <v>334</v>
      </c>
      <c r="B1" s="117"/>
      <c r="C1" s="117"/>
      <c r="D1" s="117"/>
      <c r="E1" s="117"/>
      <c r="F1" s="117"/>
      <c r="G1" s="117"/>
      <c r="H1" s="117"/>
    </row>
    <row r="2" spans="1:8" ht="15" hidden="1" customHeight="1" x14ac:dyDescent="0.25">
      <c r="A2" s="117"/>
      <c r="B2" s="117"/>
      <c r="C2" s="117"/>
      <c r="D2" s="117"/>
      <c r="E2" s="117"/>
      <c r="F2" s="117"/>
      <c r="G2" s="117"/>
      <c r="H2" s="117"/>
    </row>
    <row r="3" spans="1:8" ht="15" customHeight="1" x14ac:dyDescent="0.25">
      <c r="A3" s="118" t="s">
        <v>4</v>
      </c>
      <c r="B3" s="118" t="s">
        <v>5</v>
      </c>
      <c r="C3" s="118" t="s">
        <v>6</v>
      </c>
      <c r="D3" s="118" t="s">
        <v>7</v>
      </c>
      <c r="E3" s="118" t="s">
        <v>8</v>
      </c>
      <c r="F3" s="167" t="s">
        <v>9</v>
      </c>
      <c r="G3" s="167"/>
      <c r="H3" s="118" t="s">
        <v>10</v>
      </c>
    </row>
    <row r="4" spans="1:8" ht="15" customHeight="1" x14ac:dyDescent="0.25">
      <c r="A4" s="118"/>
      <c r="B4" s="118"/>
      <c r="C4" s="118"/>
      <c r="D4" s="118"/>
      <c r="E4" s="118"/>
      <c r="F4" s="13" t="s">
        <v>11</v>
      </c>
      <c r="G4" s="13" t="s">
        <v>12</v>
      </c>
      <c r="H4" s="118"/>
    </row>
    <row r="5" spans="1:8" ht="20.25" x14ac:dyDescent="0.25">
      <c r="A5" s="48" t="s">
        <v>70</v>
      </c>
      <c r="B5" s="177" t="s">
        <v>71</v>
      </c>
      <c r="C5" s="178"/>
      <c r="D5" s="178"/>
      <c r="E5" s="178"/>
      <c r="F5" s="178"/>
      <c r="G5" s="178"/>
      <c r="H5" s="179"/>
    </row>
    <row r="6" spans="1:8" ht="60" customHeight="1" x14ac:dyDescent="0.25">
      <c r="A6" s="127" t="s">
        <v>72</v>
      </c>
      <c r="B6" s="127">
        <v>87690</v>
      </c>
      <c r="C6" s="128" t="s">
        <v>76</v>
      </c>
      <c r="D6" s="127" t="s">
        <v>74</v>
      </c>
      <c r="E6" s="127">
        <v>98.1</v>
      </c>
      <c r="F6" s="172">
        <v>35.33</v>
      </c>
      <c r="G6" s="172">
        <v>44.45</v>
      </c>
      <c r="H6" s="172">
        <f>G6*E6</f>
        <v>4360.5450000000001</v>
      </c>
    </row>
    <row r="7" spans="1:8" x14ac:dyDescent="0.25">
      <c r="A7" s="127"/>
      <c r="B7" s="127"/>
      <c r="C7" s="128"/>
      <c r="D7" s="127"/>
      <c r="E7" s="127"/>
      <c r="F7" s="172"/>
      <c r="G7" s="172"/>
      <c r="H7" s="172"/>
    </row>
    <row r="8" spans="1:8" x14ac:dyDescent="0.25">
      <c r="A8" s="127"/>
      <c r="B8" s="127"/>
      <c r="C8" s="128"/>
      <c r="D8" s="127"/>
      <c r="E8" s="127"/>
      <c r="F8" s="172"/>
      <c r="G8" s="172"/>
      <c r="H8" s="172"/>
    </row>
    <row r="9" spans="1:8" ht="60" customHeight="1" x14ac:dyDescent="0.25">
      <c r="A9" s="127" t="s">
        <v>73</v>
      </c>
      <c r="B9" s="127">
        <v>87246</v>
      </c>
      <c r="C9" s="128" t="s">
        <v>77</v>
      </c>
      <c r="D9" s="127" t="s">
        <v>74</v>
      </c>
      <c r="E9" s="127">
        <v>72.47</v>
      </c>
      <c r="F9" s="172">
        <v>50.56</v>
      </c>
      <c r="G9" s="172">
        <v>63.61</v>
      </c>
      <c r="H9" s="172">
        <f>G9*E9</f>
        <v>4609.8167000000003</v>
      </c>
    </row>
    <row r="10" spans="1:8" x14ac:dyDescent="0.25">
      <c r="A10" s="127"/>
      <c r="B10" s="127"/>
      <c r="C10" s="128"/>
      <c r="D10" s="127"/>
      <c r="E10" s="127"/>
      <c r="F10" s="172"/>
      <c r="G10" s="172"/>
      <c r="H10" s="172"/>
    </row>
    <row r="11" spans="1:8" x14ac:dyDescent="0.25">
      <c r="A11" s="127"/>
      <c r="B11" s="127"/>
      <c r="C11" s="128"/>
      <c r="D11" s="127"/>
      <c r="E11" s="127"/>
      <c r="F11" s="172"/>
      <c r="G11" s="172"/>
      <c r="H11" s="172"/>
    </row>
    <row r="12" spans="1:8" ht="36" customHeight="1" x14ac:dyDescent="0.25">
      <c r="A12" s="127" t="s">
        <v>75</v>
      </c>
      <c r="B12" s="127">
        <v>88648</v>
      </c>
      <c r="C12" s="128" t="s">
        <v>85</v>
      </c>
      <c r="D12" s="127" t="s">
        <v>57</v>
      </c>
      <c r="E12" s="127">
        <v>90.8</v>
      </c>
      <c r="F12" s="172">
        <v>6.02</v>
      </c>
      <c r="G12" s="172">
        <v>7.57</v>
      </c>
      <c r="H12" s="172">
        <f>G12*E12</f>
        <v>687.35599999999999</v>
      </c>
    </row>
    <row r="13" spans="1:8" x14ac:dyDescent="0.25">
      <c r="A13" s="127"/>
      <c r="B13" s="127"/>
      <c r="C13" s="128"/>
      <c r="D13" s="127"/>
      <c r="E13" s="127"/>
      <c r="F13" s="172"/>
      <c r="G13" s="172"/>
      <c r="H13" s="172"/>
    </row>
    <row r="14" spans="1:8" ht="66" customHeight="1" x14ac:dyDescent="0.25">
      <c r="A14" s="127" t="s">
        <v>78</v>
      </c>
      <c r="B14" s="127">
        <v>92775</v>
      </c>
      <c r="C14" s="128" t="s">
        <v>82</v>
      </c>
      <c r="D14" s="127" t="s">
        <v>79</v>
      </c>
      <c r="E14" s="127">
        <v>947.59</v>
      </c>
      <c r="F14" s="172">
        <v>19.21</v>
      </c>
      <c r="G14" s="172">
        <v>24.17</v>
      </c>
      <c r="H14" s="172">
        <f>G14*E14</f>
        <v>22903.250300000003</v>
      </c>
    </row>
    <row r="15" spans="1:8" ht="36" customHeight="1" x14ac:dyDescent="0.25">
      <c r="A15" s="127"/>
      <c r="B15" s="127"/>
      <c r="C15" s="128"/>
      <c r="D15" s="127"/>
      <c r="E15" s="127"/>
      <c r="F15" s="172"/>
      <c r="G15" s="172"/>
      <c r="H15" s="172"/>
    </row>
    <row r="16" spans="1:8" x14ac:dyDescent="0.25">
      <c r="A16" s="127"/>
      <c r="B16" s="127"/>
      <c r="C16" s="128"/>
      <c r="D16" s="127"/>
      <c r="E16" s="127"/>
      <c r="F16" s="172"/>
      <c r="G16" s="172"/>
      <c r="H16" s="172"/>
    </row>
    <row r="17" spans="1:8" ht="94.5" customHeight="1" x14ac:dyDescent="0.25">
      <c r="A17" s="127" t="s">
        <v>80</v>
      </c>
      <c r="B17" s="127">
        <v>92779</v>
      </c>
      <c r="C17" s="128" t="s">
        <v>83</v>
      </c>
      <c r="D17" s="127" t="s">
        <v>79</v>
      </c>
      <c r="E17" s="127">
        <v>771.23</v>
      </c>
      <c r="F17" s="172">
        <v>13.99</v>
      </c>
      <c r="G17" s="172">
        <v>17.600000000000001</v>
      </c>
      <c r="H17" s="172">
        <f>G17*E17</f>
        <v>13573.648000000001</v>
      </c>
    </row>
    <row r="18" spans="1:8" x14ac:dyDescent="0.25">
      <c r="A18" s="127"/>
      <c r="B18" s="127"/>
      <c r="C18" s="128"/>
      <c r="D18" s="127"/>
      <c r="E18" s="127"/>
      <c r="F18" s="172"/>
      <c r="G18" s="172"/>
      <c r="H18" s="172"/>
    </row>
    <row r="19" spans="1:8" x14ac:dyDescent="0.25">
      <c r="A19" s="127"/>
      <c r="B19" s="127"/>
      <c r="C19" s="128"/>
      <c r="D19" s="127"/>
      <c r="E19" s="127"/>
      <c r="F19" s="172"/>
      <c r="G19" s="172"/>
      <c r="H19" s="172"/>
    </row>
    <row r="20" spans="1:8" x14ac:dyDescent="0.25">
      <c r="A20" s="127"/>
      <c r="B20" s="127"/>
      <c r="C20" s="128"/>
      <c r="D20" s="127"/>
      <c r="E20" s="127"/>
      <c r="F20" s="172"/>
      <c r="G20" s="172"/>
      <c r="H20" s="172"/>
    </row>
    <row r="21" spans="1:8" ht="54" customHeight="1" x14ac:dyDescent="0.25">
      <c r="A21" s="127" t="s">
        <v>81</v>
      </c>
      <c r="B21" s="127">
        <v>94964</v>
      </c>
      <c r="C21" s="128" t="s">
        <v>84</v>
      </c>
      <c r="D21" s="127"/>
      <c r="E21" s="127">
        <v>11.35</v>
      </c>
      <c r="F21" s="172">
        <v>371.92</v>
      </c>
      <c r="G21" s="172">
        <v>467.97</v>
      </c>
      <c r="H21" s="172">
        <f>G21*E21</f>
        <v>5311.4594999999999</v>
      </c>
    </row>
    <row r="22" spans="1:8" x14ac:dyDescent="0.25">
      <c r="A22" s="127"/>
      <c r="B22" s="127"/>
      <c r="C22" s="128"/>
      <c r="D22" s="127"/>
      <c r="E22" s="127"/>
      <c r="F22" s="172"/>
      <c r="G22" s="172"/>
      <c r="H22" s="172"/>
    </row>
    <row r="23" spans="1:8" x14ac:dyDescent="0.25">
      <c r="A23" s="127"/>
      <c r="B23" s="127"/>
      <c r="C23" s="128"/>
      <c r="D23" s="127"/>
      <c r="E23" s="127"/>
      <c r="F23" s="172"/>
      <c r="G23" s="172"/>
      <c r="H23" s="172"/>
    </row>
    <row r="24" spans="1:8" ht="34.5" customHeight="1" x14ac:dyDescent="0.25">
      <c r="A24" s="175"/>
      <c r="B24" s="175"/>
      <c r="C24" s="175"/>
      <c r="D24" s="175"/>
      <c r="E24" s="176"/>
      <c r="F24" s="174" t="s">
        <v>335</v>
      </c>
      <c r="G24" s="174"/>
      <c r="H24" s="50">
        <f>SUM(H5:H23)</f>
        <v>51446.075500000006</v>
      </c>
    </row>
  </sheetData>
  <mergeCells count="59">
    <mergeCell ref="B5:H5"/>
    <mergeCell ref="H17:H20"/>
    <mergeCell ref="A21:A23"/>
    <mergeCell ref="B21:B23"/>
    <mergeCell ref="D21:D23"/>
    <mergeCell ref="E21:E23"/>
    <mergeCell ref="F21:F23"/>
    <mergeCell ref="G21:G23"/>
    <mergeCell ref="H21:H23"/>
    <mergeCell ref="C17:C20"/>
    <mergeCell ref="C21:C23"/>
    <mergeCell ref="A17:A20"/>
    <mergeCell ref="B17:B20"/>
    <mergeCell ref="D17:D20"/>
    <mergeCell ref="E17:E20"/>
    <mergeCell ref="H12:H13"/>
    <mergeCell ref="C6:C8"/>
    <mergeCell ref="C9:C11"/>
    <mergeCell ref="C12:C13"/>
    <mergeCell ref="H6:H8"/>
    <mergeCell ref="G9:G11"/>
    <mergeCell ref="H9:H11"/>
    <mergeCell ref="G6:G8"/>
    <mergeCell ref="H14:H16"/>
    <mergeCell ref="G14:G16"/>
    <mergeCell ref="F24:G24"/>
    <mergeCell ref="A14:A16"/>
    <mergeCell ref="A12:A13"/>
    <mergeCell ref="B12:B13"/>
    <mergeCell ref="D12:D13"/>
    <mergeCell ref="E12:E13"/>
    <mergeCell ref="F12:F13"/>
    <mergeCell ref="G12:G13"/>
    <mergeCell ref="F17:F20"/>
    <mergeCell ref="G17:G20"/>
    <mergeCell ref="B14:B16"/>
    <mergeCell ref="A24:E24"/>
    <mergeCell ref="C14:C16"/>
    <mergeCell ref="D14:D16"/>
    <mergeCell ref="E14:E16"/>
    <mergeCell ref="F14:F16"/>
    <mergeCell ref="A9:A11"/>
    <mergeCell ref="B9:B11"/>
    <mergeCell ref="D9:D11"/>
    <mergeCell ref="E9:E11"/>
    <mergeCell ref="F9:F11"/>
    <mergeCell ref="A6:A8"/>
    <mergeCell ref="B6:B8"/>
    <mergeCell ref="D6:D8"/>
    <mergeCell ref="E6:E8"/>
    <mergeCell ref="F6:F8"/>
    <mergeCell ref="A1:H2"/>
    <mergeCell ref="A3:A4"/>
    <mergeCell ref="B3:B4"/>
    <mergeCell ref="C3:C4"/>
    <mergeCell ref="D3:D4"/>
    <mergeCell ref="E3:E4"/>
    <mergeCell ref="F3:G3"/>
    <mergeCell ref="H3:H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15800-BD01-4DE8-9F05-9813BCF1C269}">
  <dimension ref="A1:H14"/>
  <sheetViews>
    <sheetView zoomScaleNormal="100" workbookViewId="0">
      <selection sqref="A1:H14"/>
    </sheetView>
  </sheetViews>
  <sheetFormatPr defaultRowHeight="15" x14ac:dyDescent="0.25"/>
  <cols>
    <col min="1" max="1" width="11.7109375" customWidth="1"/>
    <col min="2" max="2" width="21.140625" customWidth="1"/>
    <col min="3" max="3" width="43.42578125" customWidth="1"/>
    <col min="4" max="4" width="9.42578125" customWidth="1"/>
    <col min="5" max="5" width="13.140625" bestFit="1" customWidth="1"/>
    <col min="6" max="6" width="21.5703125" customWidth="1"/>
    <col min="7" max="7" width="17.28515625" customWidth="1"/>
    <col min="8" max="8" width="25.42578125" customWidth="1"/>
  </cols>
  <sheetData>
    <row r="1" spans="1:8" ht="34.5" customHeight="1" x14ac:dyDescent="0.25">
      <c r="A1" s="117" t="s">
        <v>93</v>
      </c>
      <c r="B1" s="117"/>
      <c r="C1" s="117"/>
      <c r="D1" s="117"/>
      <c r="E1" s="117"/>
      <c r="F1" s="117"/>
      <c r="G1" s="117"/>
      <c r="H1" s="117"/>
    </row>
    <row r="2" spans="1:8" ht="15" hidden="1" customHeight="1" x14ac:dyDescent="0.25">
      <c r="A2" s="117"/>
      <c r="B2" s="117"/>
      <c r="C2" s="117"/>
      <c r="D2" s="117"/>
      <c r="E2" s="117"/>
      <c r="F2" s="117"/>
      <c r="G2" s="117"/>
      <c r="H2" s="117"/>
    </row>
    <row r="3" spans="1:8" ht="15" customHeight="1" x14ac:dyDescent="0.25">
      <c r="A3" s="118" t="s">
        <v>4</v>
      </c>
      <c r="B3" s="118" t="s">
        <v>5</v>
      </c>
      <c r="C3" s="118" t="s">
        <v>6</v>
      </c>
      <c r="D3" s="118" t="s">
        <v>7</v>
      </c>
      <c r="E3" s="118" t="s">
        <v>8</v>
      </c>
      <c r="F3" s="167" t="s">
        <v>9</v>
      </c>
      <c r="G3" s="167"/>
      <c r="H3" s="118" t="s">
        <v>10</v>
      </c>
    </row>
    <row r="4" spans="1:8" ht="15" customHeight="1" x14ac:dyDescent="0.25">
      <c r="A4" s="118"/>
      <c r="B4" s="118"/>
      <c r="C4" s="118"/>
      <c r="D4" s="118"/>
      <c r="E4" s="118"/>
      <c r="F4" s="13" t="s">
        <v>11</v>
      </c>
      <c r="G4" s="13" t="s">
        <v>12</v>
      </c>
      <c r="H4" s="118"/>
    </row>
    <row r="5" spans="1:8" s="23" customFormat="1" ht="20.25" x14ac:dyDescent="0.25">
      <c r="A5" s="48" t="s">
        <v>86</v>
      </c>
      <c r="B5" s="180" t="s">
        <v>87</v>
      </c>
      <c r="C5" s="181"/>
      <c r="D5" s="181"/>
      <c r="E5" s="181"/>
      <c r="F5" s="181"/>
      <c r="G5" s="181"/>
      <c r="H5" s="182"/>
    </row>
    <row r="6" spans="1:8" ht="22.5" customHeight="1" x14ac:dyDescent="0.25">
      <c r="A6" s="127" t="s">
        <v>88</v>
      </c>
      <c r="B6" s="127">
        <v>87878</v>
      </c>
      <c r="C6" s="149" t="s">
        <v>90</v>
      </c>
      <c r="D6" s="127"/>
      <c r="E6" s="127">
        <v>286.39999999999998</v>
      </c>
      <c r="F6" s="183">
        <v>3.44</v>
      </c>
      <c r="G6" s="183">
        <v>4.32</v>
      </c>
      <c r="H6" s="172">
        <f>G6*E6</f>
        <v>1237.248</v>
      </c>
    </row>
    <row r="7" spans="1:8" ht="22.5" customHeight="1" x14ac:dyDescent="0.25">
      <c r="A7" s="127"/>
      <c r="B7" s="127"/>
      <c r="C7" s="150"/>
      <c r="D7" s="127"/>
      <c r="E7" s="127"/>
      <c r="F7" s="184"/>
      <c r="G7" s="184"/>
      <c r="H7" s="172"/>
    </row>
    <row r="8" spans="1:8" ht="22.5" customHeight="1" x14ac:dyDescent="0.25">
      <c r="A8" s="127"/>
      <c r="B8" s="127"/>
      <c r="C8" s="150"/>
      <c r="D8" s="127"/>
      <c r="E8" s="127"/>
      <c r="F8" s="185"/>
      <c r="G8" s="185"/>
      <c r="H8" s="172"/>
    </row>
    <row r="9" spans="1:8" ht="20.25" hidden="1" x14ac:dyDescent="0.25">
      <c r="A9" s="127"/>
      <c r="B9" s="127"/>
      <c r="C9" s="151"/>
      <c r="D9" s="127"/>
      <c r="E9" s="127"/>
      <c r="F9" s="24"/>
      <c r="G9" s="24"/>
      <c r="H9" s="172"/>
    </row>
    <row r="10" spans="1:8" ht="36" customHeight="1" x14ac:dyDescent="0.25">
      <c r="A10" s="127" t="s">
        <v>89</v>
      </c>
      <c r="B10" s="127">
        <v>87264</v>
      </c>
      <c r="C10" s="149" t="s">
        <v>91</v>
      </c>
      <c r="D10" s="127" t="s">
        <v>74</v>
      </c>
      <c r="E10" s="127">
        <v>84.3</v>
      </c>
      <c r="F10" s="183">
        <v>55.08</v>
      </c>
      <c r="G10" s="172">
        <v>69.3</v>
      </c>
      <c r="H10" s="172">
        <f>G10*E10</f>
        <v>5841.99</v>
      </c>
    </row>
    <row r="11" spans="1:8" x14ac:dyDescent="0.25">
      <c r="A11" s="127"/>
      <c r="B11" s="127"/>
      <c r="C11" s="150"/>
      <c r="D11" s="127"/>
      <c r="E11" s="127"/>
      <c r="F11" s="184"/>
      <c r="G11" s="172"/>
      <c r="H11" s="172"/>
    </row>
    <row r="12" spans="1:8" ht="20.25" customHeight="1" x14ac:dyDescent="0.25">
      <c r="A12" s="127"/>
      <c r="B12" s="127"/>
      <c r="C12" s="150"/>
      <c r="D12" s="127"/>
      <c r="E12" s="127"/>
      <c r="F12" s="184"/>
      <c r="G12" s="172"/>
      <c r="H12" s="172"/>
    </row>
    <row r="13" spans="1:8" ht="21.75" customHeight="1" x14ac:dyDescent="0.25">
      <c r="A13" s="127"/>
      <c r="B13" s="127"/>
      <c r="C13" s="151"/>
      <c r="D13" s="127"/>
      <c r="E13" s="127"/>
      <c r="F13" s="185"/>
      <c r="G13" s="172"/>
      <c r="H13" s="172"/>
    </row>
    <row r="14" spans="1:8" ht="36.75" customHeight="1" x14ac:dyDescent="0.25">
      <c r="A14" s="136"/>
      <c r="B14" s="136"/>
      <c r="C14" s="136"/>
      <c r="D14" s="136"/>
      <c r="E14" s="136"/>
      <c r="F14" s="152" t="s">
        <v>92</v>
      </c>
      <c r="G14" s="152"/>
      <c r="H14" s="46">
        <f>SUM(H6:H13)</f>
        <v>7079.2379999999994</v>
      </c>
    </row>
  </sheetData>
  <mergeCells count="27">
    <mergeCell ref="H6:H9"/>
    <mergeCell ref="A10:A13"/>
    <mergeCell ref="F6:F8"/>
    <mergeCell ref="F10:F13"/>
    <mergeCell ref="G6:G8"/>
    <mergeCell ref="H10:H13"/>
    <mergeCell ref="A14:E14"/>
    <mergeCell ref="F14:G14"/>
    <mergeCell ref="A6:A9"/>
    <mergeCell ref="B6:B9"/>
    <mergeCell ref="D6:D9"/>
    <mergeCell ref="E6:E9"/>
    <mergeCell ref="B10:B13"/>
    <mergeCell ref="D10:D13"/>
    <mergeCell ref="E10:E13"/>
    <mergeCell ref="G10:G13"/>
    <mergeCell ref="C6:C9"/>
    <mergeCell ref="C10:C13"/>
    <mergeCell ref="B5:H5"/>
    <mergeCell ref="A1:H2"/>
    <mergeCell ref="A3:A4"/>
    <mergeCell ref="B3:B4"/>
    <mergeCell ref="C3:C4"/>
    <mergeCell ref="D3:D4"/>
    <mergeCell ref="E3:E4"/>
    <mergeCell ref="F3:G3"/>
    <mergeCell ref="H3:H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44E0-F705-4480-82F2-E29A3F610C07}">
  <dimension ref="A1:H21"/>
  <sheetViews>
    <sheetView topLeftCell="A3" zoomScaleNormal="100" workbookViewId="0">
      <selection sqref="A1:H21"/>
    </sheetView>
  </sheetViews>
  <sheetFormatPr defaultRowHeight="15" x14ac:dyDescent="0.25"/>
  <cols>
    <col min="1" max="1" width="14" customWidth="1"/>
    <col min="2" max="2" width="38.7109375" customWidth="1"/>
    <col min="3" max="3" width="39.85546875" customWidth="1"/>
    <col min="4" max="4" width="9.85546875" customWidth="1"/>
    <col min="5" max="5" width="13.5703125" bestFit="1" customWidth="1"/>
    <col min="6" max="6" width="15.5703125" bestFit="1" customWidth="1"/>
    <col min="7" max="7" width="17.5703125" customWidth="1"/>
    <col min="8" max="8" width="25.140625" customWidth="1"/>
  </cols>
  <sheetData>
    <row r="1" spans="1:8" ht="34.5" customHeight="1" x14ac:dyDescent="0.25">
      <c r="A1" s="117" t="s">
        <v>394</v>
      </c>
      <c r="B1" s="117"/>
      <c r="C1" s="117"/>
      <c r="D1" s="117"/>
      <c r="E1" s="117"/>
      <c r="F1" s="117"/>
      <c r="G1" s="117"/>
      <c r="H1" s="117"/>
    </row>
    <row r="2" spans="1:8" ht="15" hidden="1" customHeight="1" x14ac:dyDescent="0.25">
      <c r="A2" s="117"/>
      <c r="B2" s="117"/>
      <c r="C2" s="117"/>
      <c r="D2" s="117"/>
      <c r="E2" s="117"/>
      <c r="F2" s="117"/>
      <c r="G2" s="117"/>
      <c r="H2" s="117"/>
    </row>
    <row r="3" spans="1:8" ht="15" customHeight="1" x14ac:dyDescent="0.25">
      <c r="A3" s="118" t="s">
        <v>4</v>
      </c>
      <c r="B3" s="118" t="s">
        <v>5</v>
      </c>
      <c r="C3" s="118" t="s">
        <v>6</v>
      </c>
      <c r="D3" s="118" t="s">
        <v>7</v>
      </c>
      <c r="E3" s="118" t="s">
        <v>8</v>
      </c>
      <c r="F3" s="167" t="s">
        <v>9</v>
      </c>
      <c r="G3" s="167"/>
      <c r="H3" s="118" t="s">
        <v>10</v>
      </c>
    </row>
    <row r="4" spans="1:8" ht="15" customHeight="1" x14ac:dyDescent="0.25">
      <c r="A4" s="118"/>
      <c r="B4" s="118"/>
      <c r="C4" s="118"/>
      <c r="D4" s="118"/>
      <c r="E4" s="118"/>
      <c r="F4" s="13" t="s">
        <v>11</v>
      </c>
      <c r="G4" s="13" t="s">
        <v>12</v>
      </c>
      <c r="H4" s="118"/>
    </row>
    <row r="5" spans="1:8" s="23" customFormat="1" ht="20.25" x14ac:dyDescent="0.25">
      <c r="A5" s="48" t="s">
        <v>103</v>
      </c>
      <c r="B5" s="120" t="s">
        <v>393</v>
      </c>
      <c r="C5" s="120"/>
      <c r="D5" s="120"/>
      <c r="E5" s="120"/>
      <c r="F5" s="120"/>
      <c r="G5" s="120"/>
      <c r="H5" s="120"/>
    </row>
    <row r="6" spans="1:8" ht="19.5" customHeight="1" x14ac:dyDescent="0.25">
      <c r="A6" s="127" t="s">
        <v>336</v>
      </c>
      <c r="B6" s="127">
        <v>90822</v>
      </c>
      <c r="C6" s="128" t="s">
        <v>102</v>
      </c>
      <c r="D6" s="127" t="s">
        <v>67</v>
      </c>
      <c r="E6" s="127">
        <v>2</v>
      </c>
      <c r="F6" s="172">
        <v>300.67</v>
      </c>
      <c r="G6" s="172">
        <v>378.31</v>
      </c>
      <c r="H6" s="172">
        <f>G6*E6</f>
        <v>756.62</v>
      </c>
    </row>
    <row r="7" spans="1:8" x14ac:dyDescent="0.25">
      <c r="A7" s="127"/>
      <c r="B7" s="127"/>
      <c r="C7" s="128"/>
      <c r="D7" s="127"/>
      <c r="E7" s="127"/>
      <c r="F7" s="172"/>
      <c r="G7" s="172"/>
      <c r="H7" s="172"/>
    </row>
    <row r="8" spans="1:8" ht="21" customHeight="1" x14ac:dyDescent="0.25">
      <c r="A8" s="127"/>
      <c r="B8" s="127"/>
      <c r="C8" s="128"/>
      <c r="D8" s="127"/>
      <c r="E8" s="127"/>
      <c r="F8" s="172"/>
      <c r="G8" s="172"/>
      <c r="H8" s="172"/>
    </row>
    <row r="9" spans="1:8" ht="21" customHeight="1" x14ac:dyDescent="0.25">
      <c r="A9" s="127"/>
      <c r="B9" s="127"/>
      <c r="C9" s="128"/>
      <c r="D9" s="127"/>
      <c r="E9" s="127"/>
      <c r="F9" s="172"/>
      <c r="G9" s="172"/>
      <c r="H9" s="172"/>
    </row>
    <row r="10" spans="1:8" ht="12.75" customHeight="1" x14ac:dyDescent="0.25">
      <c r="A10" s="127" t="s">
        <v>94</v>
      </c>
      <c r="B10" s="127">
        <v>91306</v>
      </c>
      <c r="C10" s="128" t="s">
        <v>104</v>
      </c>
      <c r="D10" s="127" t="s">
        <v>67</v>
      </c>
      <c r="E10" s="127">
        <v>6</v>
      </c>
      <c r="F10" s="172">
        <v>123.73</v>
      </c>
      <c r="G10" s="172">
        <v>155.68</v>
      </c>
      <c r="H10" s="172">
        <f>G10*E10</f>
        <v>934.08</v>
      </c>
    </row>
    <row r="11" spans="1:8" ht="20.25" customHeight="1" x14ac:dyDescent="0.25">
      <c r="A11" s="127"/>
      <c r="B11" s="127"/>
      <c r="C11" s="128"/>
      <c r="D11" s="127"/>
      <c r="E11" s="127"/>
      <c r="F11" s="172"/>
      <c r="G11" s="172"/>
      <c r="H11" s="172"/>
    </row>
    <row r="12" spans="1:8" ht="21" customHeight="1" x14ac:dyDescent="0.25">
      <c r="A12" s="127"/>
      <c r="B12" s="127"/>
      <c r="C12" s="128"/>
      <c r="D12" s="127"/>
      <c r="E12" s="127"/>
      <c r="F12" s="172"/>
      <c r="G12" s="172"/>
      <c r="H12" s="172"/>
    </row>
    <row r="13" spans="1:8" ht="21" customHeight="1" x14ac:dyDescent="0.25">
      <c r="A13" s="127"/>
      <c r="B13" s="127"/>
      <c r="C13" s="128"/>
      <c r="D13" s="127"/>
      <c r="E13" s="127"/>
      <c r="F13" s="172"/>
      <c r="G13" s="172"/>
      <c r="H13" s="172"/>
    </row>
    <row r="14" spans="1:8" ht="48.75" customHeight="1" x14ac:dyDescent="0.25">
      <c r="A14" s="127" t="s">
        <v>95</v>
      </c>
      <c r="B14" s="127">
        <v>102180</v>
      </c>
      <c r="C14" s="128" t="s">
        <v>96</v>
      </c>
      <c r="D14" s="127" t="s">
        <v>97</v>
      </c>
      <c r="E14" s="127">
        <v>4.2</v>
      </c>
      <c r="F14" s="172" t="s">
        <v>98</v>
      </c>
      <c r="G14" s="172">
        <v>422.94</v>
      </c>
      <c r="H14" s="172">
        <f>G14*E14</f>
        <v>1776.348</v>
      </c>
    </row>
    <row r="15" spans="1:8" x14ac:dyDescent="0.25">
      <c r="A15" s="127"/>
      <c r="B15" s="127"/>
      <c r="C15" s="128"/>
      <c r="D15" s="127"/>
      <c r="E15" s="127"/>
      <c r="F15" s="172"/>
      <c r="G15" s="172"/>
      <c r="H15" s="172"/>
    </row>
    <row r="16" spans="1:8" ht="35.25" customHeight="1" x14ac:dyDescent="0.25">
      <c r="A16" s="127" t="s">
        <v>99</v>
      </c>
      <c r="B16" s="127">
        <v>91341</v>
      </c>
      <c r="C16" s="128" t="s">
        <v>105</v>
      </c>
      <c r="D16" s="127" t="s">
        <v>74</v>
      </c>
      <c r="E16" s="127">
        <v>3.78</v>
      </c>
      <c r="F16" s="172">
        <v>511.57</v>
      </c>
      <c r="G16" s="172">
        <v>643.67999999999995</v>
      </c>
      <c r="H16" s="172">
        <f>G16*E16</f>
        <v>2433.1103999999996</v>
      </c>
    </row>
    <row r="17" spans="1:8" x14ac:dyDescent="0.25">
      <c r="A17" s="127"/>
      <c r="B17" s="127"/>
      <c r="C17" s="128"/>
      <c r="D17" s="127"/>
      <c r="E17" s="127"/>
      <c r="F17" s="172"/>
      <c r="G17" s="172"/>
      <c r="H17" s="172"/>
    </row>
    <row r="18" spans="1:8" x14ac:dyDescent="0.25">
      <c r="A18" s="127"/>
      <c r="B18" s="127"/>
      <c r="C18" s="128"/>
      <c r="D18" s="127"/>
      <c r="E18" s="127"/>
      <c r="F18" s="172"/>
      <c r="G18" s="172"/>
      <c r="H18" s="172"/>
    </row>
    <row r="19" spans="1:8" ht="26.25" customHeight="1" x14ac:dyDescent="0.25">
      <c r="A19" s="127" t="s">
        <v>100</v>
      </c>
      <c r="B19" s="127" t="s">
        <v>101</v>
      </c>
      <c r="C19" s="128" t="s">
        <v>106</v>
      </c>
      <c r="D19" s="127"/>
      <c r="E19" s="127">
        <v>0.84</v>
      </c>
      <c r="F19" s="172">
        <v>61.3</v>
      </c>
      <c r="G19" s="172">
        <v>77.13</v>
      </c>
      <c r="H19" s="172">
        <f>G19*E19</f>
        <v>64.789199999999994</v>
      </c>
    </row>
    <row r="20" spans="1:8" x14ac:dyDescent="0.25">
      <c r="A20" s="127"/>
      <c r="B20" s="127"/>
      <c r="C20" s="128"/>
      <c r="D20" s="127"/>
      <c r="E20" s="127"/>
      <c r="F20" s="172"/>
      <c r="G20" s="172"/>
      <c r="H20" s="172"/>
    </row>
    <row r="21" spans="1:8" ht="30.75" customHeight="1" x14ac:dyDescent="0.25">
      <c r="A21" s="186"/>
      <c r="B21" s="186"/>
      <c r="C21" s="186"/>
      <c r="D21" s="186"/>
      <c r="F21" s="152" t="s">
        <v>107</v>
      </c>
      <c r="G21" s="152"/>
      <c r="H21" s="46">
        <f>SUM(H6:H20)</f>
        <v>5964.9475999999995</v>
      </c>
    </row>
  </sheetData>
  <mergeCells count="51">
    <mergeCell ref="H10:H13"/>
    <mergeCell ref="G10:G13"/>
    <mergeCell ref="A21:D21"/>
    <mergeCell ref="A19:A20"/>
    <mergeCell ref="B19:B20"/>
    <mergeCell ref="D19:D20"/>
    <mergeCell ref="E19:E20"/>
    <mergeCell ref="F19:F20"/>
    <mergeCell ref="G19:G20"/>
    <mergeCell ref="G14:G15"/>
    <mergeCell ref="H19:H20"/>
    <mergeCell ref="F21:G21"/>
    <mergeCell ref="C19:C20"/>
    <mergeCell ref="H14:H15"/>
    <mergeCell ref="G16:G18"/>
    <mergeCell ref="H16:H18"/>
    <mergeCell ref="F14:F15"/>
    <mergeCell ref="A16:A18"/>
    <mergeCell ref="B16:B18"/>
    <mergeCell ref="D16:D18"/>
    <mergeCell ref="E16:E18"/>
    <mergeCell ref="F16:F18"/>
    <mergeCell ref="C16:C18"/>
    <mergeCell ref="A14:A15"/>
    <mergeCell ref="B14:B15"/>
    <mergeCell ref="C14:C15"/>
    <mergeCell ref="D14:D15"/>
    <mergeCell ref="E14:E15"/>
    <mergeCell ref="A10:A13"/>
    <mergeCell ref="B10:B13"/>
    <mergeCell ref="D10:D13"/>
    <mergeCell ref="E10:E13"/>
    <mergeCell ref="F10:F13"/>
    <mergeCell ref="C10:C13"/>
    <mergeCell ref="B5:H5"/>
    <mergeCell ref="A6:A9"/>
    <mergeCell ref="B6:B9"/>
    <mergeCell ref="D6:D9"/>
    <mergeCell ref="E6:E9"/>
    <mergeCell ref="H6:H9"/>
    <mergeCell ref="G6:G9"/>
    <mergeCell ref="F6:F9"/>
    <mergeCell ref="C6:C9"/>
    <mergeCell ref="A1:H2"/>
    <mergeCell ref="A3:A4"/>
    <mergeCell ref="B3:B4"/>
    <mergeCell ref="C3:C4"/>
    <mergeCell ref="D3:D4"/>
    <mergeCell ref="E3:E4"/>
    <mergeCell ref="F3:G3"/>
    <mergeCell ref="H3:H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E8389-B754-44DF-892C-4E93C60E4001}">
  <dimension ref="A1:H14"/>
  <sheetViews>
    <sheetView topLeftCell="A9" zoomScaleNormal="100" workbookViewId="0">
      <selection sqref="A1:H14"/>
    </sheetView>
  </sheetViews>
  <sheetFormatPr defaultRowHeight="15" x14ac:dyDescent="0.25"/>
  <cols>
    <col min="1" max="1" width="19.140625" customWidth="1"/>
    <col min="2" max="2" width="20.28515625" customWidth="1"/>
    <col min="3" max="3" width="29.85546875" customWidth="1"/>
    <col min="4" max="4" width="19.85546875" customWidth="1"/>
    <col min="5" max="5" width="25.7109375" customWidth="1"/>
    <col min="6" max="6" width="24.7109375" customWidth="1"/>
    <col min="7" max="7" width="17.42578125" customWidth="1"/>
    <col min="8" max="8" width="25.5703125" customWidth="1"/>
  </cols>
  <sheetData>
    <row r="1" spans="1:8" ht="34.5" customHeight="1" x14ac:dyDescent="0.25">
      <c r="A1" s="117" t="s">
        <v>397</v>
      </c>
      <c r="B1" s="117"/>
      <c r="C1" s="117"/>
      <c r="D1" s="117"/>
      <c r="E1" s="117"/>
      <c r="F1" s="117"/>
      <c r="G1" s="117"/>
      <c r="H1" s="117"/>
    </row>
    <row r="2" spans="1:8" ht="15" hidden="1" customHeight="1" x14ac:dyDescent="0.25">
      <c r="A2" s="117"/>
      <c r="B2" s="117"/>
      <c r="C2" s="117"/>
      <c r="D2" s="117"/>
      <c r="E2" s="117"/>
      <c r="F2" s="117"/>
      <c r="G2" s="117"/>
      <c r="H2" s="117"/>
    </row>
    <row r="3" spans="1:8" ht="15" customHeight="1" x14ac:dyDescent="0.25">
      <c r="A3" s="118" t="s">
        <v>4</v>
      </c>
      <c r="B3" s="118" t="s">
        <v>5</v>
      </c>
      <c r="C3" s="118" t="s">
        <v>6</v>
      </c>
      <c r="D3" s="118" t="s">
        <v>7</v>
      </c>
      <c r="E3" s="118" t="s">
        <v>8</v>
      </c>
      <c r="F3" s="167" t="s">
        <v>9</v>
      </c>
      <c r="G3" s="167"/>
      <c r="H3" s="118" t="s">
        <v>10</v>
      </c>
    </row>
    <row r="4" spans="1:8" ht="15" customHeight="1" x14ac:dyDescent="0.25">
      <c r="A4" s="118"/>
      <c r="B4" s="118"/>
      <c r="C4" s="118"/>
      <c r="D4" s="118"/>
      <c r="E4" s="118"/>
      <c r="F4" s="13" t="s">
        <v>11</v>
      </c>
      <c r="G4" s="13" t="s">
        <v>12</v>
      </c>
      <c r="H4" s="118"/>
    </row>
    <row r="5" spans="1:8" s="23" customFormat="1" ht="20.25" x14ac:dyDescent="0.25">
      <c r="A5" s="51" t="s">
        <v>108</v>
      </c>
      <c r="B5" s="187" t="s">
        <v>109</v>
      </c>
      <c r="C5" s="187"/>
      <c r="D5" s="187"/>
      <c r="E5" s="187"/>
      <c r="F5" s="187"/>
      <c r="G5" s="187"/>
      <c r="H5" s="187"/>
    </row>
    <row r="6" spans="1:8" ht="77.25" customHeight="1" x14ac:dyDescent="0.25">
      <c r="A6" s="127" t="s">
        <v>117</v>
      </c>
      <c r="B6" s="127">
        <v>88497</v>
      </c>
      <c r="C6" s="128" t="s">
        <v>110</v>
      </c>
      <c r="D6" s="127" t="s">
        <v>74</v>
      </c>
      <c r="E6" s="127">
        <v>286.39999999999998</v>
      </c>
      <c r="F6" s="172">
        <v>11</v>
      </c>
      <c r="G6" s="172">
        <v>14.38</v>
      </c>
      <c r="H6" s="172">
        <f>G6*E6</f>
        <v>4118.4319999999998</v>
      </c>
    </row>
    <row r="7" spans="1:8" x14ac:dyDescent="0.25">
      <c r="A7" s="127"/>
      <c r="B7" s="127"/>
      <c r="C7" s="128"/>
      <c r="D7" s="127"/>
      <c r="E7" s="127"/>
      <c r="F7" s="172"/>
      <c r="G7" s="172"/>
      <c r="H7" s="172"/>
    </row>
    <row r="8" spans="1:8" ht="115.5" customHeight="1" x14ac:dyDescent="0.25">
      <c r="A8" s="127" t="s">
        <v>118</v>
      </c>
      <c r="B8" s="127">
        <v>88488</v>
      </c>
      <c r="C8" s="128" t="s">
        <v>111</v>
      </c>
      <c r="D8" s="127" t="s">
        <v>74</v>
      </c>
      <c r="E8" s="127">
        <v>63.45</v>
      </c>
      <c r="F8" s="172">
        <v>14.05</v>
      </c>
      <c r="G8" s="183">
        <v>17.670000000000002</v>
      </c>
      <c r="H8" s="172">
        <f>G8*E8</f>
        <v>1121.1615000000002</v>
      </c>
    </row>
    <row r="9" spans="1:8" x14ac:dyDescent="0.25">
      <c r="A9" s="127"/>
      <c r="B9" s="127"/>
      <c r="C9" s="128"/>
      <c r="D9" s="127"/>
      <c r="E9" s="127"/>
      <c r="F9" s="172"/>
      <c r="G9" s="185"/>
      <c r="H9" s="172"/>
    </row>
    <row r="10" spans="1:8" ht="99.75" customHeight="1" x14ac:dyDescent="0.25">
      <c r="A10" s="127" t="s">
        <v>119</v>
      </c>
      <c r="B10" s="127">
        <v>88489</v>
      </c>
      <c r="C10" s="128" t="s">
        <v>112</v>
      </c>
      <c r="D10" s="127" t="s">
        <v>74</v>
      </c>
      <c r="E10" s="127">
        <v>572.79999999999995</v>
      </c>
      <c r="F10" s="172">
        <v>12.71</v>
      </c>
      <c r="G10" s="172">
        <v>15.99</v>
      </c>
      <c r="H10" s="172">
        <f>G10*E10</f>
        <v>9159.0720000000001</v>
      </c>
    </row>
    <row r="11" spans="1:8" x14ac:dyDescent="0.25">
      <c r="A11" s="127"/>
      <c r="B11" s="127"/>
      <c r="C11" s="128"/>
      <c r="D11" s="127"/>
      <c r="E11" s="127"/>
      <c r="F11" s="172"/>
      <c r="G11" s="172"/>
      <c r="H11" s="172"/>
    </row>
    <row r="12" spans="1:8" ht="63.75" customHeight="1" x14ac:dyDescent="0.25">
      <c r="A12" s="127" t="s">
        <v>113</v>
      </c>
      <c r="B12" s="127">
        <v>102223</v>
      </c>
      <c r="C12" s="128" t="s">
        <v>114</v>
      </c>
      <c r="D12" s="127" t="s">
        <v>74</v>
      </c>
      <c r="E12" s="127">
        <v>8.4</v>
      </c>
      <c r="F12" s="172" t="s">
        <v>115</v>
      </c>
      <c r="G12" s="183">
        <v>27.02</v>
      </c>
      <c r="H12" s="172">
        <f>G12*E12</f>
        <v>226.96800000000002</v>
      </c>
    </row>
    <row r="13" spans="1:8" x14ac:dyDescent="0.25">
      <c r="A13" s="127"/>
      <c r="B13" s="127"/>
      <c r="C13" s="128"/>
      <c r="D13" s="127"/>
      <c r="E13" s="127"/>
      <c r="F13" s="172"/>
      <c r="G13" s="185"/>
      <c r="H13" s="172"/>
    </row>
    <row r="14" spans="1:8" ht="29.25" customHeight="1" x14ac:dyDescent="0.25">
      <c r="A14" s="153"/>
      <c r="B14" s="153"/>
      <c r="C14" s="153"/>
      <c r="D14" s="153"/>
      <c r="F14" s="188" t="s">
        <v>116</v>
      </c>
      <c r="G14" s="189"/>
      <c r="H14" s="46">
        <f>SUM(H6:H13)</f>
        <v>14625.6335</v>
      </c>
    </row>
  </sheetData>
  <mergeCells count="43">
    <mergeCell ref="A14:D14"/>
    <mergeCell ref="F6:F7"/>
    <mergeCell ref="F8:F9"/>
    <mergeCell ref="F10:F11"/>
    <mergeCell ref="F12:F13"/>
    <mergeCell ref="F14:G14"/>
    <mergeCell ref="A8:A9"/>
    <mergeCell ref="B8:B9"/>
    <mergeCell ref="C8:C9"/>
    <mergeCell ref="D8:D9"/>
    <mergeCell ref="E8:E9"/>
    <mergeCell ref="G8:G9"/>
    <mergeCell ref="H10:H11"/>
    <mergeCell ref="A12:A13"/>
    <mergeCell ref="B12:B13"/>
    <mergeCell ref="C12:C13"/>
    <mergeCell ref="D12:D13"/>
    <mergeCell ref="E12:E13"/>
    <mergeCell ref="H12:H13"/>
    <mergeCell ref="G12:G13"/>
    <mergeCell ref="A10:A11"/>
    <mergeCell ref="B10:B11"/>
    <mergeCell ref="C10:C11"/>
    <mergeCell ref="D10:D11"/>
    <mergeCell ref="E10:E11"/>
    <mergeCell ref="G10:G11"/>
    <mergeCell ref="H8:H9"/>
    <mergeCell ref="B5:H5"/>
    <mergeCell ref="A6:A7"/>
    <mergeCell ref="B6:B7"/>
    <mergeCell ref="C6:C7"/>
    <mergeCell ref="D6:D7"/>
    <mergeCell ref="E6:E7"/>
    <mergeCell ref="G6:G7"/>
    <mergeCell ref="H6:H7"/>
    <mergeCell ref="A1:H2"/>
    <mergeCell ref="A3:A4"/>
    <mergeCell ref="B3:B4"/>
    <mergeCell ref="C3:C4"/>
    <mergeCell ref="D3:D4"/>
    <mergeCell ref="E3:E4"/>
    <mergeCell ref="F3:G3"/>
    <mergeCell ref="H3:H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40161-5D35-4699-BAE5-60121F6FDE89}">
  <dimension ref="A1:H13"/>
  <sheetViews>
    <sheetView topLeftCell="C1" workbookViewId="0">
      <selection sqref="A1:H13"/>
    </sheetView>
  </sheetViews>
  <sheetFormatPr defaultRowHeight="15" x14ac:dyDescent="0.25"/>
  <cols>
    <col min="1" max="1" width="14.5703125" customWidth="1"/>
    <col min="2" max="2" width="21.42578125" customWidth="1"/>
    <col min="3" max="3" width="31.28515625" customWidth="1"/>
    <col min="4" max="4" width="13.28515625" customWidth="1"/>
    <col min="5" max="6" width="23.42578125" customWidth="1"/>
    <col min="7" max="7" width="19.42578125" customWidth="1"/>
    <col min="8" max="8" width="28.7109375" customWidth="1"/>
  </cols>
  <sheetData>
    <row r="1" spans="1:8" ht="34.5" customHeight="1" x14ac:dyDescent="0.25">
      <c r="A1" s="117" t="s">
        <v>122</v>
      </c>
      <c r="B1" s="117"/>
      <c r="C1" s="117"/>
      <c r="D1" s="117"/>
      <c r="E1" s="117"/>
      <c r="F1" s="117"/>
      <c r="G1" s="117"/>
      <c r="H1" s="117"/>
    </row>
    <row r="2" spans="1:8" ht="15" hidden="1" customHeight="1" x14ac:dyDescent="0.25">
      <c r="A2" s="117"/>
      <c r="B2" s="117"/>
      <c r="C2" s="117"/>
      <c r="D2" s="117"/>
      <c r="E2" s="117"/>
      <c r="F2" s="117"/>
      <c r="G2" s="117"/>
      <c r="H2" s="117"/>
    </row>
    <row r="3" spans="1:8" ht="15" customHeight="1" x14ac:dyDescent="0.25">
      <c r="A3" s="118" t="s">
        <v>4</v>
      </c>
      <c r="B3" s="118" t="s">
        <v>5</v>
      </c>
      <c r="C3" s="118" t="s">
        <v>6</v>
      </c>
      <c r="D3" s="118" t="s">
        <v>7</v>
      </c>
      <c r="E3" s="118" t="s">
        <v>8</v>
      </c>
      <c r="F3" s="167" t="s">
        <v>9</v>
      </c>
      <c r="G3" s="167"/>
      <c r="H3" s="118" t="s">
        <v>10</v>
      </c>
    </row>
    <row r="4" spans="1:8" ht="15" customHeight="1" x14ac:dyDescent="0.25">
      <c r="A4" s="118"/>
      <c r="B4" s="118"/>
      <c r="C4" s="118"/>
      <c r="D4" s="118"/>
      <c r="E4" s="118"/>
      <c r="F4" s="13" t="s">
        <v>11</v>
      </c>
      <c r="G4" s="13" t="s">
        <v>12</v>
      </c>
      <c r="H4" s="118"/>
    </row>
    <row r="5" spans="1:8" s="23" customFormat="1" ht="20.25" x14ac:dyDescent="0.25">
      <c r="A5" s="51" t="s">
        <v>121</v>
      </c>
      <c r="B5" s="187" t="s">
        <v>120</v>
      </c>
      <c r="C5" s="187"/>
      <c r="D5" s="187"/>
      <c r="E5" s="187"/>
      <c r="F5" s="187"/>
      <c r="G5" s="187"/>
      <c r="H5" s="187"/>
    </row>
    <row r="6" spans="1:8" ht="75" customHeight="1" x14ac:dyDescent="0.25">
      <c r="A6" s="127" t="s">
        <v>123</v>
      </c>
      <c r="B6" s="127">
        <v>94216</v>
      </c>
      <c r="C6" s="128" t="s">
        <v>130</v>
      </c>
      <c r="D6" s="127" t="s">
        <v>74</v>
      </c>
      <c r="E6" s="127">
        <v>107.91</v>
      </c>
      <c r="F6" s="172">
        <v>230.19</v>
      </c>
      <c r="G6" s="172">
        <v>289.63</v>
      </c>
      <c r="H6" s="172">
        <f>G6*E6</f>
        <v>31253.973299999998</v>
      </c>
    </row>
    <row r="7" spans="1:8" x14ac:dyDescent="0.25">
      <c r="A7" s="127"/>
      <c r="B7" s="127"/>
      <c r="C7" s="128"/>
      <c r="D7" s="127"/>
      <c r="E7" s="127"/>
      <c r="F7" s="172"/>
      <c r="G7" s="172"/>
      <c r="H7" s="172"/>
    </row>
    <row r="8" spans="1:8" ht="21.75" customHeight="1" x14ac:dyDescent="0.25">
      <c r="A8" s="127"/>
      <c r="B8" s="127"/>
      <c r="C8" s="128"/>
      <c r="D8" s="127"/>
      <c r="E8" s="127"/>
      <c r="F8" s="172"/>
      <c r="G8" s="172"/>
      <c r="H8" s="172"/>
    </row>
    <row r="9" spans="1:8" ht="64.5" customHeight="1" x14ac:dyDescent="0.25">
      <c r="A9" s="127" t="s">
        <v>124</v>
      </c>
      <c r="B9" s="127">
        <v>92606</v>
      </c>
      <c r="C9" s="128" t="s">
        <v>131</v>
      </c>
      <c r="D9" s="127" t="s">
        <v>125</v>
      </c>
      <c r="E9" s="127">
        <v>7</v>
      </c>
      <c r="F9" s="172">
        <v>1015.34</v>
      </c>
      <c r="G9" s="172">
        <v>1277.55</v>
      </c>
      <c r="H9" s="172">
        <f>G9*E9</f>
        <v>8942.85</v>
      </c>
    </row>
    <row r="10" spans="1:8" x14ac:dyDescent="0.25">
      <c r="A10" s="127"/>
      <c r="B10" s="127"/>
      <c r="C10" s="128"/>
      <c r="D10" s="127"/>
      <c r="E10" s="127"/>
      <c r="F10" s="172"/>
      <c r="G10" s="172"/>
      <c r="H10" s="172"/>
    </row>
    <row r="11" spans="1:8" x14ac:dyDescent="0.25">
      <c r="A11" s="127"/>
      <c r="B11" s="127"/>
      <c r="C11" s="128"/>
      <c r="D11" s="127"/>
      <c r="E11" s="127"/>
      <c r="F11" s="172"/>
      <c r="G11" s="172"/>
      <c r="H11" s="172"/>
    </row>
    <row r="12" spans="1:8" x14ac:dyDescent="0.25">
      <c r="A12" s="127"/>
      <c r="B12" s="127"/>
      <c r="C12" s="128"/>
      <c r="D12" s="127"/>
      <c r="E12" s="127"/>
      <c r="F12" s="172"/>
      <c r="G12" s="172"/>
      <c r="H12" s="172"/>
    </row>
    <row r="13" spans="1:8" ht="30.75" customHeight="1" x14ac:dyDescent="0.25">
      <c r="A13" s="153"/>
      <c r="B13" s="153"/>
      <c r="C13" s="153"/>
      <c r="D13" s="153"/>
      <c r="E13" s="169"/>
      <c r="F13" s="152" t="s">
        <v>331</v>
      </c>
      <c r="G13" s="152"/>
      <c r="H13" s="46">
        <f>SUM(H6:H12)</f>
        <v>40196.823299999996</v>
      </c>
    </row>
  </sheetData>
  <mergeCells count="27">
    <mergeCell ref="H9:H12"/>
    <mergeCell ref="G9:G12"/>
    <mergeCell ref="F13:G13"/>
    <mergeCell ref="A13:E13"/>
    <mergeCell ref="A9:A12"/>
    <mergeCell ref="B9:B12"/>
    <mergeCell ref="D9:D12"/>
    <mergeCell ref="E9:E12"/>
    <mergeCell ref="F9:F12"/>
    <mergeCell ref="C9:C12"/>
    <mergeCell ref="B5:H5"/>
    <mergeCell ref="A6:A8"/>
    <mergeCell ref="B6:B8"/>
    <mergeCell ref="D6:D8"/>
    <mergeCell ref="E6:E8"/>
    <mergeCell ref="H6:H8"/>
    <mergeCell ref="C6:C8"/>
    <mergeCell ref="F6:F8"/>
    <mergeCell ref="G6:G8"/>
    <mergeCell ref="A1:H2"/>
    <mergeCell ref="A3:A4"/>
    <mergeCell ref="B3:B4"/>
    <mergeCell ref="C3:C4"/>
    <mergeCell ref="D3:D4"/>
    <mergeCell ref="E3:E4"/>
    <mergeCell ref="F3:G3"/>
    <mergeCell ref="H3:H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418B-780A-4965-9F24-23243DD1F693}">
  <dimension ref="A1:H8"/>
  <sheetViews>
    <sheetView workbookViewId="0">
      <selection sqref="A1:H2"/>
    </sheetView>
  </sheetViews>
  <sheetFormatPr defaultRowHeight="15" x14ac:dyDescent="0.25"/>
  <cols>
    <col min="1" max="1" width="14.140625" customWidth="1"/>
    <col min="2" max="2" width="32.140625" customWidth="1"/>
    <col min="3" max="3" width="64.85546875" customWidth="1"/>
    <col min="4" max="4" width="12.140625" customWidth="1"/>
    <col min="5" max="5" width="16.5703125" customWidth="1"/>
    <col min="6" max="6" width="17" customWidth="1"/>
    <col min="7" max="7" width="15.7109375" customWidth="1"/>
    <col min="8" max="8" width="21.28515625" customWidth="1"/>
  </cols>
  <sheetData>
    <row r="1" spans="1:8" ht="34.5" customHeight="1" x14ac:dyDescent="0.25">
      <c r="A1" s="117" t="s">
        <v>132</v>
      </c>
      <c r="B1" s="117"/>
      <c r="C1" s="117"/>
      <c r="D1" s="117"/>
      <c r="E1" s="117"/>
      <c r="F1" s="117"/>
      <c r="G1" s="117"/>
      <c r="H1" s="117"/>
    </row>
    <row r="2" spans="1:8" ht="15" hidden="1" customHeight="1" x14ac:dyDescent="0.25">
      <c r="A2" s="117"/>
      <c r="B2" s="117"/>
      <c r="C2" s="117"/>
      <c r="D2" s="117"/>
      <c r="E2" s="117"/>
      <c r="F2" s="117"/>
      <c r="G2" s="117"/>
      <c r="H2" s="117"/>
    </row>
    <row r="3" spans="1:8" ht="15" customHeight="1" x14ac:dyDescent="0.25">
      <c r="A3" s="118" t="s">
        <v>4</v>
      </c>
      <c r="B3" s="118" t="s">
        <v>5</v>
      </c>
      <c r="C3" s="118" t="s">
        <v>6</v>
      </c>
      <c r="D3" s="118" t="s">
        <v>7</v>
      </c>
      <c r="E3" s="118" t="s">
        <v>8</v>
      </c>
      <c r="F3" s="167" t="s">
        <v>9</v>
      </c>
      <c r="G3" s="167"/>
      <c r="H3" s="118" t="s">
        <v>10</v>
      </c>
    </row>
    <row r="4" spans="1:8" ht="15" customHeight="1" x14ac:dyDescent="0.25">
      <c r="A4" s="118"/>
      <c r="B4" s="118"/>
      <c r="C4" s="118"/>
      <c r="D4" s="118"/>
      <c r="E4" s="118"/>
      <c r="F4" s="13" t="s">
        <v>11</v>
      </c>
      <c r="G4" s="13" t="s">
        <v>12</v>
      </c>
      <c r="H4" s="118"/>
    </row>
    <row r="5" spans="1:8" s="1" customFormat="1" ht="20.25" x14ac:dyDescent="0.25">
      <c r="A5" s="51" t="s">
        <v>126</v>
      </c>
      <c r="B5" s="187" t="s">
        <v>127</v>
      </c>
      <c r="C5" s="187"/>
      <c r="D5" s="187"/>
      <c r="E5" s="187"/>
      <c r="F5" s="187"/>
      <c r="G5" s="187"/>
      <c r="H5" s="187"/>
    </row>
    <row r="6" spans="1:8" ht="37.5" customHeight="1" x14ac:dyDescent="0.25">
      <c r="A6" s="127" t="s">
        <v>128</v>
      </c>
      <c r="B6" s="127" t="s">
        <v>129</v>
      </c>
      <c r="C6" s="128" t="s">
        <v>133</v>
      </c>
      <c r="D6" s="190"/>
      <c r="E6" s="127">
        <v>98.1</v>
      </c>
      <c r="F6" s="172">
        <v>51.16</v>
      </c>
      <c r="G6" s="183">
        <v>64.37</v>
      </c>
      <c r="H6" s="130">
        <f>G6*E6</f>
        <v>6314.6970000000001</v>
      </c>
    </row>
    <row r="7" spans="1:8" x14ac:dyDescent="0.25">
      <c r="A7" s="137"/>
      <c r="B7" s="137"/>
      <c r="C7" s="149"/>
      <c r="D7" s="190"/>
      <c r="E7" s="127"/>
      <c r="F7" s="172"/>
      <c r="G7" s="185"/>
      <c r="H7" s="130"/>
    </row>
    <row r="8" spans="1:8" ht="30" customHeight="1" x14ac:dyDescent="0.25">
      <c r="A8" s="153"/>
      <c r="B8" s="153"/>
      <c r="C8" s="153"/>
      <c r="D8" s="153"/>
      <c r="E8" s="153"/>
      <c r="F8" s="152" t="s">
        <v>332</v>
      </c>
      <c r="G8" s="152"/>
      <c r="H8" s="46">
        <f>SUM(H6)</f>
        <v>6314.6970000000001</v>
      </c>
    </row>
  </sheetData>
  <mergeCells count="19">
    <mergeCell ref="F8:G8"/>
    <mergeCell ref="A8:E8"/>
    <mergeCell ref="B5:H5"/>
    <mergeCell ref="A6:A7"/>
    <mergeCell ref="B6:B7"/>
    <mergeCell ref="D6:D7"/>
    <mergeCell ref="E6:E7"/>
    <mergeCell ref="F6:F7"/>
    <mergeCell ref="H6:H7"/>
    <mergeCell ref="C6:C7"/>
    <mergeCell ref="G6:G7"/>
    <mergeCell ref="A1:H2"/>
    <mergeCell ref="A3:A4"/>
    <mergeCell ref="B3:B4"/>
    <mergeCell ref="C3:C4"/>
    <mergeCell ref="D3:D4"/>
    <mergeCell ref="E3:E4"/>
    <mergeCell ref="F3:G3"/>
    <mergeCell ref="H3:H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360C6-8D5D-4A19-9E87-C0726570757E}">
  <dimension ref="A1:H24"/>
  <sheetViews>
    <sheetView zoomScale="90" zoomScaleNormal="90" workbookViewId="0">
      <selection activeCell="C6" sqref="C6:C8"/>
    </sheetView>
  </sheetViews>
  <sheetFormatPr defaultRowHeight="15" x14ac:dyDescent="0.25"/>
  <cols>
    <col min="1" max="1" width="20.5703125" customWidth="1"/>
    <col min="2" max="2" width="26.5703125" customWidth="1"/>
    <col min="3" max="3" width="52.7109375" customWidth="1"/>
    <col min="4" max="4" width="18.140625" customWidth="1"/>
    <col min="5" max="5" width="16.7109375" customWidth="1"/>
    <col min="6" max="6" width="23.5703125" customWidth="1"/>
    <col min="7" max="7" width="28.85546875" customWidth="1"/>
    <col min="8" max="8" width="27.42578125" customWidth="1"/>
  </cols>
  <sheetData>
    <row r="1" spans="1:8" ht="34.5" customHeight="1" x14ac:dyDescent="0.25">
      <c r="A1" s="117" t="s">
        <v>134</v>
      </c>
      <c r="B1" s="117"/>
      <c r="C1" s="117"/>
      <c r="D1" s="117"/>
      <c r="E1" s="117"/>
      <c r="F1" s="117"/>
      <c r="G1" s="117"/>
      <c r="H1" s="117"/>
    </row>
    <row r="2" spans="1:8" ht="15" hidden="1" customHeight="1" x14ac:dyDescent="0.25">
      <c r="A2" s="117"/>
      <c r="B2" s="117"/>
      <c r="C2" s="117"/>
      <c r="D2" s="117"/>
      <c r="E2" s="117"/>
      <c r="F2" s="117"/>
      <c r="G2" s="117"/>
      <c r="H2" s="117"/>
    </row>
    <row r="3" spans="1:8" ht="15" customHeight="1" x14ac:dyDescent="0.25">
      <c r="A3" s="118" t="s">
        <v>4</v>
      </c>
      <c r="B3" s="118" t="s">
        <v>5</v>
      </c>
      <c r="C3" s="118" t="s">
        <v>6</v>
      </c>
      <c r="D3" s="118" t="s">
        <v>7</v>
      </c>
      <c r="E3" s="118" t="s">
        <v>8</v>
      </c>
      <c r="F3" s="119" t="s">
        <v>9</v>
      </c>
      <c r="G3" s="119"/>
      <c r="H3" s="118" t="s">
        <v>10</v>
      </c>
    </row>
    <row r="4" spans="1:8" ht="15" customHeight="1" x14ac:dyDescent="0.25">
      <c r="A4" s="118"/>
      <c r="B4" s="118"/>
      <c r="C4" s="118"/>
      <c r="D4" s="118"/>
      <c r="E4" s="118"/>
      <c r="F4" s="13" t="s">
        <v>11</v>
      </c>
      <c r="G4" s="13" t="s">
        <v>12</v>
      </c>
      <c r="H4" s="118"/>
    </row>
    <row r="5" spans="1:8" s="1" customFormat="1" ht="20.25" x14ac:dyDescent="0.25">
      <c r="A5" s="51" t="s">
        <v>135</v>
      </c>
      <c r="B5" s="187" t="s">
        <v>136</v>
      </c>
      <c r="C5" s="187"/>
      <c r="D5" s="187"/>
      <c r="E5" s="187"/>
      <c r="F5" s="187"/>
      <c r="G5" s="187"/>
      <c r="H5" s="187"/>
    </row>
    <row r="6" spans="1:8" ht="48.75" customHeight="1" x14ac:dyDescent="0.25">
      <c r="A6" s="127" t="s">
        <v>137</v>
      </c>
      <c r="B6" s="127">
        <v>94649</v>
      </c>
      <c r="C6" s="128" t="s">
        <v>154</v>
      </c>
      <c r="D6" s="127"/>
      <c r="E6" s="127">
        <v>12</v>
      </c>
      <c r="F6" s="172">
        <v>13.45</v>
      </c>
      <c r="G6" s="172">
        <v>16.920000000000002</v>
      </c>
      <c r="H6" s="172">
        <f>G6*E6</f>
        <v>203.04000000000002</v>
      </c>
    </row>
    <row r="7" spans="1:8" x14ac:dyDescent="0.25">
      <c r="A7" s="127"/>
      <c r="B7" s="127"/>
      <c r="C7" s="128"/>
      <c r="D7" s="127"/>
      <c r="E7" s="127"/>
      <c r="F7" s="172"/>
      <c r="G7" s="172"/>
      <c r="H7" s="172"/>
    </row>
    <row r="8" spans="1:8" x14ac:dyDescent="0.25">
      <c r="A8" s="127"/>
      <c r="B8" s="127"/>
      <c r="C8" s="128"/>
      <c r="D8" s="127"/>
      <c r="E8" s="127"/>
      <c r="F8" s="172"/>
      <c r="G8" s="172"/>
      <c r="H8" s="172"/>
    </row>
    <row r="9" spans="1:8" ht="56.25" customHeight="1" x14ac:dyDescent="0.25">
      <c r="A9" s="127" t="s">
        <v>138</v>
      </c>
      <c r="B9" s="127">
        <v>94651</v>
      </c>
      <c r="C9" s="128" t="s">
        <v>149</v>
      </c>
      <c r="D9" s="127" t="s">
        <v>139</v>
      </c>
      <c r="E9" s="127">
        <v>17</v>
      </c>
      <c r="F9" s="172">
        <v>21.19</v>
      </c>
      <c r="G9" s="172">
        <v>26.66</v>
      </c>
      <c r="H9" s="172">
        <f>G9*E9</f>
        <v>453.22</v>
      </c>
    </row>
    <row r="10" spans="1:8" x14ac:dyDescent="0.25">
      <c r="A10" s="127"/>
      <c r="B10" s="127"/>
      <c r="C10" s="128"/>
      <c r="D10" s="127"/>
      <c r="E10" s="127"/>
      <c r="F10" s="172"/>
      <c r="G10" s="172"/>
      <c r="H10" s="172"/>
    </row>
    <row r="11" spans="1:8" x14ac:dyDescent="0.25">
      <c r="A11" s="127"/>
      <c r="B11" s="127"/>
      <c r="C11" s="128"/>
      <c r="D11" s="127"/>
      <c r="E11" s="127"/>
      <c r="F11" s="172"/>
      <c r="G11" s="172"/>
      <c r="H11" s="172"/>
    </row>
    <row r="12" spans="1:8" ht="72.75" customHeight="1" x14ac:dyDescent="0.25">
      <c r="A12" s="5" t="s">
        <v>140</v>
      </c>
      <c r="B12" s="5" t="s">
        <v>337</v>
      </c>
      <c r="C12" s="6" t="s">
        <v>152</v>
      </c>
      <c r="D12" s="5" t="s">
        <v>67</v>
      </c>
      <c r="E12" s="5">
        <v>1</v>
      </c>
      <c r="F12" s="17">
        <v>434.3</v>
      </c>
      <c r="G12" s="17">
        <v>546.46</v>
      </c>
      <c r="H12" s="5">
        <f>G12*E12</f>
        <v>546.46</v>
      </c>
    </row>
    <row r="13" spans="1:8" ht="39" customHeight="1" x14ac:dyDescent="0.25">
      <c r="A13" s="127" t="s">
        <v>141</v>
      </c>
      <c r="B13" s="127">
        <v>94495</v>
      </c>
      <c r="C13" s="128" t="s">
        <v>150</v>
      </c>
      <c r="D13" s="127" t="s">
        <v>67</v>
      </c>
      <c r="E13" s="127">
        <v>5</v>
      </c>
      <c r="F13" s="172">
        <v>29.18</v>
      </c>
      <c r="G13" s="172">
        <v>36.71</v>
      </c>
      <c r="H13" s="172">
        <f>G13*E13</f>
        <v>183.55</v>
      </c>
    </row>
    <row r="14" spans="1:8" x14ac:dyDescent="0.25">
      <c r="A14" s="127"/>
      <c r="B14" s="127"/>
      <c r="C14" s="128"/>
      <c r="D14" s="127"/>
      <c r="E14" s="127"/>
      <c r="F14" s="172"/>
      <c r="G14" s="172"/>
      <c r="H14" s="172"/>
    </row>
    <row r="15" spans="1:8" ht="46.5" customHeight="1" x14ac:dyDescent="0.25">
      <c r="A15" s="127" t="s">
        <v>142</v>
      </c>
      <c r="B15" s="127">
        <v>99635</v>
      </c>
      <c r="C15" s="128" t="s">
        <v>143</v>
      </c>
      <c r="D15" s="127" t="s">
        <v>67</v>
      </c>
      <c r="E15" s="127">
        <v>2</v>
      </c>
      <c r="F15" s="172">
        <v>174.14</v>
      </c>
      <c r="G15" s="172">
        <v>219.11</v>
      </c>
      <c r="H15" s="172">
        <f>G15*E15</f>
        <v>438.22</v>
      </c>
    </row>
    <row r="16" spans="1:8" x14ac:dyDescent="0.25">
      <c r="A16" s="127"/>
      <c r="B16" s="127"/>
      <c r="C16" s="128"/>
      <c r="D16" s="127"/>
      <c r="E16" s="127"/>
      <c r="F16" s="172"/>
      <c r="G16" s="172"/>
      <c r="H16" s="172"/>
    </row>
    <row r="17" spans="1:8" ht="53.25" customHeight="1" x14ac:dyDescent="0.25">
      <c r="A17" s="127" t="s">
        <v>144</v>
      </c>
      <c r="B17" s="127">
        <v>95469</v>
      </c>
      <c r="C17" s="128" t="s">
        <v>145</v>
      </c>
      <c r="D17" s="127" t="s">
        <v>67</v>
      </c>
      <c r="E17" s="127">
        <v>2</v>
      </c>
      <c r="F17" s="172">
        <v>232.64</v>
      </c>
      <c r="G17" s="172">
        <v>292.72000000000003</v>
      </c>
      <c r="H17" s="172">
        <f>G17*E17</f>
        <v>585.44000000000005</v>
      </c>
    </row>
    <row r="18" spans="1:8" x14ac:dyDescent="0.25">
      <c r="A18" s="127"/>
      <c r="B18" s="127"/>
      <c r="C18" s="128"/>
      <c r="D18" s="127"/>
      <c r="E18" s="127"/>
      <c r="F18" s="172"/>
      <c r="G18" s="172"/>
      <c r="H18" s="172"/>
    </row>
    <row r="19" spans="1:8" ht="66.75" customHeight="1" x14ac:dyDescent="0.25">
      <c r="A19" s="127" t="s">
        <v>146</v>
      </c>
      <c r="B19" s="127">
        <v>86939</v>
      </c>
      <c r="C19" s="128" t="s">
        <v>153</v>
      </c>
      <c r="D19" s="127" t="s">
        <v>67</v>
      </c>
      <c r="E19" s="127">
        <v>4</v>
      </c>
      <c r="F19" s="172" t="s">
        <v>147</v>
      </c>
      <c r="G19" s="172">
        <v>396.52</v>
      </c>
      <c r="H19" s="172">
        <f>G19*E19</f>
        <v>1586.08</v>
      </c>
    </row>
    <row r="20" spans="1:8" x14ac:dyDescent="0.25">
      <c r="A20" s="127"/>
      <c r="B20" s="127"/>
      <c r="C20" s="128"/>
      <c r="D20" s="127"/>
      <c r="E20" s="127"/>
      <c r="F20" s="172"/>
      <c r="G20" s="172"/>
      <c r="H20" s="172"/>
    </row>
    <row r="21" spans="1:8" x14ac:dyDescent="0.25">
      <c r="A21" s="127"/>
      <c r="B21" s="127"/>
      <c r="C21" s="128"/>
      <c r="D21" s="127"/>
      <c r="E21" s="127"/>
      <c r="F21" s="172"/>
      <c r="G21" s="172"/>
      <c r="H21" s="172"/>
    </row>
    <row r="22" spans="1:8" x14ac:dyDescent="0.25">
      <c r="A22" s="127"/>
      <c r="B22" s="127"/>
      <c r="C22" s="128"/>
      <c r="D22" s="127"/>
      <c r="E22" s="127"/>
      <c r="F22" s="172"/>
      <c r="G22" s="172"/>
      <c r="H22" s="172"/>
    </row>
    <row r="23" spans="1:8" ht="60.75" customHeight="1" x14ac:dyDescent="0.25">
      <c r="A23" s="5" t="s">
        <v>148</v>
      </c>
      <c r="B23" s="5">
        <v>98462</v>
      </c>
      <c r="C23" s="6" t="s">
        <v>151</v>
      </c>
      <c r="D23" s="5" t="s">
        <v>67</v>
      </c>
      <c r="E23" s="5">
        <v>1</v>
      </c>
      <c r="F23" s="25">
        <v>5531</v>
      </c>
      <c r="G23" s="25">
        <v>6960.27</v>
      </c>
      <c r="H23" s="17">
        <f>G23*E23</f>
        <v>6960.27</v>
      </c>
    </row>
    <row r="24" spans="1:8" ht="32.25" customHeight="1" x14ac:dyDescent="0.25">
      <c r="A24" s="191"/>
      <c r="B24" s="191"/>
      <c r="C24" s="191"/>
      <c r="D24" s="191"/>
      <c r="E24" s="192"/>
      <c r="F24" s="188" t="s">
        <v>333</v>
      </c>
      <c r="G24" s="189"/>
      <c r="H24" s="46">
        <f>SUM(H6:H23)</f>
        <v>10956.28</v>
      </c>
    </row>
  </sheetData>
  <mergeCells count="59">
    <mergeCell ref="H19:H22"/>
    <mergeCell ref="C6:C8"/>
    <mergeCell ref="C9:C11"/>
    <mergeCell ref="C13:C14"/>
    <mergeCell ref="C19:C22"/>
    <mergeCell ref="G6:G8"/>
    <mergeCell ref="F6:F8"/>
    <mergeCell ref="G19:G22"/>
    <mergeCell ref="H15:H16"/>
    <mergeCell ref="F17:F18"/>
    <mergeCell ref="H17:H18"/>
    <mergeCell ref="F15:F16"/>
    <mergeCell ref="G17:G18"/>
    <mergeCell ref="G15:G16"/>
    <mergeCell ref="H13:H14"/>
    <mergeCell ref="G13:G14"/>
    <mergeCell ref="A19:A22"/>
    <mergeCell ref="B19:B22"/>
    <mergeCell ref="D19:D22"/>
    <mergeCell ref="E19:E22"/>
    <mergeCell ref="F19:F22"/>
    <mergeCell ref="A17:A18"/>
    <mergeCell ref="B17:B18"/>
    <mergeCell ref="C17:C18"/>
    <mergeCell ref="D17:D18"/>
    <mergeCell ref="E17:E18"/>
    <mergeCell ref="A13:A14"/>
    <mergeCell ref="B13:B14"/>
    <mergeCell ref="D13:D14"/>
    <mergeCell ref="E13:E14"/>
    <mergeCell ref="F13:F14"/>
    <mergeCell ref="A15:A16"/>
    <mergeCell ref="B15:B16"/>
    <mergeCell ref="C15:C16"/>
    <mergeCell ref="D15:D16"/>
    <mergeCell ref="E15:E16"/>
    <mergeCell ref="H9:H11"/>
    <mergeCell ref="A9:A11"/>
    <mergeCell ref="B9:B11"/>
    <mergeCell ref="D9:D11"/>
    <mergeCell ref="E9:E11"/>
    <mergeCell ref="F9:F11"/>
    <mergeCell ref="G9:G11"/>
    <mergeCell ref="F24:G24"/>
    <mergeCell ref="A24:E24"/>
    <mergeCell ref="A1:H2"/>
    <mergeCell ref="A3:A4"/>
    <mergeCell ref="B3:B4"/>
    <mergeCell ref="C3:C4"/>
    <mergeCell ref="D3:D4"/>
    <mergeCell ref="E3:E4"/>
    <mergeCell ref="F3:G3"/>
    <mergeCell ref="H3:H4"/>
    <mergeCell ref="B5:H5"/>
    <mergeCell ref="A6:A8"/>
    <mergeCell ref="B6:B8"/>
    <mergeCell ref="D6:D8"/>
    <mergeCell ref="E6:E8"/>
    <mergeCell ref="H6:H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565E-652A-423D-A9FD-F0D424F23F58}">
  <dimension ref="A1:I14"/>
  <sheetViews>
    <sheetView workbookViewId="0">
      <selection sqref="A1:H14"/>
    </sheetView>
  </sheetViews>
  <sheetFormatPr defaultRowHeight="15" x14ac:dyDescent="0.25"/>
  <cols>
    <col min="1" max="1" width="13.5703125" customWidth="1"/>
    <col min="2" max="2" width="16.85546875" customWidth="1"/>
    <col min="3" max="3" width="34.5703125" customWidth="1"/>
    <col min="4" max="4" width="12.28515625" customWidth="1"/>
    <col min="5" max="5" width="15.140625" customWidth="1"/>
    <col min="6" max="7" width="15.5703125" bestFit="1" customWidth="1"/>
    <col min="8" max="8" width="24.5703125" customWidth="1"/>
    <col min="9" max="9" width="11.140625" bestFit="1" customWidth="1"/>
  </cols>
  <sheetData>
    <row r="1" spans="1:9" ht="34.5" customHeight="1" x14ac:dyDescent="0.25">
      <c r="A1" s="117" t="s">
        <v>156</v>
      </c>
      <c r="B1" s="117"/>
      <c r="C1" s="117"/>
      <c r="D1" s="117"/>
      <c r="E1" s="117"/>
      <c r="F1" s="117"/>
      <c r="G1" s="117"/>
      <c r="H1" s="117"/>
    </row>
    <row r="2" spans="1:9" ht="15" hidden="1" customHeight="1" x14ac:dyDescent="0.25">
      <c r="A2" s="117"/>
      <c r="B2" s="117"/>
      <c r="C2" s="117"/>
      <c r="D2" s="117"/>
      <c r="E2" s="117"/>
      <c r="F2" s="117"/>
      <c r="G2" s="117"/>
      <c r="H2" s="117"/>
    </row>
    <row r="3" spans="1:9" ht="15" customHeight="1" x14ac:dyDescent="0.25">
      <c r="A3" s="118" t="s">
        <v>4</v>
      </c>
      <c r="B3" s="118" t="s">
        <v>5</v>
      </c>
      <c r="C3" s="118" t="s">
        <v>6</v>
      </c>
      <c r="D3" s="118" t="s">
        <v>7</v>
      </c>
      <c r="E3" s="118" t="s">
        <v>8</v>
      </c>
      <c r="F3" s="119" t="s">
        <v>9</v>
      </c>
      <c r="G3" s="119"/>
      <c r="H3" s="118" t="s">
        <v>10</v>
      </c>
    </row>
    <row r="4" spans="1:9" ht="15" customHeight="1" x14ac:dyDescent="0.25">
      <c r="A4" s="118"/>
      <c r="B4" s="118"/>
      <c r="C4" s="118"/>
      <c r="D4" s="118"/>
      <c r="E4" s="118"/>
      <c r="F4" s="13" t="s">
        <v>11</v>
      </c>
      <c r="G4" s="13" t="s">
        <v>12</v>
      </c>
      <c r="H4" s="118"/>
    </row>
    <row r="5" spans="1:9" s="1" customFormat="1" ht="20.25" x14ac:dyDescent="0.25">
      <c r="A5" s="48" t="s">
        <v>157</v>
      </c>
      <c r="B5" s="120" t="s">
        <v>155</v>
      </c>
      <c r="C5" s="120"/>
      <c r="D5" s="120"/>
      <c r="E5" s="120"/>
      <c r="F5" s="120"/>
      <c r="G5" s="120"/>
      <c r="H5" s="120"/>
    </row>
    <row r="6" spans="1:9" ht="65.25" customHeight="1" x14ac:dyDescent="0.25">
      <c r="A6" s="127" t="s">
        <v>158</v>
      </c>
      <c r="B6" s="127">
        <v>89449</v>
      </c>
      <c r="C6" s="155" t="s">
        <v>159</v>
      </c>
      <c r="D6" s="127" t="s">
        <v>57</v>
      </c>
      <c r="E6" s="127">
        <v>14.4</v>
      </c>
      <c r="F6" s="183">
        <v>16.72</v>
      </c>
      <c r="G6" s="183">
        <v>21</v>
      </c>
      <c r="H6" s="183">
        <f>G6*E6</f>
        <v>302.40000000000003</v>
      </c>
    </row>
    <row r="7" spans="1:9" x14ac:dyDescent="0.25">
      <c r="A7" s="127"/>
      <c r="B7" s="127"/>
      <c r="C7" s="155"/>
      <c r="D7" s="127"/>
      <c r="E7" s="127"/>
      <c r="F7" s="185"/>
      <c r="G7" s="185"/>
      <c r="H7" s="185"/>
      <c r="I7" s="18"/>
    </row>
    <row r="8" spans="1:9" ht="67.5" customHeight="1" x14ac:dyDescent="0.25">
      <c r="A8" s="127" t="s">
        <v>160</v>
      </c>
      <c r="B8" s="127">
        <v>89509</v>
      </c>
      <c r="C8" s="155" t="s">
        <v>161</v>
      </c>
      <c r="D8" s="127" t="s">
        <v>57</v>
      </c>
      <c r="E8" s="127">
        <v>19.73</v>
      </c>
      <c r="F8" s="183">
        <v>25.53</v>
      </c>
      <c r="G8" s="183">
        <v>32.119999999999997</v>
      </c>
      <c r="H8" s="172">
        <f>G8*E8</f>
        <v>633.72759999999994</v>
      </c>
    </row>
    <row r="9" spans="1:9" x14ac:dyDescent="0.25">
      <c r="A9" s="127"/>
      <c r="B9" s="127"/>
      <c r="C9" s="155"/>
      <c r="D9" s="127"/>
      <c r="E9" s="127"/>
      <c r="F9" s="185"/>
      <c r="G9" s="185"/>
      <c r="H9" s="172"/>
    </row>
    <row r="10" spans="1:9" ht="71.25" customHeight="1" x14ac:dyDescent="0.25">
      <c r="A10" s="127" t="s">
        <v>162</v>
      </c>
      <c r="B10" s="127">
        <v>89512</v>
      </c>
      <c r="C10" s="155" t="s">
        <v>163</v>
      </c>
      <c r="D10" s="127" t="s">
        <v>57</v>
      </c>
      <c r="E10" s="127">
        <v>158.33000000000001</v>
      </c>
      <c r="F10" s="183" t="s">
        <v>164</v>
      </c>
      <c r="G10" s="183">
        <v>76.180000000000007</v>
      </c>
      <c r="H10" s="172">
        <f>G10*E10</f>
        <v>12061.579400000002</v>
      </c>
    </row>
    <row r="11" spans="1:9" x14ac:dyDescent="0.25">
      <c r="A11" s="127"/>
      <c r="B11" s="127"/>
      <c r="C11" s="155"/>
      <c r="D11" s="127"/>
      <c r="E11" s="127"/>
      <c r="F11" s="185"/>
      <c r="G11" s="185"/>
      <c r="H11" s="172"/>
    </row>
    <row r="12" spans="1:9" ht="60.75" customHeight="1" x14ac:dyDescent="0.25">
      <c r="A12" s="127" t="s">
        <v>165</v>
      </c>
      <c r="B12" s="127">
        <v>98104</v>
      </c>
      <c r="C12" s="155" t="s">
        <v>166</v>
      </c>
      <c r="D12" s="127" t="s">
        <v>7</v>
      </c>
      <c r="E12" s="127">
        <v>2</v>
      </c>
      <c r="F12" s="172">
        <v>346.65</v>
      </c>
      <c r="G12" s="172">
        <v>436.17</v>
      </c>
      <c r="H12" s="172">
        <f>G12*E12</f>
        <v>872.34</v>
      </c>
    </row>
    <row r="13" spans="1:9" x14ac:dyDescent="0.25">
      <c r="A13" s="127"/>
      <c r="B13" s="127"/>
      <c r="C13" s="155"/>
      <c r="D13" s="127"/>
      <c r="E13" s="127"/>
      <c r="F13" s="172"/>
      <c r="G13" s="172"/>
      <c r="H13" s="172"/>
    </row>
    <row r="14" spans="1:9" ht="40.5" customHeight="1" x14ac:dyDescent="0.25">
      <c r="A14" s="10"/>
      <c r="B14" s="10"/>
      <c r="C14" s="10"/>
      <c r="D14" s="10"/>
      <c r="E14" s="188" t="s">
        <v>167</v>
      </c>
      <c r="F14" s="193"/>
      <c r="G14" s="189"/>
      <c r="H14" s="46">
        <f>SUM(H6:H13)</f>
        <v>13870.047000000002</v>
      </c>
      <c r="I14" s="26"/>
    </row>
  </sheetData>
  <mergeCells count="42">
    <mergeCell ref="H12:H13"/>
    <mergeCell ref="F12:F13"/>
    <mergeCell ref="G12:G13"/>
    <mergeCell ref="H8:H9"/>
    <mergeCell ref="E14:G14"/>
    <mergeCell ref="F8:F9"/>
    <mergeCell ref="G8:G9"/>
    <mergeCell ref="F10:F11"/>
    <mergeCell ref="G10:G11"/>
    <mergeCell ref="H10:H11"/>
    <mergeCell ref="A12:A13"/>
    <mergeCell ref="B12:B13"/>
    <mergeCell ref="C12:C13"/>
    <mergeCell ref="D12:D13"/>
    <mergeCell ref="E12:E13"/>
    <mergeCell ref="A10:A11"/>
    <mergeCell ref="B10:B11"/>
    <mergeCell ref="C10:C11"/>
    <mergeCell ref="D10:D11"/>
    <mergeCell ref="E10:E11"/>
    <mergeCell ref="A8:A9"/>
    <mergeCell ref="B8:B9"/>
    <mergeCell ref="C8:C9"/>
    <mergeCell ref="D8:D9"/>
    <mergeCell ref="E8:E9"/>
    <mergeCell ref="B5:H5"/>
    <mergeCell ref="A6:A7"/>
    <mergeCell ref="B6:B7"/>
    <mergeCell ref="C6:C7"/>
    <mergeCell ref="D6:D7"/>
    <mergeCell ref="E6:E7"/>
    <mergeCell ref="H6:H7"/>
    <mergeCell ref="F6:F7"/>
    <mergeCell ref="G6:G7"/>
    <mergeCell ref="A1:H2"/>
    <mergeCell ref="A3:A4"/>
    <mergeCell ref="B3:B4"/>
    <mergeCell ref="C3:C4"/>
    <mergeCell ref="D3:D4"/>
    <mergeCell ref="E3:E4"/>
    <mergeCell ref="F3:G3"/>
    <mergeCell ref="H3:H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102C-3C73-4947-BCED-BFADB17939CA}">
  <dimension ref="A1:I19"/>
  <sheetViews>
    <sheetView zoomScale="80" zoomScaleNormal="80" workbookViewId="0">
      <selection sqref="A1:H17"/>
    </sheetView>
  </sheetViews>
  <sheetFormatPr defaultRowHeight="15" x14ac:dyDescent="0.25"/>
  <cols>
    <col min="1" max="1" width="14.85546875" customWidth="1"/>
    <col min="2" max="2" width="15.85546875" customWidth="1"/>
    <col min="3" max="3" width="40.7109375" customWidth="1"/>
    <col min="4" max="4" width="20.28515625" customWidth="1"/>
    <col min="5" max="5" width="15.85546875" customWidth="1"/>
    <col min="6" max="6" width="18.28515625" customWidth="1"/>
    <col min="7" max="7" width="15.5703125" bestFit="1" customWidth="1"/>
    <col min="8" max="8" width="23.5703125" customWidth="1"/>
    <col min="9" max="9" width="21" customWidth="1"/>
  </cols>
  <sheetData>
    <row r="1" spans="1:9" ht="42" customHeight="1" x14ac:dyDescent="0.25">
      <c r="A1" s="117" t="s">
        <v>168</v>
      </c>
      <c r="B1" s="117"/>
      <c r="C1" s="117"/>
      <c r="D1" s="117"/>
      <c r="E1" s="117"/>
      <c r="F1" s="117"/>
      <c r="G1" s="117"/>
      <c r="H1" s="117"/>
    </row>
    <row r="2" spans="1:9" ht="15" customHeight="1" x14ac:dyDescent="0.25">
      <c r="A2" s="118" t="s">
        <v>4</v>
      </c>
      <c r="B2" s="118" t="s">
        <v>5</v>
      </c>
      <c r="C2" s="118" t="s">
        <v>6</v>
      </c>
      <c r="D2" s="118" t="s">
        <v>7</v>
      </c>
      <c r="E2" s="118" t="s">
        <v>8</v>
      </c>
      <c r="F2" s="119" t="s">
        <v>9</v>
      </c>
      <c r="G2" s="119"/>
      <c r="H2" s="118" t="s">
        <v>10</v>
      </c>
    </row>
    <row r="3" spans="1:9" ht="15" customHeight="1" x14ac:dyDescent="0.25">
      <c r="A3" s="118"/>
      <c r="B3" s="118"/>
      <c r="C3" s="118"/>
      <c r="D3" s="118"/>
      <c r="E3" s="118"/>
      <c r="F3" s="13" t="s">
        <v>11</v>
      </c>
      <c r="G3" s="13" t="s">
        <v>12</v>
      </c>
      <c r="H3" s="118"/>
    </row>
    <row r="4" spans="1:9" s="1" customFormat="1" ht="20.25" x14ac:dyDescent="0.25">
      <c r="A4" s="51" t="s">
        <v>169</v>
      </c>
      <c r="B4" s="187" t="s">
        <v>170</v>
      </c>
      <c r="C4" s="187"/>
      <c r="D4" s="187"/>
      <c r="E4" s="187"/>
      <c r="F4" s="187"/>
      <c r="G4" s="187"/>
      <c r="H4" s="187"/>
    </row>
    <row r="5" spans="1:9" ht="60.75" customHeight="1" x14ac:dyDescent="0.25">
      <c r="A5" s="5" t="s">
        <v>171</v>
      </c>
      <c r="B5" s="5">
        <v>91924</v>
      </c>
      <c r="C5" s="2" t="s">
        <v>187</v>
      </c>
      <c r="D5" s="5" t="s">
        <v>57</v>
      </c>
      <c r="E5" s="5">
        <v>50.01</v>
      </c>
      <c r="F5" s="17">
        <v>2.5499999999999998</v>
      </c>
      <c r="G5" s="17">
        <v>3.2</v>
      </c>
      <c r="H5" s="17">
        <f t="shared" ref="H5:H16" si="0">G5*E5</f>
        <v>160.03200000000001</v>
      </c>
    </row>
    <row r="6" spans="1:9" ht="83.25" customHeight="1" x14ac:dyDescent="0.25">
      <c r="A6" s="5" t="s">
        <v>172</v>
      </c>
      <c r="B6" s="5">
        <v>91926</v>
      </c>
      <c r="C6" s="2" t="s">
        <v>188</v>
      </c>
      <c r="D6" s="5" t="s">
        <v>57</v>
      </c>
      <c r="E6" s="5">
        <v>455.09</v>
      </c>
      <c r="F6" s="17">
        <v>3.78</v>
      </c>
      <c r="G6" s="17">
        <v>4.75</v>
      </c>
      <c r="H6" s="17">
        <f t="shared" si="0"/>
        <v>2161.6774999999998</v>
      </c>
    </row>
    <row r="7" spans="1:9" ht="78.75" customHeight="1" x14ac:dyDescent="0.25">
      <c r="A7" s="5" t="s">
        <v>173</v>
      </c>
      <c r="B7" s="5">
        <v>91928</v>
      </c>
      <c r="C7" s="2" t="s">
        <v>174</v>
      </c>
      <c r="D7" s="5" t="s">
        <v>57</v>
      </c>
      <c r="E7" s="5">
        <v>35.020000000000003</v>
      </c>
      <c r="F7" s="21">
        <v>6.32</v>
      </c>
      <c r="G7" s="17">
        <v>7.95</v>
      </c>
      <c r="H7" s="17">
        <f t="shared" si="0"/>
        <v>278.40900000000005</v>
      </c>
    </row>
    <row r="8" spans="1:9" ht="76.5" customHeight="1" x14ac:dyDescent="0.25">
      <c r="A8" s="5" t="s">
        <v>175</v>
      </c>
      <c r="B8" s="5">
        <v>91934</v>
      </c>
      <c r="C8" s="2" t="s">
        <v>176</v>
      </c>
      <c r="D8" s="5" t="s">
        <v>57</v>
      </c>
      <c r="E8" s="5">
        <v>220</v>
      </c>
      <c r="F8" s="17">
        <v>22.19</v>
      </c>
      <c r="G8" s="17">
        <v>27.92</v>
      </c>
      <c r="H8" s="17">
        <f t="shared" si="0"/>
        <v>6142.4000000000005</v>
      </c>
    </row>
    <row r="9" spans="1:9" ht="74.25" customHeight="1" x14ac:dyDescent="0.25">
      <c r="A9" s="5" t="s">
        <v>177</v>
      </c>
      <c r="B9" s="5">
        <v>93657</v>
      </c>
      <c r="C9" s="2" t="s">
        <v>178</v>
      </c>
      <c r="D9" s="5" t="s">
        <v>67</v>
      </c>
      <c r="E9" s="5">
        <v>6</v>
      </c>
      <c r="F9" s="21">
        <v>13.05</v>
      </c>
      <c r="G9" s="17">
        <v>16.420000000000002</v>
      </c>
      <c r="H9" s="17">
        <f t="shared" si="0"/>
        <v>98.52000000000001</v>
      </c>
    </row>
    <row r="10" spans="1:9" ht="81" customHeight="1" x14ac:dyDescent="0.25">
      <c r="A10" s="5" t="s">
        <v>179</v>
      </c>
      <c r="B10" s="5">
        <v>101894</v>
      </c>
      <c r="C10" s="2" t="s">
        <v>189</v>
      </c>
      <c r="D10" s="5" t="s">
        <v>67</v>
      </c>
      <c r="E10" s="5">
        <v>4</v>
      </c>
      <c r="F10" s="17">
        <v>140.66999999999999</v>
      </c>
      <c r="G10" s="17">
        <v>176.99</v>
      </c>
      <c r="H10" s="17">
        <f t="shared" si="0"/>
        <v>707.96</v>
      </c>
    </row>
    <row r="11" spans="1:9" ht="88.5" customHeight="1" x14ac:dyDescent="0.25">
      <c r="A11" s="5" t="s">
        <v>180</v>
      </c>
      <c r="B11" s="5">
        <v>91849</v>
      </c>
      <c r="C11" s="2" t="s">
        <v>190</v>
      </c>
      <c r="D11" s="5" t="s">
        <v>57</v>
      </c>
      <c r="E11" s="5">
        <v>598</v>
      </c>
      <c r="F11" s="17">
        <v>5.67</v>
      </c>
      <c r="G11" s="17">
        <v>7.13</v>
      </c>
      <c r="H11" s="17">
        <f t="shared" si="0"/>
        <v>4263.74</v>
      </c>
    </row>
    <row r="12" spans="1:9" ht="87" customHeight="1" x14ac:dyDescent="0.25">
      <c r="A12" s="5" t="s">
        <v>181</v>
      </c>
      <c r="B12" s="5">
        <v>97593</v>
      </c>
      <c r="C12" s="2" t="s">
        <v>191</v>
      </c>
      <c r="D12" s="5" t="s">
        <v>67</v>
      </c>
      <c r="E12" s="5">
        <v>15</v>
      </c>
      <c r="F12" s="17">
        <v>123.1</v>
      </c>
      <c r="G12" s="17">
        <v>154.88999999999999</v>
      </c>
      <c r="H12" s="17">
        <f t="shared" si="0"/>
        <v>2323.35</v>
      </c>
    </row>
    <row r="13" spans="1:9" ht="105" customHeight="1" x14ac:dyDescent="0.25">
      <c r="A13" s="5" t="s">
        <v>182</v>
      </c>
      <c r="B13" s="5">
        <v>92023</v>
      </c>
      <c r="C13" s="2" t="s">
        <v>183</v>
      </c>
      <c r="D13" s="5" t="s">
        <v>67</v>
      </c>
      <c r="E13" s="5">
        <v>36</v>
      </c>
      <c r="F13" s="17">
        <v>33.590000000000003</v>
      </c>
      <c r="G13" s="17">
        <v>42.26</v>
      </c>
      <c r="H13" s="17">
        <f t="shared" si="0"/>
        <v>1521.36</v>
      </c>
    </row>
    <row r="14" spans="1:9" ht="67.5" customHeight="1" x14ac:dyDescent="0.25">
      <c r="A14" s="5" t="s">
        <v>184</v>
      </c>
      <c r="B14" s="5">
        <v>92027</v>
      </c>
      <c r="C14" s="22" t="s">
        <v>192</v>
      </c>
      <c r="D14" s="5" t="s">
        <v>67</v>
      </c>
      <c r="E14" s="5">
        <v>2</v>
      </c>
      <c r="F14" s="17">
        <v>44.71</v>
      </c>
      <c r="G14" s="17">
        <v>56.25</v>
      </c>
      <c r="H14" s="17">
        <f t="shared" si="0"/>
        <v>112.5</v>
      </c>
    </row>
    <row r="15" spans="1:9" ht="83.25" customHeight="1" x14ac:dyDescent="0.35">
      <c r="A15" s="15" t="s">
        <v>185</v>
      </c>
      <c r="B15" s="15">
        <v>101879</v>
      </c>
      <c r="C15" s="22" t="s">
        <v>193</v>
      </c>
      <c r="D15" s="15" t="s">
        <v>67</v>
      </c>
      <c r="E15" s="15">
        <v>2</v>
      </c>
      <c r="F15" s="21">
        <v>588.48</v>
      </c>
      <c r="G15" s="21">
        <v>740.45</v>
      </c>
      <c r="H15" s="21">
        <f t="shared" si="0"/>
        <v>1480.9</v>
      </c>
      <c r="I15" s="19"/>
    </row>
    <row r="16" spans="1:9" ht="61.5" customHeight="1" x14ac:dyDescent="0.25">
      <c r="A16" s="5" t="s">
        <v>186</v>
      </c>
      <c r="B16" s="5">
        <v>100557</v>
      </c>
      <c r="C16" s="2" t="s">
        <v>194</v>
      </c>
      <c r="D16" s="5" t="s">
        <v>67</v>
      </c>
      <c r="E16" s="5">
        <v>2</v>
      </c>
      <c r="F16" s="17">
        <v>483.28</v>
      </c>
      <c r="G16" s="17">
        <v>608.08000000000004</v>
      </c>
      <c r="H16" s="17">
        <f t="shared" si="0"/>
        <v>1216.1600000000001</v>
      </c>
    </row>
    <row r="17" spans="1:9" ht="42.75" customHeight="1" x14ac:dyDescent="0.25">
      <c r="A17" s="16"/>
      <c r="B17" s="16"/>
      <c r="C17" s="9"/>
      <c r="D17" s="11"/>
      <c r="E17" s="194" t="s">
        <v>195</v>
      </c>
      <c r="F17" s="194"/>
      <c r="G17" s="194"/>
      <c r="H17" s="46">
        <f>SUM(H5:H16)</f>
        <v>20467.008500000004</v>
      </c>
    </row>
    <row r="19" spans="1:9" x14ac:dyDescent="0.25">
      <c r="I19" s="27"/>
    </row>
  </sheetData>
  <mergeCells count="10">
    <mergeCell ref="E17:G17"/>
    <mergeCell ref="B4:H4"/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6368C-3E24-46EC-AFB8-94E88E952A47}">
  <dimension ref="A1:I11"/>
  <sheetViews>
    <sheetView workbookViewId="0">
      <selection activeCell="H11" sqref="H11"/>
    </sheetView>
  </sheetViews>
  <sheetFormatPr defaultRowHeight="15" x14ac:dyDescent="0.25"/>
  <cols>
    <col min="1" max="1" width="19.7109375" customWidth="1"/>
    <col min="2" max="2" width="15.5703125" customWidth="1"/>
    <col min="3" max="3" width="32.42578125" customWidth="1"/>
    <col min="4" max="4" width="10.140625" customWidth="1"/>
    <col min="5" max="5" width="18.140625" customWidth="1"/>
    <col min="6" max="6" width="13.85546875" bestFit="1" customWidth="1"/>
    <col min="7" max="7" width="19.140625" customWidth="1"/>
    <col min="8" max="8" width="21.85546875" bestFit="1" customWidth="1"/>
    <col min="9" max="9" width="11.28515625" bestFit="1" customWidth="1"/>
  </cols>
  <sheetData>
    <row r="1" spans="1:9" ht="42" customHeight="1" x14ac:dyDescent="0.25">
      <c r="A1" s="117" t="s">
        <v>196</v>
      </c>
      <c r="B1" s="117"/>
      <c r="C1" s="117"/>
      <c r="D1" s="117"/>
      <c r="E1" s="117"/>
      <c r="F1" s="117"/>
      <c r="G1" s="117"/>
      <c r="H1" s="117"/>
    </row>
    <row r="2" spans="1:9" ht="15" customHeight="1" x14ac:dyDescent="0.25">
      <c r="A2" s="118" t="s">
        <v>4</v>
      </c>
      <c r="B2" s="118" t="s">
        <v>5</v>
      </c>
      <c r="C2" s="118" t="s">
        <v>6</v>
      </c>
      <c r="D2" s="118" t="s">
        <v>7</v>
      </c>
      <c r="E2" s="118" t="s">
        <v>8</v>
      </c>
      <c r="F2" s="119" t="s">
        <v>9</v>
      </c>
      <c r="G2" s="119"/>
      <c r="H2" s="118" t="s">
        <v>10</v>
      </c>
    </row>
    <row r="3" spans="1:9" ht="15" customHeight="1" x14ac:dyDescent="0.25">
      <c r="A3" s="118"/>
      <c r="B3" s="118"/>
      <c r="C3" s="118"/>
      <c r="D3" s="118"/>
      <c r="E3" s="118"/>
      <c r="F3" s="13" t="s">
        <v>11</v>
      </c>
      <c r="G3" s="13" t="s">
        <v>12</v>
      </c>
      <c r="H3" s="118"/>
    </row>
    <row r="4" spans="1:9" s="1" customFormat="1" ht="20.25" x14ac:dyDescent="0.25">
      <c r="A4" s="51" t="s">
        <v>198</v>
      </c>
      <c r="B4" s="187" t="s">
        <v>197</v>
      </c>
      <c r="C4" s="187"/>
      <c r="D4" s="187"/>
      <c r="E4" s="187"/>
      <c r="F4" s="187"/>
      <c r="G4" s="187"/>
      <c r="H4" s="187"/>
    </row>
    <row r="5" spans="1:9" ht="79.5" customHeight="1" x14ac:dyDescent="0.25">
      <c r="A5" s="5" t="s">
        <v>362</v>
      </c>
      <c r="B5" s="5">
        <v>92397</v>
      </c>
      <c r="C5" s="6" t="s">
        <v>205</v>
      </c>
      <c r="D5" s="5"/>
      <c r="E5" s="5">
        <v>95</v>
      </c>
      <c r="F5" s="17">
        <v>60.97</v>
      </c>
      <c r="G5" s="17">
        <v>76.709999999999994</v>
      </c>
      <c r="H5" s="17">
        <f>G5*E5</f>
        <v>7287.45</v>
      </c>
      <c r="I5" s="29"/>
    </row>
    <row r="6" spans="1:9" ht="80.25" customHeight="1" x14ac:dyDescent="0.25">
      <c r="A6" s="5" t="s">
        <v>199</v>
      </c>
      <c r="B6" s="5">
        <v>92400</v>
      </c>
      <c r="C6" s="6" t="s">
        <v>206</v>
      </c>
      <c r="D6" s="5"/>
      <c r="E6" s="5">
        <v>172.82</v>
      </c>
      <c r="F6" s="17">
        <v>92.4</v>
      </c>
      <c r="G6" s="17">
        <v>116.26</v>
      </c>
      <c r="H6" s="17">
        <f>G6*E6</f>
        <v>20092.053199999998</v>
      </c>
      <c r="I6" s="29"/>
    </row>
    <row r="7" spans="1:9" ht="35.25" customHeight="1" x14ac:dyDescent="0.25">
      <c r="A7" s="5" t="s">
        <v>200</v>
      </c>
      <c r="B7" s="5">
        <v>98504</v>
      </c>
      <c r="C7" s="6" t="s">
        <v>201</v>
      </c>
      <c r="D7" s="5"/>
      <c r="E7" s="5">
        <v>5563.35</v>
      </c>
      <c r="F7" s="17">
        <v>11.42</v>
      </c>
      <c r="G7" s="17">
        <v>14.36</v>
      </c>
      <c r="H7" s="17">
        <f>G7*E7</f>
        <v>79889.706000000006</v>
      </c>
      <c r="I7" s="29"/>
    </row>
    <row r="8" spans="1:9" ht="64.5" customHeight="1" x14ac:dyDescent="0.25">
      <c r="A8" s="5" t="s">
        <v>202</v>
      </c>
      <c r="B8" s="5">
        <v>94265</v>
      </c>
      <c r="C8" s="6" t="s">
        <v>203</v>
      </c>
      <c r="D8" s="5" t="s">
        <v>139</v>
      </c>
      <c r="E8" s="5">
        <v>58.3</v>
      </c>
      <c r="F8" s="17">
        <v>38.159999999999997</v>
      </c>
      <c r="G8" s="17">
        <v>48.01</v>
      </c>
      <c r="H8" s="17">
        <f>G8*E8</f>
        <v>2798.9829999999997</v>
      </c>
      <c r="I8" s="29"/>
    </row>
    <row r="9" spans="1:9" ht="30.75" customHeight="1" x14ac:dyDescent="0.25">
      <c r="A9" s="195"/>
      <c r="B9" s="195"/>
      <c r="C9" s="195"/>
      <c r="D9" s="195"/>
      <c r="E9" s="197" t="s">
        <v>207</v>
      </c>
      <c r="F9" s="198"/>
      <c r="G9" s="199"/>
      <c r="H9" s="47">
        <f>SUM(H5:H8)</f>
        <v>110068.1922</v>
      </c>
      <c r="I9" s="30"/>
    </row>
    <row r="10" spans="1:9" x14ac:dyDescent="0.25">
      <c r="A10" s="196"/>
      <c r="B10" s="196"/>
      <c r="C10" s="196"/>
      <c r="D10" s="196"/>
      <c r="E10" s="196"/>
      <c r="F10" s="196"/>
      <c r="G10" s="196"/>
      <c r="H10" s="196"/>
    </row>
    <row r="11" spans="1:9" ht="39.75" customHeight="1" x14ac:dyDescent="0.25">
      <c r="A11" s="200" t="s">
        <v>204</v>
      </c>
      <c r="B11" s="201"/>
      <c r="C11" s="201"/>
      <c r="D11" s="201"/>
      <c r="E11" s="201"/>
      <c r="F11" s="201"/>
      <c r="G11" s="202"/>
      <c r="H11" s="63">
        <f>SUM(H9+'5.9 INSTALAÇÓES ELÉTRICAS'!H17+'5.8 INSTALACOES SANITARIAS PLU'!H14+'5.7 INSTALACOES HIDRAULICAS'!H24+'5.6 FORROS E DIVISORIAS'!H8+'5.5 COBERTURA'!H13+'5.4 PINTURA ACABAMENTO'!H14+'5.3 ESQUADRIAS DE MADEIRA'!H21+'5.2 REVESTIMENTO DE PAREDES'!H14+'5.1 EDIFICIOS ESCRITÓRIO E ALMO'!H24)</f>
        <v>280988.94260000007</v>
      </c>
    </row>
  </sheetData>
  <mergeCells count="13">
    <mergeCell ref="A1:H1"/>
    <mergeCell ref="A2:A3"/>
    <mergeCell ref="B2:B3"/>
    <mergeCell ref="C2:C3"/>
    <mergeCell ref="D2:D3"/>
    <mergeCell ref="E2:E3"/>
    <mergeCell ref="F2:G2"/>
    <mergeCell ref="H2:H3"/>
    <mergeCell ref="A9:D9"/>
    <mergeCell ref="A10:H10"/>
    <mergeCell ref="E9:G9"/>
    <mergeCell ref="A11:G11"/>
    <mergeCell ref="B4:H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8C2B1-EEDE-4711-9FC4-C9A200931C84}">
  <dimension ref="A1:H13"/>
  <sheetViews>
    <sheetView topLeftCell="A7" workbookViewId="0">
      <selection sqref="A1:H11"/>
    </sheetView>
  </sheetViews>
  <sheetFormatPr defaultRowHeight="15" x14ac:dyDescent="0.25"/>
  <cols>
    <col min="1" max="1" width="14" customWidth="1"/>
    <col min="2" max="2" width="17.28515625" customWidth="1"/>
    <col min="3" max="3" width="47.85546875" customWidth="1"/>
    <col min="4" max="4" width="13.28515625" customWidth="1"/>
    <col min="5" max="5" width="18.7109375" customWidth="1"/>
    <col min="6" max="6" width="17.85546875" customWidth="1"/>
    <col min="7" max="7" width="15.28515625" customWidth="1"/>
    <col min="8" max="8" width="24" customWidth="1"/>
  </cols>
  <sheetData>
    <row r="1" spans="1:8" ht="42" customHeight="1" x14ac:dyDescent="0.25">
      <c r="A1" s="206" t="s">
        <v>208</v>
      </c>
      <c r="B1" s="207"/>
      <c r="C1" s="207"/>
      <c r="D1" s="207"/>
      <c r="E1" s="207"/>
      <c r="F1" s="207"/>
      <c r="G1" s="207"/>
      <c r="H1" s="208"/>
    </row>
    <row r="2" spans="1:8" ht="15" customHeight="1" x14ac:dyDescent="0.25">
      <c r="A2" s="163" t="s">
        <v>4</v>
      </c>
      <c r="B2" s="163" t="s">
        <v>5</v>
      </c>
      <c r="C2" s="163" t="s">
        <v>6</v>
      </c>
      <c r="D2" s="163" t="s">
        <v>7</v>
      </c>
      <c r="E2" s="163" t="s">
        <v>8</v>
      </c>
      <c r="F2" s="209" t="s">
        <v>9</v>
      </c>
      <c r="G2" s="210"/>
      <c r="H2" s="163" t="s">
        <v>10</v>
      </c>
    </row>
    <row r="3" spans="1:8" ht="15" customHeight="1" x14ac:dyDescent="0.25">
      <c r="A3" s="164"/>
      <c r="B3" s="164"/>
      <c r="C3" s="164"/>
      <c r="D3" s="164"/>
      <c r="E3" s="164"/>
      <c r="F3" s="13" t="s">
        <v>11</v>
      </c>
      <c r="G3" s="13" t="s">
        <v>12</v>
      </c>
      <c r="H3" s="164"/>
    </row>
    <row r="4" spans="1:8" s="1" customFormat="1" ht="20.25" customHeight="1" x14ac:dyDescent="0.25">
      <c r="A4" s="51" t="s">
        <v>209</v>
      </c>
      <c r="B4" s="203" t="s">
        <v>225</v>
      </c>
      <c r="C4" s="204"/>
      <c r="D4" s="204"/>
      <c r="E4" s="204"/>
      <c r="F4" s="204"/>
      <c r="G4" s="204"/>
      <c r="H4" s="205"/>
    </row>
    <row r="5" spans="1:8" ht="64.5" customHeight="1" x14ac:dyDescent="0.25">
      <c r="A5" s="31" t="s">
        <v>210</v>
      </c>
      <c r="B5" s="31">
        <v>87690</v>
      </c>
      <c r="C5" s="32" t="s">
        <v>76</v>
      </c>
      <c r="D5" s="31" t="s">
        <v>211</v>
      </c>
      <c r="E5" s="31">
        <v>96</v>
      </c>
      <c r="F5" s="24">
        <v>35.33</v>
      </c>
      <c r="G5" s="24">
        <v>44.45</v>
      </c>
      <c r="H5" s="24">
        <f t="shared" ref="H5:H10" si="0">G5*E5</f>
        <v>4267.2000000000007</v>
      </c>
    </row>
    <row r="6" spans="1:8" ht="52.5" customHeight="1" x14ac:dyDescent="0.25">
      <c r="A6" s="31" t="s">
        <v>212</v>
      </c>
      <c r="B6" s="31">
        <v>87246</v>
      </c>
      <c r="C6" s="32" t="s">
        <v>213</v>
      </c>
      <c r="D6" s="31" t="s">
        <v>211</v>
      </c>
      <c r="E6" s="31">
        <v>88.65</v>
      </c>
      <c r="F6" s="24">
        <v>50.56</v>
      </c>
      <c r="G6" s="24">
        <v>63.61</v>
      </c>
      <c r="H6" s="24">
        <f t="shared" si="0"/>
        <v>5639.0264999999999</v>
      </c>
    </row>
    <row r="7" spans="1:8" ht="37.5" customHeight="1" x14ac:dyDescent="0.25">
      <c r="A7" s="31" t="s">
        <v>214</v>
      </c>
      <c r="B7" s="31" t="s">
        <v>215</v>
      </c>
      <c r="C7" s="32" t="s">
        <v>216</v>
      </c>
      <c r="D7" s="31" t="s">
        <v>139</v>
      </c>
      <c r="E7" s="31">
        <v>48.4</v>
      </c>
      <c r="F7" s="24">
        <v>6.02</v>
      </c>
      <c r="G7" s="24">
        <v>7.57</v>
      </c>
      <c r="H7" s="24">
        <f t="shared" si="0"/>
        <v>366.38799999999998</v>
      </c>
    </row>
    <row r="8" spans="1:8" ht="65.25" customHeight="1" x14ac:dyDescent="0.25">
      <c r="A8" s="31" t="s">
        <v>217</v>
      </c>
      <c r="B8" s="31">
        <v>92775</v>
      </c>
      <c r="C8" s="32" t="s">
        <v>218</v>
      </c>
      <c r="D8" s="31" t="s">
        <v>219</v>
      </c>
      <c r="E8" s="31">
        <v>365</v>
      </c>
      <c r="F8" s="24">
        <v>19.21</v>
      </c>
      <c r="G8" s="24">
        <v>24.17</v>
      </c>
      <c r="H8" s="24">
        <f t="shared" si="0"/>
        <v>8822.0500000000011</v>
      </c>
    </row>
    <row r="9" spans="1:8" ht="63" customHeight="1" x14ac:dyDescent="0.25">
      <c r="A9" s="31" t="s">
        <v>220</v>
      </c>
      <c r="B9" s="31">
        <v>92779</v>
      </c>
      <c r="C9" s="32" t="s">
        <v>221</v>
      </c>
      <c r="D9" s="31" t="s">
        <v>219</v>
      </c>
      <c r="E9" s="31">
        <v>226.39</v>
      </c>
      <c r="F9" s="24">
        <v>13.99</v>
      </c>
      <c r="G9" s="24">
        <v>17.600000000000001</v>
      </c>
      <c r="H9" s="24">
        <f t="shared" si="0"/>
        <v>3984.4639999999999</v>
      </c>
    </row>
    <row r="10" spans="1:8" ht="49.5" customHeight="1" x14ac:dyDescent="0.25">
      <c r="A10" s="31" t="s">
        <v>222</v>
      </c>
      <c r="B10" s="31">
        <v>94964</v>
      </c>
      <c r="C10" s="32" t="s">
        <v>223</v>
      </c>
      <c r="D10" s="31" t="s">
        <v>224</v>
      </c>
      <c r="E10" s="31">
        <v>7.86</v>
      </c>
      <c r="F10" s="24">
        <v>371.92</v>
      </c>
      <c r="G10" s="24">
        <v>467</v>
      </c>
      <c r="H10" s="24">
        <f t="shared" si="0"/>
        <v>3670.6200000000003</v>
      </c>
    </row>
    <row r="11" spans="1:8" ht="29.25" customHeight="1" x14ac:dyDescent="0.25">
      <c r="A11" s="191"/>
      <c r="B11" s="191"/>
      <c r="C11" s="191"/>
      <c r="D11" s="192"/>
      <c r="E11" s="194" t="s">
        <v>226</v>
      </c>
      <c r="F11" s="194"/>
      <c r="G11" s="194"/>
      <c r="H11" s="39">
        <f>SUM(H5:H10)</f>
        <v>26749.748500000002</v>
      </c>
    </row>
    <row r="13" spans="1:8" x14ac:dyDescent="0.25">
      <c r="F13" s="36"/>
    </row>
  </sheetData>
  <mergeCells count="11">
    <mergeCell ref="B4:H4"/>
    <mergeCell ref="A11:D11"/>
    <mergeCell ref="E11:G11"/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60C0-6361-4CBD-B0D7-570C12FB8984}">
  <dimension ref="A1:H7"/>
  <sheetViews>
    <sheetView workbookViewId="0">
      <selection sqref="A1:H6"/>
    </sheetView>
  </sheetViews>
  <sheetFormatPr defaultRowHeight="15" x14ac:dyDescent="0.25"/>
  <cols>
    <col min="1" max="1" width="14" customWidth="1"/>
    <col min="2" max="2" width="17.140625" customWidth="1"/>
    <col min="3" max="3" width="45.140625" customWidth="1"/>
    <col min="4" max="4" width="12" customWidth="1"/>
    <col min="5" max="5" width="17.7109375" customWidth="1"/>
    <col min="6" max="6" width="12" bestFit="1" customWidth="1"/>
    <col min="7" max="7" width="14.7109375" customWidth="1"/>
    <col min="8" max="8" width="24.140625" customWidth="1"/>
  </cols>
  <sheetData>
    <row r="1" spans="1:8" ht="42" customHeight="1" x14ac:dyDescent="0.25">
      <c r="A1" s="117" t="s">
        <v>231</v>
      </c>
      <c r="B1" s="117"/>
      <c r="C1" s="117"/>
      <c r="D1" s="117"/>
      <c r="E1" s="117"/>
      <c r="F1" s="117"/>
      <c r="G1" s="117"/>
      <c r="H1" s="117"/>
    </row>
    <row r="2" spans="1:8" ht="15" customHeight="1" x14ac:dyDescent="0.25">
      <c r="A2" s="118" t="s">
        <v>4</v>
      </c>
      <c r="B2" s="118" t="s">
        <v>5</v>
      </c>
      <c r="C2" s="118" t="s">
        <v>6</v>
      </c>
      <c r="D2" s="118" t="s">
        <v>7</v>
      </c>
      <c r="E2" s="118" t="s">
        <v>8</v>
      </c>
      <c r="F2" s="119" t="s">
        <v>9</v>
      </c>
      <c r="G2" s="119"/>
      <c r="H2" s="118" t="s">
        <v>10</v>
      </c>
    </row>
    <row r="3" spans="1:8" ht="15" customHeight="1" x14ac:dyDescent="0.25">
      <c r="A3" s="118"/>
      <c r="B3" s="118"/>
      <c r="C3" s="118"/>
      <c r="D3" s="118"/>
      <c r="E3" s="118"/>
      <c r="F3" s="13" t="s">
        <v>11</v>
      </c>
      <c r="G3" s="13" t="s">
        <v>12</v>
      </c>
      <c r="H3" s="118"/>
    </row>
    <row r="4" spans="1:8" s="1" customFormat="1" ht="20.25" customHeight="1" x14ac:dyDescent="0.25">
      <c r="A4" s="48" t="s">
        <v>227</v>
      </c>
      <c r="B4" s="120" t="s">
        <v>87</v>
      </c>
      <c r="C4" s="120"/>
      <c r="D4" s="120"/>
      <c r="E4" s="120"/>
      <c r="F4" s="120"/>
      <c r="G4" s="120"/>
      <c r="H4" s="120"/>
    </row>
    <row r="5" spans="1:8" ht="93.75" customHeight="1" x14ac:dyDescent="0.25">
      <c r="A5" s="34" t="s">
        <v>228</v>
      </c>
      <c r="B5" s="34">
        <v>87878</v>
      </c>
      <c r="C5" s="58" t="s">
        <v>229</v>
      </c>
      <c r="D5" s="34" t="s">
        <v>211</v>
      </c>
      <c r="E5" s="31">
        <v>531</v>
      </c>
      <c r="F5" s="35">
        <v>3.44</v>
      </c>
      <c r="G5" s="35">
        <v>4.32</v>
      </c>
      <c r="H5" s="35">
        <f>G5*E5</f>
        <v>2293.92</v>
      </c>
    </row>
    <row r="6" spans="1:8" ht="29.25" customHeight="1" x14ac:dyDescent="0.25">
      <c r="A6" s="211"/>
      <c r="B6" s="211"/>
      <c r="C6" s="211"/>
      <c r="D6" s="212"/>
      <c r="E6" s="213" t="s">
        <v>230</v>
      </c>
      <c r="F6" s="214"/>
      <c r="G6" s="215"/>
      <c r="H6" s="42">
        <f>SUM(H5)</f>
        <v>2293.92</v>
      </c>
    </row>
    <row r="7" spans="1:8" s="27" customFormat="1" x14ac:dyDescent="0.25"/>
  </sheetData>
  <mergeCells count="11">
    <mergeCell ref="B4:H4"/>
    <mergeCell ref="A6:D6"/>
    <mergeCell ref="E6:G6"/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CA7BB-04DF-470B-BDBF-659B2E8BABB6}">
  <dimension ref="A1:H7"/>
  <sheetViews>
    <sheetView workbookViewId="0">
      <selection sqref="A1:H7"/>
    </sheetView>
  </sheetViews>
  <sheetFormatPr defaultRowHeight="15" x14ac:dyDescent="0.25"/>
  <cols>
    <col min="2" max="2" width="30.42578125" customWidth="1"/>
    <col min="3" max="3" width="45.28515625" customWidth="1"/>
    <col min="4" max="4" width="16.28515625" customWidth="1"/>
    <col min="5" max="5" width="14.28515625" customWidth="1"/>
    <col min="6" max="6" width="15.5703125" bestFit="1" customWidth="1"/>
    <col min="7" max="7" width="19.42578125" customWidth="1"/>
    <col min="8" max="8" width="26.140625" customWidth="1"/>
  </cols>
  <sheetData>
    <row r="1" spans="1:8" ht="42" customHeight="1" x14ac:dyDescent="0.25">
      <c r="A1" s="117" t="s">
        <v>395</v>
      </c>
      <c r="B1" s="117"/>
      <c r="C1" s="117"/>
      <c r="D1" s="117"/>
      <c r="E1" s="117"/>
      <c r="F1" s="117"/>
      <c r="G1" s="117"/>
      <c r="H1" s="117"/>
    </row>
    <row r="2" spans="1:8" ht="15" customHeight="1" x14ac:dyDescent="0.25">
      <c r="A2" s="118" t="s">
        <v>4</v>
      </c>
      <c r="B2" s="118" t="s">
        <v>5</v>
      </c>
      <c r="C2" s="118" t="s">
        <v>6</v>
      </c>
      <c r="D2" s="118" t="s">
        <v>7</v>
      </c>
      <c r="E2" s="118" t="s">
        <v>8</v>
      </c>
      <c r="F2" s="119" t="s">
        <v>9</v>
      </c>
      <c r="G2" s="119"/>
      <c r="H2" s="118" t="s">
        <v>10</v>
      </c>
    </row>
    <row r="3" spans="1:8" ht="15" customHeight="1" x14ac:dyDescent="0.25">
      <c r="A3" s="118"/>
      <c r="B3" s="118"/>
      <c r="C3" s="118"/>
      <c r="D3" s="118"/>
      <c r="E3" s="118"/>
      <c r="F3" s="13" t="s">
        <v>11</v>
      </c>
      <c r="G3" s="13" t="s">
        <v>12</v>
      </c>
      <c r="H3" s="118"/>
    </row>
    <row r="4" spans="1:8" s="1" customFormat="1" ht="20.25" customHeight="1" x14ac:dyDescent="0.25">
      <c r="A4" s="48" t="s">
        <v>232</v>
      </c>
      <c r="B4" s="120" t="s">
        <v>396</v>
      </c>
      <c r="C4" s="120"/>
      <c r="D4" s="120"/>
      <c r="E4" s="120"/>
      <c r="F4" s="120"/>
      <c r="G4" s="120"/>
      <c r="H4" s="120"/>
    </row>
    <row r="5" spans="1:8" ht="48.75" customHeight="1" x14ac:dyDescent="0.25">
      <c r="A5" s="31" t="s">
        <v>233</v>
      </c>
      <c r="B5" s="31">
        <v>102180</v>
      </c>
      <c r="C5" s="32" t="s">
        <v>234</v>
      </c>
      <c r="D5" s="31" t="s">
        <v>211</v>
      </c>
      <c r="E5" s="31">
        <v>7.92</v>
      </c>
      <c r="F5" s="35">
        <v>336.14</v>
      </c>
      <c r="G5" s="35">
        <v>422.94</v>
      </c>
      <c r="H5" s="35">
        <f>G5*E5</f>
        <v>3349.6848</v>
      </c>
    </row>
    <row r="6" spans="1:8" ht="45.75" customHeight="1" x14ac:dyDescent="0.25">
      <c r="A6" s="31" t="s">
        <v>235</v>
      </c>
      <c r="B6" s="31" t="s">
        <v>236</v>
      </c>
      <c r="C6" s="32" t="s">
        <v>237</v>
      </c>
      <c r="D6" s="31" t="s">
        <v>139</v>
      </c>
      <c r="E6" s="31">
        <v>0.64</v>
      </c>
      <c r="F6" s="35">
        <v>61.3</v>
      </c>
      <c r="G6" s="35">
        <v>77.13</v>
      </c>
      <c r="H6" s="35">
        <f>G6*E6</f>
        <v>49.363199999999999</v>
      </c>
    </row>
    <row r="7" spans="1:8" ht="28.5" customHeight="1" x14ac:dyDescent="0.25">
      <c r="A7" s="216"/>
      <c r="B7" s="216"/>
      <c r="C7" s="216"/>
      <c r="D7" s="216"/>
      <c r="E7" s="123" t="s">
        <v>238</v>
      </c>
      <c r="F7" s="123"/>
      <c r="G7" s="123"/>
      <c r="H7" s="43">
        <f>SUM(H5:H6)</f>
        <v>3399.0479999999998</v>
      </c>
    </row>
  </sheetData>
  <mergeCells count="11">
    <mergeCell ref="B4:H4"/>
    <mergeCell ref="A7:D7"/>
    <mergeCell ref="E7:G7"/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68787-F215-4C8D-8CDF-BA23F22890B7}">
  <dimension ref="A1:H12"/>
  <sheetViews>
    <sheetView workbookViewId="0">
      <selection sqref="A1:H8"/>
    </sheetView>
  </sheetViews>
  <sheetFormatPr defaultRowHeight="15" x14ac:dyDescent="0.25"/>
  <cols>
    <col min="1" max="1" width="16.140625" customWidth="1"/>
    <col min="2" max="2" width="21.7109375" customWidth="1"/>
    <col min="3" max="3" width="39.5703125" customWidth="1"/>
    <col min="4" max="4" width="14.85546875" customWidth="1"/>
    <col min="5" max="5" width="17.85546875" customWidth="1"/>
    <col min="6" max="6" width="14.7109375" customWidth="1"/>
    <col min="7" max="7" width="16.85546875" customWidth="1"/>
    <col min="8" max="8" width="29.42578125" customWidth="1"/>
  </cols>
  <sheetData>
    <row r="1" spans="1:8" ht="42" customHeight="1" x14ac:dyDescent="0.25">
      <c r="A1" s="117" t="s">
        <v>402</v>
      </c>
      <c r="B1" s="117"/>
      <c r="C1" s="117"/>
      <c r="D1" s="117"/>
      <c r="E1" s="117"/>
      <c r="F1" s="117"/>
      <c r="G1" s="117"/>
      <c r="H1" s="117"/>
    </row>
    <row r="2" spans="1:8" ht="15" customHeight="1" x14ac:dyDescent="0.25">
      <c r="A2" s="118" t="s">
        <v>4</v>
      </c>
      <c r="B2" s="118" t="s">
        <v>5</v>
      </c>
      <c r="C2" s="118" t="s">
        <v>6</v>
      </c>
      <c r="D2" s="118" t="s">
        <v>7</v>
      </c>
      <c r="E2" s="118" t="s">
        <v>8</v>
      </c>
      <c r="F2" s="119" t="s">
        <v>9</v>
      </c>
      <c r="G2" s="119"/>
      <c r="H2" s="118" t="s">
        <v>10</v>
      </c>
    </row>
    <row r="3" spans="1:8" ht="15" customHeight="1" x14ac:dyDescent="0.25">
      <c r="A3" s="118"/>
      <c r="B3" s="118"/>
      <c r="C3" s="118"/>
      <c r="D3" s="118"/>
      <c r="E3" s="118"/>
      <c r="F3" s="13" t="s">
        <v>11</v>
      </c>
      <c r="G3" s="13" t="s">
        <v>12</v>
      </c>
      <c r="H3" s="118"/>
    </row>
    <row r="4" spans="1:8" s="1" customFormat="1" ht="20.25" customHeight="1" x14ac:dyDescent="0.25">
      <c r="A4" s="48" t="s">
        <v>246</v>
      </c>
      <c r="B4" s="120" t="s">
        <v>384</v>
      </c>
      <c r="C4" s="120"/>
      <c r="D4" s="120"/>
      <c r="E4" s="120"/>
      <c r="F4" s="120"/>
      <c r="G4" s="120"/>
      <c r="H4" s="120"/>
    </row>
    <row r="5" spans="1:8" ht="42.75" x14ac:dyDescent="0.25">
      <c r="A5" s="31" t="s">
        <v>239</v>
      </c>
      <c r="B5" s="31">
        <v>88497</v>
      </c>
      <c r="C5" s="33" t="s">
        <v>240</v>
      </c>
      <c r="D5" s="31" t="s">
        <v>211</v>
      </c>
      <c r="E5" s="31">
        <v>531</v>
      </c>
      <c r="F5" s="35">
        <v>11.47</v>
      </c>
      <c r="G5" s="35">
        <v>14.43</v>
      </c>
      <c r="H5" s="35">
        <f>G5*E5</f>
        <v>7662.33</v>
      </c>
    </row>
    <row r="6" spans="1:8" ht="42.75" x14ac:dyDescent="0.25">
      <c r="A6" s="31" t="s">
        <v>241</v>
      </c>
      <c r="B6" s="31">
        <v>88488</v>
      </c>
      <c r="C6" s="33" t="s">
        <v>242</v>
      </c>
      <c r="D6" s="31" t="s">
        <v>211</v>
      </c>
      <c r="E6" s="31">
        <v>88.65</v>
      </c>
      <c r="F6" s="35">
        <v>14.05</v>
      </c>
      <c r="G6" s="35">
        <v>17.670000000000002</v>
      </c>
      <c r="H6" s="35">
        <f>G6*E6</f>
        <v>1566.4455000000003</v>
      </c>
    </row>
    <row r="7" spans="1:8" ht="42.75" x14ac:dyDescent="0.25">
      <c r="A7" s="31" t="s">
        <v>243</v>
      </c>
      <c r="B7" s="31">
        <v>88489</v>
      </c>
      <c r="C7" s="33" t="s">
        <v>244</v>
      </c>
      <c r="D7" s="31" t="s">
        <v>211</v>
      </c>
      <c r="E7" s="31">
        <v>531.9</v>
      </c>
      <c r="F7" s="35">
        <v>12.71</v>
      </c>
      <c r="G7" s="35">
        <v>15.99</v>
      </c>
      <c r="H7" s="35">
        <f>G7*E7</f>
        <v>8505.0810000000001</v>
      </c>
    </row>
    <row r="8" spans="1:8" ht="30" customHeight="1" x14ac:dyDescent="0.25">
      <c r="A8" s="216"/>
      <c r="B8" s="216"/>
      <c r="C8" s="216"/>
      <c r="D8" s="216"/>
      <c r="E8" s="123" t="s">
        <v>245</v>
      </c>
      <c r="F8" s="123"/>
      <c r="G8" s="123"/>
      <c r="H8" s="43">
        <f>SUM(H5:H7)</f>
        <v>17733.856500000002</v>
      </c>
    </row>
    <row r="12" spans="1:8" x14ac:dyDescent="0.25">
      <c r="A12" s="28"/>
    </row>
  </sheetData>
  <mergeCells count="11">
    <mergeCell ref="B4:H4"/>
    <mergeCell ref="A8:D8"/>
    <mergeCell ref="E8:G8"/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629FA-1AD8-4EFE-98D4-78C5AF2F1594}">
  <dimension ref="A1:H7"/>
  <sheetViews>
    <sheetView workbookViewId="0">
      <selection sqref="A1:H7"/>
    </sheetView>
  </sheetViews>
  <sheetFormatPr defaultRowHeight="15" x14ac:dyDescent="0.25"/>
  <cols>
    <col min="1" max="1" width="13" customWidth="1"/>
    <col min="2" max="2" width="16.140625" customWidth="1"/>
    <col min="3" max="3" width="46.7109375" customWidth="1"/>
    <col min="4" max="4" width="12" customWidth="1"/>
    <col min="5" max="5" width="19.85546875" customWidth="1"/>
    <col min="6" max="7" width="18.28515625" bestFit="1" customWidth="1"/>
    <col min="8" max="8" width="23.42578125" customWidth="1"/>
  </cols>
  <sheetData>
    <row r="1" spans="1:8" ht="42" customHeight="1" x14ac:dyDescent="0.25">
      <c r="A1" s="117" t="s">
        <v>253</v>
      </c>
      <c r="B1" s="117"/>
      <c r="C1" s="117"/>
      <c r="D1" s="117"/>
      <c r="E1" s="117"/>
      <c r="F1" s="117"/>
      <c r="G1" s="117"/>
      <c r="H1" s="117"/>
    </row>
    <row r="2" spans="1:8" ht="15" customHeight="1" x14ac:dyDescent="0.25">
      <c r="A2" s="118" t="s">
        <v>4</v>
      </c>
      <c r="B2" s="118" t="s">
        <v>5</v>
      </c>
      <c r="C2" s="118" t="s">
        <v>6</v>
      </c>
      <c r="D2" s="118" t="s">
        <v>7</v>
      </c>
      <c r="E2" s="118" t="s">
        <v>8</v>
      </c>
      <c r="F2" s="119" t="s">
        <v>9</v>
      </c>
      <c r="G2" s="119"/>
      <c r="H2" s="118" t="s">
        <v>10</v>
      </c>
    </row>
    <row r="3" spans="1:8" ht="15" customHeight="1" x14ac:dyDescent="0.25">
      <c r="A3" s="118"/>
      <c r="B3" s="118"/>
      <c r="C3" s="118"/>
      <c r="D3" s="118"/>
      <c r="E3" s="118"/>
      <c r="F3" s="13" t="s">
        <v>11</v>
      </c>
      <c r="G3" s="13" t="s">
        <v>12</v>
      </c>
      <c r="H3" s="118"/>
    </row>
    <row r="4" spans="1:8" s="1" customFormat="1" ht="20.25" customHeight="1" x14ac:dyDescent="0.25">
      <c r="A4" s="48" t="s">
        <v>247</v>
      </c>
      <c r="B4" s="120" t="s">
        <v>120</v>
      </c>
      <c r="C4" s="120"/>
      <c r="D4" s="120"/>
      <c r="E4" s="120"/>
      <c r="F4" s="120"/>
      <c r="G4" s="120"/>
      <c r="H4" s="120"/>
    </row>
    <row r="5" spans="1:8" s="3" customFormat="1" ht="80.25" customHeight="1" x14ac:dyDescent="0.25">
      <c r="A5" s="31" t="s">
        <v>248</v>
      </c>
      <c r="B5" s="31">
        <v>94216</v>
      </c>
      <c r="C5" s="32" t="s">
        <v>249</v>
      </c>
      <c r="D5" s="31" t="s">
        <v>211</v>
      </c>
      <c r="E5" s="31">
        <v>105.6</v>
      </c>
      <c r="F5" s="24">
        <v>230.19</v>
      </c>
      <c r="G5" s="24">
        <v>289.63</v>
      </c>
      <c r="H5" s="24">
        <f>G5*E5</f>
        <v>30584.927999999996</v>
      </c>
    </row>
    <row r="6" spans="1:8" s="3" customFormat="1" ht="93.75" customHeight="1" x14ac:dyDescent="0.25">
      <c r="A6" s="31" t="s">
        <v>250</v>
      </c>
      <c r="B6" s="31">
        <v>92606</v>
      </c>
      <c r="C6" s="32" t="s">
        <v>251</v>
      </c>
      <c r="D6" s="31" t="s">
        <v>125</v>
      </c>
      <c r="E6" s="31">
        <v>5</v>
      </c>
      <c r="F6" s="24">
        <v>1015.34</v>
      </c>
      <c r="G6" s="24">
        <v>1277.55</v>
      </c>
      <c r="H6" s="24">
        <f>G6*E6</f>
        <v>6387.75</v>
      </c>
    </row>
    <row r="7" spans="1:8" ht="33" customHeight="1" x14ac:dyDescent="0.25">
      <c r="A7" s="211"/>
      <c r="B7" s="211"/>
      <c r="C7" s="211"/>
      <c r="D7" s="212"/>
      <c r="E7" s="123" t="s">
        <v>252</v>
      </c>
      <c r="F7" s="123"/>
      <c r="G7" s="123"/>
      <c r="H7" s="43">
        <f>SUM(H5:H6)</f>
        <v>36972.678</v>
      </c>
    </row>
  </sheetData>
  <mergeCells count="11">
    <mergeCell ref="B4:H4"/>
    <mergeCell ref="A7:D7"/>
    <mergeCell ref="E7:G7"/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836E3-F264-42F2-82E9-25812E7B9E54}">
  <dimension ref="A1:H6"/>
  <sheetViews>
    <sheetView workbookViewId="0">
      <selection activeCell="C10" sqref="C10"/>
    </sheetView>
  </sheetViews>
  <sheetFormatPr defaultRowHeight="15" x14ac:dyDescent="0.25"/>
  <cols>
    <col min="1" max="1" width="20.42578125" customWidth="1"/>
    <col min="2" max="2" width="32.5703125" customWidth="1"/>
    <col min="3" max="3" width="30.5703125" customWidth="1"/>
    <col min="4" max="4" width="13.42578125" customWidth="1"/>
    <col min="5" max="5" width="14.140625" customWidth="1"/>
    <col min="6" max="6" width="13.85546875" bestFit="1" customWidth="1"/>
    <col min="7" max="7" width="20" customWidth="1"/>
    <col min="8" max="8" width="25" customWidth="1"/>
  </cols>
  <sheetData>
    <row r="1" spans="1:8" ht="42" customHeight="1" x14ac:dyDescent="0.25">
      <c r="A1" s="117" t="s">
        <v>403</v>
      </c>
      <c r="B1" s="117"/>
      <c r="C1" s="117"/>
      <c r="D1" s="117"/>
      <c r="E1" s="117"/>
      <c r="F1" s="117"/>
      <c r="G1" s="117"/>
      <c r="H1" s="117"/>
    </row>
    <row r="2" spans="1:8" ht="15" customHeight="1" x14ac:dyDescent="0.25">
      <c r="A2" s="118" t="s">
        <v>4</v>
      </c>
      <c r="B2" s="118" t="s">
        <v>5</v>
      </c>
      <c r="C2" s="118" t="s">
        <v>6</v>
      </c>
      <c r="D2" s="118" t="s">
        <v>7</v>
      </c>
      <c r="E2" s="118" t="s">
        <v>8</v>
      </c>
      <c r="F2" s="119" t="s">
        <v>9</v>
      </c>
      <c r="G2" s="119"/>
      <c r="H2" s="118" t="s">
        <v>10</v>
      </c>
    </row>
    <row r="3" spans="1:8" ht="15" customHeight="1" x14ac:dyDescent="0.25">
      <c r="A3" s="118"/>
      <c r="B3" s="118"/>
      <c r="C3" s="118"/>
      <c r="D3" s="118"/>
      <c r="E3" s="118"/>
      <c r="F3" s="13" t="s">
        <v>11</v>
      </c>
      <c r="G3" s="13" t="s">
        <v>12</v>
      </c>
      <c r="H3" s="118"/>
    </row>
    <row r="4" spans="1:8" s="1" customFormat="1" ht="20.25" customHeight="1" x14ac:dyDescent="0.25">
      <c r="A4" s="48" t="s">
        <v>258</v>
      </c>
      <c r="B4" s="120" t="s">
        <v>386</v>
      </c>
      <c r="C4" s="120"/>
      <c r="D4" s="120"/>
      <c r="E4" s="120"/>
      <c r="F4" s="120"/>
      <c r="G4" s="120"/>
      <c r="H4" s="120"/>
    </row>
    <row r="5" spans="1:8" ht="113.25" customHeight="1" x14ac:dyDescent="0.25">
      <c r="A5" s="31" t="s">
        <v>254</v>
      </c>
      <c r="B5" s="31" t="s">
        <v>255</v>
      </c>
      <c r="C5" s="32" t="s">
        <v>256</v>
      </c>
      <c r="D5" s="31" t="s">
        <v>211</v>
      </c>
      <c r="E5" s="31">
        <v>96</v>
      </c>
      <c r="F5" s="24">
        <v>51.16</v>
      </c>
      <c r="G5" s="24">
        <v>64.37</v>
      </c>
      <c r="H5" s="24">
        <f>G5*E5</f>
        <v>6179.52</v>
      </c>
    </row>
    <row r="6" spans="1:8" ht="31.5" customHeight="1" x14ac:dyDescent="0.25">
      <c r="A6" s="211"/>
      <c r="B6" s="211"/>
      <c r="C6" s="211"/>
      <c r="D6" s="212"/>
      <c r="E6" s="123" t="s">
        <v>257</v>
      </c>
      <c r="F6" s="123"/>
      <c r="G6" s="123"/>
      <c r="H6" s="43">
        <f>SUM(H5)</f>
        <v>6179.52</v>
      </c>
    </row>
  </sheetData>
  <mergeCells count="11">
    <mergeCell ref="B4:H4"/>
    <mergeCell ref="A6:D6"/>
    <mergeCell ref="E6:G6"/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C4138-E15C-41DE-A5EA-00910076554B}">
  <dimension ref="A1:H7"/>
  <sheetViews>
    <sheetView topLeftCell="A2" workbookViewId="0">
      <selection sqref="A1:H7"/>
    </sheetView>
  </sheetViews>
  <sheetFormatPr defaultRowHeight="15" x14ac:dyDescent="0.25"/>
  <cols>
    <col min="1" max="1" width="8.140625" bestFit="1" customWidth="1"/>
    <col min="2" max="2" width="25.85546875" customWidth="1"/>
    <col min="3" max="3" width="48.28515625" customWidth="1"/>
    <col min="4" max="4" width="17.85546875" customWidth="1"/>
    <col min="5" max="5" width="13.5703125" bestFit="1" customWidth="1"/>
    <col min="6" max="8" width="20" bestFit="1" customWidth="1"/>
  </cols>
  <sheetData>
    <row r="1" spans="1:8" ht="42" customHeight="1" x14ac:dyDescent="0.25">
      <c r="A1" s="117" t="s">
        <v>265</v>
      </c>
      <c r="B1" s="117"/>
      <c r="C1" s="117"/>
      <c r="D1" s="117"/>
      <c r="E1" s="117"/>
      <c r="F1" s="117"/>
      <c r="G1" s="117"/>
      <c r="H1" s="117"/>
    </row>
    <row r="2" spans="1:8" ht="15" customHeight="1" x14ac:dyDescent="0.25">
      <c r="A2" s="118" t="s">
        <v>4</v>
      </c>
      <c r="B2" s="118" t="s">
        <v>5</v>
      </c>
      <c r="C2" s="118" t="s">
        <v>6</v>
      </c>
      <c r="D2" s="118" t="s">
        <v>7</v>
      </c>
      <c r="E2" s="118" t="s">
        <v>8</v>
      </c>
      <c r="F2" s="119" t="s">
        <v>9</v>
      </c>
      <c r="G2" s="119"/>
      <c r="H2" s="118" t="s">
        <v>10</v>
      </c>
    </row>
    <row r="3" spans="1:8" ht="15" customHeight="1" x14ac:dyDescent="0.25">
      <c r="A3" s="118"/>
      <c r="B3" s="118"/>
      <c r="C3" s="118"/>
      <c r="D3" s="118"/>
      <c r="E3" s="118"/>
      <c r="F3" s="13" t="s">
        <v>11</v>
      </c>
      <c r="G3" s="13" t="s">
        <v>12</v>
      </c>
      <c r="H3" s="118"/>
    </row>
    <row r="4" spans="1:8" s="1" customFormat="1" ht="20.25" customHeight="1" x14ac:dyDescent="0.25">
      <c r="A4" s="48" t="s">
        <v>267</v>
      </c>
      <c r="B4" s="120" t="s">
        <v>266</v>
      </c>
      <c r="C4" s="120"/>
      <c r="D4" s="120"/>
      <c r="E4" s="120"/>
      <c r="F4" s="120"/>
      <c r="G4" s="120"/>
      <c r="H4" s="120"/>
    </row>
    <row r="5" spans="1:8" ht="73.5" customHeight="1" x14ac:dyDescent="0.25">
      <c r="A5" s="31" t="s">
        <v>259</v>
      </c>
      <c r="B5" s="31">
        <v>89865</v>
      </c>
      <c r="C5" s="33" t="s">
        <v>260</v>
      </c>
      <c r="D5" s="33"/>
      <c r="E5" s="31">
        <v>65</v>
      </c>
      <c r="F5" s="24">
        <v>10.210000000000001</v>
      </c>
      <c r="G5" s="24">
        <v>12.84</v>
      </c>
      <c r="H5" s="24">
        <f>G5*E5</f>
        <v>834.6</v>
      </c>
    </row>
    <row r="6" spans="1:8" ht="99.75" customHeight="1" x14ac:dyDescent="0.25">
      <c r="A6" s="31" t="s">
        <v>261</v>
      </c>
      <c r="B6" s="31" t="s">
        <v>262</v>
      </c>
      <c r="C6" s="33" t="s">
        <v>263</v>
      </c>
      <c r="D6" s="33"/>
      <c r="E6" s="31">
        <v>1</v>
      </c>
      <c r="F6" s="24">
        <v>11528.03</v>
      </c>
      <c r="G6" s="24">
        <v>14505.2</v>
      </c>
      <c r="H6" s="24">
        <f>G6*E6</f>
        <v>14505.2</v>
      </c>
    </row>
    <row r="7" spans="1:8" ht="30.75" customHeight="1" x14ac:dyDescent="0.25">
      <c r="A7" s="211"/>
      <c r="B7" s="211"/>
      <c r="C7" s="211"/>
      <c r="D7" s="212"/>
      <c r="E7" s="123" t="s">
        <v>264</v>
      </c>
      <c r="F7" s="123"/>
      <c r="G7" s="123"/>
      <c r="H7" s="43">
        <f>SUM(H5:H6)</f>
        <v>15339.800000000001</v>
      </c>
    </row>
  </sheetData>
  <mergeCells count="11">
    <mergeCell ref="B4:H4"/>
    <mergeCell ref="A7:D7"/>
    <mergeCell ref="E7:G7"/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F7858-7B16-4F59-BAB7-18EB1A2DCE55}">
  <dimension ref="A1:H9"/>
  <sheetViews>
    <sheetView topLeftCell="A7" workbookViewId="0">
      <selection sqref="A1:H9"/>
    </sheetView>
  </sheetViews>
  <sheetFormatPr defaultRowHeight="15" x14ac:dyDescent="0.25"/>
  <cols>
    <col min="2" max="2" width="17.42578125" customWidth="1"/>
    <col min="3" max="3" width="53" customWidth="1"/>
    <col min="5" max="5" width="20" customWidth="1"/>
    <col min="6" max="6" width="17.42578125" bestFit="1" customWidth="1"/>
    <col min="7" max="7" width="19.28515625" customWidth="1"/>
    <col min="8" max="8" width="22.140625" customWidth="1"/>
  </cols>
  <sheetData>
    <row r="1" spans="1:8" ht="42" customHeight="1" x14ac:dyDescent="0.25">
      <c r="A1" s="117" t="s">
        <v>277</v>
      </c>
      <c r="B1" s="117"/>
      <c r="C1" s="117"/>
      <c r="D1" s="117"/>
      <c r="E1" s="117"/>
      <c r="F1" s="117"/>
      <c r="G1" s="117"/>
      <c r="H1" s="117"/>
    </row>
    <row r="2" spans="1:8" ht="15" customHeight="1" x14ac:dyDescent="0.25">
      <c r="A2" s="118" t="s">
        <v>4</v>
      </c>
      <c r="B2" s="118" t="s">
        <v>5</v>
      </c>
      <c r="C2" s="118" t="s">
        <v>6</v>
      </c>
      <c r="D2" s="118" t="s">
        <v>7</v>
      </c>
      <c r="E2" s="118" t="s">
        <v>8</v>
      </c>
      <c r="F2" s="119" t="s">
        <v>9</v>
      </c>
      <c r="G2" s="119"/>
      <c r="H2" s="118" t="s">
        <v>10</v>
      </c>
    </row>
    <row r="3" spans="1:8" ht="15" customHeight="1" x14ac:dyDescent="0.25">
      <c r="A3" s="118"/>
      <c r="B3" s="118"/>
      <c r="C3" s="118"/>
      <c r="D3" s="118"/>
      <c r="E3" s="118"/>
      <c r="F3" s="13" t="s">
        <v>11</v>
      </c>
      <c r="G3" s="13" t="s">
        <v>12</v>
      </c>
      <c r="H3" s="118"/>
    </row>
    <row r="4" spans="1:8" s="1" customFormat="1" ht="20.25" customHeight="1" x14ac:dyDescent="0.25">
      <c r="A4" s="48" t="s">
        <v>279</v>
      </c>
      <c r="B4" s="120" t="s">
        <v>278</v>
      </c>
      <c r="C4" s="120"/>
      <c r="D4" s="120"/>
      <c r="E4" s="120"/>
      <c r="F4" s="120"/>
      <c r="G4" s="120"/>
      <c r="H4" s="120"/>
    </row>
    <row r="5" spans="1:8" ht="71.25" customHeight="1" x14ac:dyDescent="0.25">
      <c r="A5" s="31" t="s">
        <v>268</v>
      </c>
      <c r="B5" s="31">
        <v>89508</v>
      </c>
      <c r="C5" s="32" t="s">
        <v>269</v>
      </c>
      <c r="D5" s="31" t="s">
        <v>57</v>
      </c>
      <c r="E5" s="31">
        <v>12.59</v>
      </c>
      <c r="F5" s="24">
        <v>18.489999999999998</v>
      </c>
      <c r="G5" s="24">
        <v>23.26</v>
      </c>
      <c r="H5" s="24">
        <f>G5*E5</f>
        <v>292.84340000000003</v>
      </c>
    </row>
    <row r="6" spans="1:8" ht="70.5" customHeight="1" x14ac:dyDescent="0.25">
      <c r="A6" s="31" t="s">
        <v>270</v>
      </c>
      <c r="B6" s="31">
        <v>89509</v>
      </c>
      <c r="C6" s="32" t="s">
        <v>271</v>
      </c>
      <c r="D6" s="31" t="s">
        <v>57</v>
      </c>
      <c r="E6" s="31">
        <v>17.96</v>
      </c>
      <c r="F6" s="24">
        <v>25.53</v>
      </c>
      <c r="G6" s="24">
        <v>32.119999999999997</v>
      </c>
      <c r="H6" s="24">
        <f>G6*E6</f>
        <v>576.87519999999995</v>
      </c>
    </row>
    <row r="7" spans="1:8" ht="65.25" customHeight="1" x14ac:dyDescent="0.25">
      <c r="A7" s="31" t="s">
        <v>272</v>
      </c>
      <c r="B7" s="31">
        <v>89512</v>
      </c>
      <c r="C7" s="32" t="s">
        <v>273</v>
      </c>
      <c r="D7" s="31" t="s">
        <v>57</v>
      </c>
      <c r="E7" s="31">
        <v>24.24</v>
      </c>
      <c r="F7" s="24">
        <v>60.55</v>
      </c>
      <c r="G7" s="24">
        <v>76.180000000000007</v>
      </c>
      <c r="H7" s="24">
        <f>G7*E7</f>
        <v>1846.6032</v>
      </c>
    </row>
    <row r="8" spans="1:8" ht="60.75" customHeight="1" x14ac:dyDescent="0.25">
      <c r="A8" s="31" t="s">
        <v>274</v>
      </c>
      <c r="B8" s="31">
        <v>98104</v>
      </c>
      <c r="C8" s="32" t="s">
        <v>275</v>
      </c>
      <c r="D8" s="31"/>
      <c r="E8" s="31">
        <v>1</v>
      </c>
      <c r="F8" s="24">
        <v>346.65</v>
      </c>
      <c r="G8" s="24">
        <v>436.17</v>
      </c>
      <c r="H8" s="24">
        <f>G8*E8</f>
        <v>436.17</v>
      </c>
    </row>
    <row r="9" spans="1:8" ht="34.5" customHeight="1" x14ac:dyDescent="0.25">
      <c r="A9" s="216"/>
      <c r="B9" s="216"/>
      <c r="C9" s="216"/>
      <c r="D9" s="216"/>
      <c r="E9" s="123" t="s">
        <v>276</v>
      </c>
      <c r="F9" s="123"/>
      <c r="G9" s="123"/>
      <c r="H9" s="43">
        <f>SUM(H5:H8)</f>
        <v>3152.4917999999998</v>
      </c>
    </row>
  </sheetData>
  <mergeCells count="11">
    <mergeCell ref="B4:H4"/>
    <mergeCell ref="A9:D9"/>
    <mergeCell ref="E9:G9"/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B69AE-6B60-4B1D-8922-615F4FDCD113}">
  <dimension ref="A1:H17"/>
  <sheetViews>
    <sheetView topLeftCell="A14" workbookViewId="0">
      <selection sqref="A1:H17"/>
    </sheetView>
  </sheetViews>
  <sheetFormatPr defaultRowHeight="15" x14ac:dyDescent="0.25"/>
  <cols>
    <col min="1" max="1" width="16.5703125" customWidth="1"/>
    <col min="2" max="2" width="19" customWidth="1"/>
    <col min="3" max="3" width="44.7109375" customWidth="1"/>
    <col min="4" max="4" width="15.85546875" customWidth="1"/>
    <col min="5" max="5" width="16.28515625" customWidth="1"/>
    <col min="6" max="7" width="15.5703125" bestFit="1" customWidth="1"/>
    <col min="8" max="8" width="21.5703125" customWidth="1"/>
  </cols>
  <sheetData>
    <row r="1" spans="1:8" ht="42" customHeight="1" x14ac:dyDescent="0.25">
      <c r="A1" s="117" t="s">
        <v>280</v>
      </c>
      <c r="B1" s="117"/>
      <c r="C1" s="117"/>
      <c r="D1" s="117"/>
      <c r="E1" s="117"/>
      <c r="F1" s="117"/>
      <c r="G1" s="117"/>
      <c r="H1" s="117"/>
    </row>
    <row r="2" spans="1:8" ht="15" customHeight="1" x14ac:dyDescent="0.25">
      <c r="A2" s="118" t="s">
        <v>4</v>
      </c>
      <c r="B2" s="118" t="s">
        <v>5</v>
      </c>
      <c r="C2" s="118" t="s">
        <v>6</v>
      </c>
      <c r="D2" s="118" t="s">
        <v>7</v>
      </c>
      <c r="E2" s="118" t="s">
        <v>8</v>
      </c>
      <c r="F2" s="119" t="s">
        <v>9</v>
      </c>
      <c r="G2" s="119"/>
      <c r="H2" s="118" t="s">
        <v>10</v>
      </c>
    </row>
    <row r="3" spans="1:8" ht="15" customHeight="1" x14ac:dyDescent="0.25">
      <c r="A3" s="118"/>
      <c r="B3" s="118"/>
      <c r="C3" s="118"/>
      <c r="D3" s="118"/>
      <c r="E3" s="118"/>
      <c r="F3" s="13" t="s">
        <v>11</v>
      </c>
      <c r="G3" s="13" t="s">
        <v>12</v>
      </c>
      <c r="H3" s="118"/>
    </row>
    <row r="4" spans="1:8" s="1" customFormat="1" ht="20.25" customHeight="1" x14ac:dyDescent="0.25">
      <c r="A4" s="48" t="s">
        <v>282</v>
      </c>
      <c r="B4" s="120" t="s">
        <v>281</v>
      </c>
      <c r="C4" s="120"/>
      <c r="D4" s="120"/>
      <c r="E4" s="120"/>
      <c r="F4" s="120"/>
      <c r="G4" s="120"/>
      <c r="H4" s="120"/>
    </row>
    <row r="5" spans="1:8" ht="86.25" customHeight="1" x14ac:dyDescent="0.25">
      <c r="A5" s="31" t="s">
        <v>283</v>
      </c>
      <c r="B5" s="31">
        <v>91924</v>
      </c>
      <c r="C5" s="32" t="s">
        <v>284</v>
      </c>
      <c r="D5" s="31" t="s">
        <v>57</v>
      </c>
      <c r="E5" s="31">
        <v>21</v>
      </c>
      <c r="F5" s="24">
        <v>2.5499999999999998</v>
      </c>
      <c r="G5" s="24">
        <v>3.2</v>
      </c>
      <c r="H5" s="24">
        <f t="shared" ref="H5:H16" si="0">G5*E5</f>
        <v>67.2</v>
      </c>
    </row>
    <row r="6" spans="1:8" ht="66" customHeight="1" x14ac:dyDescent="0.25">
      <c r="A6" s="31" t="s">
        <v>285</v>
      </c>
      <c r="B6" s="31">
        <v>91926</v>
      </c>
      <c r="C6" s="32" t="s">
        <v>286</v>
      </c>
      <c r="D6" s="31" t="s">
        <v>57</v>
      </c>
      <c r="E6" s="31">
        <v>120.65</v>
      </c>
      <c r="F6" s="24">
        <v>3.78</v>
      </c>
      <c r="G6" s="24">
        <v>4.75</v>
      </c>
      <c r="H6" s="24">
        <f t="shared" si="0"/>
        <v>573.08749999999998</v>
      </c>
    </row>
    <row r="7" spans="1:8" ht="67.5" customHeight="1" x14ac:dyDescent="0.25">
      <c r="A7" s="31" t="s">
        <v>287</v>
      </c>
      <c r="B7" s="31">
        <v>91928</v>
      </c>
      <c r="C7" s="32" t="s">
        <v>288</v>
      </c>
      <c r="D7" s="31" t="s">
        <v>57</v>
      </c>
      <c r="E7" s="31">
        <v>64.58</v>
      </c>
      <c r="F7" s="24">
        <v>6.32</v>
      </c>
      <c r="G7" s="24">
        <v>7.95</v>
      </c>
      <c r="H7" s="24">
        <f t="shared" si="0"/>
        <v>513.41099999999994</v>
      </c>
    </row>
    <row r="8" spans="1:8" ht="63.75" customHeight="1" x14ac:dyDescent="0.25">
      <c r="A8" s="31" t="s">
        <v>289</v>
      </c>
      <c r="B8" s="31">
        <v>91934</v>
      </c>
      <c r="C8" s="32" t="s">
        <v>290</v>
      </c>
      <c r="D8" s="31" t="s">
        <v>57</v>
      </c>
      <c r="E8" s="31">
        <v>210</v>
      </c>
      <c r="F8" s="24">
        <v>22.19</v>
      </c>
      <c r="G8" s="24">
        <v>27.92</v>
      </c>
      <c r="H8" s="24">
        <f t="shared" si="0"/>
        <v>5863.2000000000007</v>
      </c>
    </row>
    <row r="9" spans="1:8" ht="68.25" customHeight="1" x14ac:dyDescent="0.25">
      <c r="A9" s="31" t="s">
        <v>291</v>
      </c>
      <c r="B9" s="31">
        <v>93657</v>
      </c>
      <c r="C9" s="32" t="s">
        <v>292</v>
      </c>
      <c r="D9" s="31" t="s">
        <v>67</v>
      </c>
      <c r="E9" s="31">
        <v>3</v>
      </c>
      <c r="F9" s="24">
        <v>13.05</v>
      </c>
      <c r="G9" s="24">
        <v>16.420000000000002</v>
      </c>
      <c r="H9" s="24">
        <f t="shared" si="0"/>
        <v>49.260000000000005</v>
      </c>
    </row>
    <row r="10" spans="1:8" ht="63.75" customHeight="1" x14ac:dyDescent="0.25">
      <c r="A10" s="31" t="s">
        <v>293</v>
      </c>
      <c r="B10" s="31">
        <v>101894</v>
      </c>
      <c r="C10" s="32" t="s">
        <v>294</v>
      </c>
      <c r="D10" s="31" t="s">
        <v>67</v>
      </c>
      <c r="E10" s="31">
        <v>2</v>
      </c>
      <c r="F10" s="24">
        <v>140.66999999999999</v>
      </c>
      <c r="G10" s="24">
        <v>176.99</v>
      </c>
      <c r="H10" s="24">
        <f t="shared" si="0"/>
        <v>353.98</v>
      </c>
    </row>
    <row r="11" spans="1:8" ht="81" customHeight="1" x14ac:dyDescent="0.25">
      <c r="A11" s="31" t="s">
        <v>295</v>
      </c>
      <c r="B11" s="31">
        <v>91849</v>
      </c>
      <c r="C11" s="32" t="s">
        <v>296</v>
      </c>
      <c r="D11" s="31" t="s">
        <v>57</v>
      </c>
      <c r="E11" s="31">
        <v>90.31</v>
      </c>
      <c r="F11" s="24">
        <v>5.67</v>
      </c>
      <c r="G11" s="24">
        <v>7.13</v>
      </c>
      <c r="H11" s="24">
        <f t="shared" si="0"/>
        <v>643.91030000000001</v>
      </c>
    </row>
    <row r="12" spans="1:8" ht="70.5" customHeight="1" x14ac:dyDescent="0.25">
      <c r="A12" s="31" t="s">
        <v>297</v>
      </c>
      <c r="B12" s="31">
        <v>97593</v>
      </c>
      <c r="C12" s="32" t="s">
        <v>298</v>
      </c>
      <c r="D12" s="31" t="s">
        <v>67</v>
      </c>
      <c r="E12" s="31">
        <v>6</v>
      </c>
      <c r="F12" s="24">
        <v>123.1</v>
      </c>
      <c r="G12" s="24">
        <v>154.88999999999999</v>
      </c>
      <c r="H12" s="24">
        <f t="shared" si="0"/>
        <v>929.33999999999992</v>
      </c>
    </row>
    <row r="13" spans="1:8" ht="81" customHeight="1" x14ac:dyDescent="0.25">
      <c r="A13" s="31" t="s">
        <v>299</v>
      </c>
      <c r="B13" s="31">
        <v>92023</v>
      </c>
      <c r="C13" s="32" t="s">
        <v>300</v>
      </c>
      <c r="D13" s="31" t="s">
        <v>301</v>
      </c>
      <c r="E13" s="31">
        <v>8</v>
      </c>
      <c r="F13" s="24">
        <v>33.590000000000003</v>
      </c>
      <c r="G13" s="24">
        <v>42.26</v>
      </c>
      <c r="H13" s="24">
        <f t="shared" si="0"/>
        <v>338.08</v>
      </c>
    </row>
    <row r="14" spans="1:8" ht="75" customHeight="1" x14ac:dyDescent="0.25">
      <c r="A14" s="31" t="s">
        <v>302</v>
      </c>
      <c r="B14" s="31">
        <v>92027</v>
      </c>
      <c r="C14" s="32" t="s">
        <v>303</v>
      </c>
      <c r="D14" s="31" t="s">
        <v>67</v>
      </c>
      <c r="E14" s="31">
        <v>1</v>
      </c>
      <c r="F14" s="24">
        <v>44.71</v>
      </c>
      <c r="G14" s="24">
        <v>56.25</v>
      </c>
      <c r="H14" s="24">
        <f t="shared" si="0"/>
        <v>56.25</v>
      </c>
    </row>
    <row r="15" spans="1:8" ht="96.75" customHeight="1" x14ac:dyDescent="0.25">
      <c r="A15" s="31" t="s">
        <v>304</v>
      </c>
      <c r="B15" s="31">
        <v>101879</v>
      </c>
      <c r="C15" s="32" t="s">
        <v>305</v>
      </c>
      <c r="D15" s="31" t="s">
        <v>67</v>
      </c>
      <c r="E15" s="31">
        <v>1</v>
      </c>
      <c r="F15" s="24">
        <v>588.48</v>
      </c>
      <c r="G15" s="24">
        <v>740.45</v>
      </c>
      <c r="H15" s="24">
        <f t="shared" si="0"/>
        <v>740.45</v>
      </c>
    </row>
    <row r="16" spans="1:8" ht="79.5" customHeight="1" x14ac:dyDescent="0.25">
      <c r="A16" s="31" t="s">
        <v>306</v>
      </c>
      <c r="B16" s="31">
        <v>100557</v>
      </c>
      <c r="C16" s="32" t="s">
        <v>307</v>
      </c>
      <c r="D16" s="31" t="s">
        <v>67</v>
      </c>
      <c r="E16" s="31">
        <v>1</v>
      </c>
      <c r="F16" s="24">
        <v>483.28</v>
      </c>
      <c r="G16" s="24">
        <v>608.08000000000004</v>
      </c>
      <c r="H16" s="24">
        <f t="shared" si="0"/>
        <v>608.08000000000004</v>
      </c>
    </row>
    <row r="17" spans="1:8" ht="32.25" customHeight="1" x14ac:dyDescent="0.25">
      <c r="A17" s="217"/>
      <c r="B17" s="217"/>
      <c r="C17" s="217"/>
      <c r="D17" s="218"/>
      <c r="E17" s="219" t="s">
        <v>308</v>
      </c>
      <c r="F17" s="219"/>
      <c r="G17" s="219"/>
      <c r="H17" s="45">
        <f>SUM(H5:H16)</f>
        <v>10736.248800000001</v>
      </c>
    </row>
  </sheetData>
  <mergeCells count="11">
    <mergeCell ref="B4:H4"/>
    <mergeCell ref="A17:D17"/>
    <mergeCell ref="E17:G17"/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5D5DF-BC0A-4AB1-A59A-14D8EAB8A93F}">
  <dimension ref="A1:H11"/>
  <sheetViews>
    <sheetView workbookViewId="0">
      <selection activeCell="E10" sqref="E10"/>
    </sheetView>
  </sheetViews>
  <sheetFormatPr defaultRowHeight="15" x14ac:dyDescent="0.25"/>
  <cols>
    <col min="1" max="1" width="17.7109375" customWidth="1"/>
    <col min="2" max="2" width="16.28515625" customWidth="1"/>
    <col min="3" max="3" width="48.85546875" customWidth="1"/>
    <col min="4" max="4" width="16.42578125" customWidth="1"/>
    <col min="5" max="5" width="20.85546875" customWidth="1"/>
    <col min="6" max="6" width="13.85546875" bestFit="1" customWidth="1"/>
    <col min="7" max="7" width="16.42578125" customWidth="1"/>
    <col min="8" max="8" width="27.7109375" customWidth="1"/>
  </cols>
  <sheetData>
    <row r="1" spans="1:8" ht="42" customHeight="1" x14ac:dyDescent="0.25">
      <c r="A1" s="117" t="s">
        <v>311</v>
      </c>
      <c r="B1" s="117"/>
      <c r="C1" s="117"/>
      <c r="D1" s="117"/>
      <c r="E1" s="117"/>
      <c r="F1" s="117"/>
      <c r="G1" s="117"/>
      <c r="H1" s="117"/>
    </row>
    <row r="2" spans="1:8" ht="15" customHeight="1" x14ac:dyDescent="0.25">
      <c r="A2" s="118" t="s">
        <v>4</v>
      </c>
      <c r="B2" s="118" t="s">
        <v>5</v>
      </c>
      <c r="C2" s="118" t="s">
        <v>6</v>
      </c>
      <c r="D2" s="118" t="s">
        <v>7</v>
      </c>
      <c r="E2" s="118" t="s">
        <v>8</v>
      </c>
      <c r="F2" s="119" t="s">
        <v>9</v>
      </c>
      <c r="G2" s="119"/>
      <c r="H2" s="118" t="s">
        <v>10</v>
      </c>
    </row>
    <row r="3" spans="1:8" ht="15" customHeight="1" x14ac:dyDescent="0.25">
      <c r="A3" s="118"/>
      <c r="B3" s="118"/>
      <c r="C3" s="118"/>
      <c r="D3" s="118"/>
      <c r="E3" s="118"/>
      <c r="F3" s="13" t="s">
        <v>11</v>
      </c>
      <c r="G3" s="13" t="s">
        <v>12</v>
      </c>
      <c r="H3" s="118"/>
    </row>
    <row r="4" spans="1:8" s="1" customFormat="1" ht="20.25" customHeight="1" x14ac:dyDescent="0.25">
      <c r="A4" s="48" t="s">
        <v>312</v>
      </c>
      <c r="B4" s="120" t="s">
        <v>197</v>
      </c>
      <c r="C4" s="120"/>
      <c r="D4" s="120"/>
      <c r="E4" s="120"/>
      <c r="F4" s="120"/>
      <c r="G4" s="120"/>
      <c r="H4" s="120"/>
    </row>
    <row r="5" spans="1:8" ht="62.25" customHeight="1" x14ac:dyDescent="0.25">
      <c r="A5" s="31" t="s">
        <v>309</v>
      </c>
      <c r="B5" s="31">
        <v>92397</v>
      </c>
      <c r="C5" s="32" t="s">
        <v>205</v>
      </c>
      <c r="D5" s="33"/>
      <c r="E5" s="31">
        <v>53.6</v>
      </c>
      <c r="F5" s="24">
        <v>60.97</v>
      </c>
      <c r="G5" s="24">
        <v>76.709999999999994</v>
      </c>
      <c r="H5" s="24">
        <f>G5*E5</f>
        <v>4111.6559999999999</v>
      </c>
    </row>
    <row r="6" spans="1:8" ht="32.25" customHeight="1" x14ac:dyDescent="0.25">
      <c r="A6" s="220"/>
      <c r="B6" s="220"/>
      <c r="C6" s="220"/>
      <c r="D6" s="220"/>
      <c r="E6" s="123" t="s">
        <v>310</v>
      </c>
      <c r="F6" s="123"/>
      <c r="G6" s="123"/>
      <c r="H6" s="43">
        <f>SUM(H5)</f>
        <v>4111.6559999999999</v>
      </c>
    </row>
    <row r="7" spans="1:8" x14ac:dyDescent="0.25">
      <c r="A7" s="221"/>
      <c r="B7" s="221"/>
      <c r="C7" s="221"/>
      <c r="D7" s="221"/>
      <c r="E7" s="221"/>
      <c r="F7" s="221"/>
      <c r="G7" s="221"/>
      <c r="H7" s="221"/>
    </row>
    <row r="8" spans="1:8" ht="39.75" customHeight="1" x14ac:dyDescent="0.25">
      <c r="A8" s="222" t="s">
        <v>313</v>
      </c>
      <c r="B8" s="223"/>
      <c r="C8" s="223"/>
      <c r="D8" s="223"/>
      <c r="E8" s="223"/>
      <c r="F8" s="223"/>
      <c r="G8" s="224"/>
      <c r="H8" s="64">
        <f>SUM(H6+'6.9 INSTALAÇÕES ELÉTRICAS'!H17+'6.8 INSTALAÇÕES SANITÁRIAS PLUV'!H9+'6.7 INSTALAÇÕES AR CONDICIONADO'!H7+'6.6 DIVISÓRIAS ACARTONADA'!H6+'6.5 COBERTURA'!H7+'6.4 PINTURA'!H8+'6.3 ESQUADRIAS DE VIDROS'!H7+'6.2 REVESTIMENTO DE PAREDES'!H6+'6.1 EDIFÍCIO CASA DE FORÇA'!H11)</f>
        <v>126668.96759999999</v>
      </c>
    </row>
    <row r="11" spans="1:8" x14ac:dyDescent="0.25">
      <c r="G11" s="36"/>
    </row>
  </sheetData>
  <mergeCells count="13">
    <mergeCell ref="A1:H1"/>
    <mergeCell ref="A2:A3"/>
    <mergeCell ref="B2:B3"/>
    <mergeCell ref="C2:C3"/>
    <mergeCell ref="D2:D3"/>
    <mergeCell ref="E2:E3"/>
    <mergeCell ref="F2:G2"/>
    <mergeCell ref="H2:H3"/>
    <mergeCell ref="A6:D6"/>
    <mergeCell ref="A7:H7"/>
    <mergeCell ref="E6:G6"/>
    <mergeCell ref="A8:G8"/>
    <mergeCell ref="B4:H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02636-699F-4DB0-84DD-6B39B2BBCBF5}">
  <dimension ref="A1:H6"/>
  <sheetViews>
    <sheetView workbookViewId="0">
      <selection activeCell="H6" sqref="H6"/>
    </sheetView>
  </sheetViews>
  <sheetFormatPr defaultRowHeight="15" x14ac:dyDescent="0.25"/>
  <cols>
    <col min="1" max="1" width="19.42578125" customWidth="1"/>
    <col min="2" max="2" width="19.7109375" customWidth="1"/>
    <col min="3" max="3" width="27.42578125" customWidth="1"/>
    <col min="4" max="4" width="18" customWidth="1"/>
    <col min="5" max="5" width="21" customWidth="1"/>
    <col min="6" max="6" width="20.140625" customWidth="1"/>
    <col min="7" max="7" width="21.140625" customWidth="1"/>
    <col min="8" max="8" width="31" customWidth="1"/>
  </cols>
  <sheetData>
    <row r="1" spans="1:8" ht="42" customHeight="1" x14ac:dyDescent="0.25">
      <c r="A1" s="117" t="s">
        <v>404</v>
      </c>
      <c r="B1" s="117"/>
      <c r="C1" s="117"/>
      <c r="D1" s="117"/>
      <c r="E1" s="117"/>
      <c r="F1" s="117"/>
      <c r="G1" s="117"/>
      <c r="H1" s="117"/>
    </row>
    <row r="2" spans="1:8" ht="15" customHeight="1" x14ac:dyDescent="0.25">
      <c r="A2" s="118" t="s">
        <v>4</v>
      </c>
      <c r="B2" s="118" t="s">
        <v>5</v>
      </c>
      <c r="C2" s="118" t="s">
        <v>6</v>
      </c>
      <c r="D2" s="118" t="s">
        <v>7</v>
      </c>
      <c r="E2" s="118" t="s">
        <v>8</v>
      </c>
      <c r="F2" s="119" t="s">
        <v>9</v>
      </c>
      <c r="G2" s="119"/>
      <c r="H2" s="118" t="s">
        <v>10</v>
      </c>
    </row>
    <row r="3" spans="1:8" ht="15" customHeight="1" x14ac:dyDescent="0.25">
      <c r="A3" s="118"/>
      <c r="B3" s="118"/>
      <c r="C3" s="118"/>
      <c r="D3" s="118"/>
      <c r="E3" s="118"/>
      <c r="F3" s="13" t="s">
        <v>11</v>
      </c>
      <c r="G3" s="13" t="s">
        <v>12</v>
      </c>
      <c r="H3" s="118"/>
    </row>
    <row r="4" spans="1:8" s="1" customFormat="1" ht="20.25" customHeight="1" x14ac:dyDescent="0.25">
      <c r="A4" s="48" t="s">
        <v>314</v>
      </c>
      <c r="B4" s="120" t="s">
        <v>388</v>
      </c>
      <c r="C4" s="120"/>
      <c r="D4" s="120"/>
      <c r="E4" s="120"/>
      <c r="F4" s="120"/>
      <c r="G4" s="120"/>
      <c r="H4" s="120"/>
    </row>
    <row r="5" spans="1:8" ht="70.5" customHeight="1" x14ac:dyDescent="0.25">
      <c r="A5" s="31" t="s">
        <v>315</v>
      </c>
      <c r="B5" s="31" t="s">
        <v>316</v>
      </c>
      <c r="C5" s="33" t="s">
        <v>317</v>
      </c>
      <c r="D5" s="31" t="s">
        <v>318</v>
      </c>
      <c r="E5" s="37">
        <v>30000</v>
      </c>
      <c r="F5" s="24">
        <v>2727.27</v>
      </c>
      <c r="G5" s="24">
        <v>3431.72</v>
      </c>
      <c r="H5" s="24">
        <f>G5*E5</f>
        <v>102951600</v>
      </c>
    </row>
    <row r="6" spans="1:8" ht="33.75" customHeight="1" x14ac:dyDescent="0.25">
      <c r="A6" s="225"/>
      <c r="B6" s="225"/>
      <c r="C6" s="225"/>
      <c r="D6" s="226"/>
      <c r="E6" s="123" t="s">
        <v>319</v>
      </c>
      <c r="F6" s="123"/>
      <c r="G6" s="123"/>
      <c r="H6" s="43">
        <f>SUM(H5)</f>
        <v>102951600</v>
      </c>
    </row>
  </sheetData>
  <mergeCells count="11">
    <mergeCell ref="E6:G6"/>
    <mergeCell ref="B4:H4"/>
    <mergeCell ref="A6:D6"/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7B2BF-9C58-48F0-B3E6-FCB8FF46FF6E}">
  <dimension ref="A1:H6"/>
  <sheetViews>
    <sheetView workbookViewId="0">
      <selection activeCell="H6" sqref="H6"/>
    </sheetView>
  </sheetViews>
  <sheetFormatPr defaultRowHeight="15" x14ac:dyDescent="0.25"/>
  <cols>
    <col min="1" max="1" width="17.140625" customWidth="1"/>
    <col min="2" max="2" width="23.28515625" customWidth="1"/>
    <col min="3" max="3" width="24.28515625" customWidth="1"/>
    <col min="4" max="4" width="15.42578125" customWidth="1"/>
    <col min="5" max="5" width="15" customWidth="1"/>
    <col min="6" max="6" width="26.28515625" customWidth="1"/>
    <col min="7" max="7" width="21.85546875" customWidth="1"/>
    <col min="8" max="8" width="30.28515625" customWidth="1"/>
  </cols>
  <sheetData>
    <row r="1" spans="1:8" ht="42" customHeight="1" x14ac:dyDescent="0.25">
      <c r="A1" s="117" t="s">
        <v>327</v>
      </c>
      <c r="B1" s="117"/>
      <c r="C1" s="117"/>
      <c r="D1" s="117"/>
      <c r="E1" s="117"/>
      <c r="F1" s="117"/>
      <c r="G1" s="117"/>
      <c r="H1" s="117"/>
    </row>
    <row r="2" spans="1:8" ht="15" customHeight="1" x14ac:dyDescent="0.25">
      <c r="A2" s="118" t="s">
        <v>4</v>
      </c>
      <c r="B2" s="118" t="s">
        <v>5</v>
      </c>
      <c r="C2" s="118" t="s">
        <v>6</v>
      </c>
      <c r="D2" s="118" t="s">
        <v>7</v>
      </c>
      <c r="E2" s="118" t="s">
        <v>8</v>
      </c>
      <c r="F2" s="119" t="s">
        <v>9</v>
      </c>
      <c r="G2" s="119"/>
      <c r="H2" s="118" t="s">
        <v>10</v>
      </c>
    </row>
    <row r="3" spans="1:8" ht="15" customHeight="1" x14ac:dyDescent="0.25">
      <c r="A3" s="118"/>
      <c r="B3" s="118"/>
      <c r="C3" s="118"/>
      <c r="D3" s="118"/>
      <c r="E3" s="118"/>
      <c r="F3" s="13" t="s">
        <v>11</v>
      </c>
      <c r="G3" s="13" t="s">
        <v>12</v>
      </c>
      <c r="H3" s="118"/>
    </row>
    <row r="4" spans="1:8" s="1" customFormat="1" ht="20.25" customHeight="1" x14ac:dyDescent="0.25">
      <c r="A4" s="48" t="s">
        <v>320</v>
      </c>
      <c r="B4" s="120" t="s">
        <v>197</v>
      </c>
      <c r="C4" s="120"/>
      <c r="D4" s="120"/>
      <c r="E4" s="120"/>
      <c r="F4" s="120"/>
      <c r="G4" s="120"/>
      <c r="H4" s="120"/>
    </row>
    <row r="5" spans="1:8" ht="70.5" customHeight="1" x14ac:dyDescent="0.25">
      <c r="A5" s="31" t="s">
        <v>321</v>
      </c>
      <c r="B5" s="31" t="s">
        <v>316</v>
      </c>
      <c r="C5" s="33" t="s">
        <v>322</v>
      </c>
      <c r="D5" s="31" t="s">
        <v>125</v>
      </c>
      <c r="E5" s="31">
        <v>84</v>
      </c>
      <c r="F5" s="35">
        <v>45000</v>
      </c>
      <c r="G5" s="35">
        <v>56623.5</v>
      </c>
      <c r="H5" s="35">
        <f>G5*E5</f>
        <v>4756374</v>
      </c>
    </row>
    <row r="6" spans="1:8" ht="29.25" customHeight="1" x14ac:dyDescent="0.25">
      <c r="A6" s="211"/>
      <c r="B6" s="211"/>
      <c r="C6" s="211"/>
      <c r="D6" s="212"/>
      <c r="E6" s="123" t="s">
        <v>323</v>
      </c>
      <c r="F6" s="123"/>
      <c r="G6" s="123"/>
      <c r="H6" s="44">
        <f>SUM(H5)</f>
        <v>4756374</v>
      </c>
    </row>
  </sheetData>
  <mergeCells count="11">
    <mergeCell ref="B4:H4"/>
    <mergeCell ref="A6:D6"/>
    <mergeCell ref="E6:G6"/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6364F-40EF-46B8-AD7D-074840C78AE7}">
  <dimension ref="A1:H8"/>
  <sheetViews>
    <sheetView workbookViewId="0">
      <selection activeCell="A8" sqref="A8:G8"/>
    </sheetView>
  </sheetViews>
  <sheetFormatPr defaultRowHeight="15" x14ac:dyDescent="0.25"/>
  <cols>
    <col min="1" max="1" width="15.85546875" customWidth="1"/>
    <col min="2" max="2" width="24.140625" customWidth="1"/>
    <col min="3" max="3" width="23.28515625" customWidth="1"/>
    <col min="4" max="4" width="16" customWidth="1"/>
    <col min="5" max="5" width="13.7109375" customWidth="1"/>
    <col min="6" max="6" width="29" customWidth="1"/>
    <col min="7" max="7" width="24.5703125" customWidth="1"/>
    <col min="8" max="8" width="30.7109375" customWidth="1"/>
    <col min="9" max="9" width="25.7109375" customWidth="1"/>
  </cols>
  <sheetData>
    <row r="1" spans="1:8" ht="42" customHeight="1" x14ac:dyDescent="0.25">
      <c r="A1" s="117" t="s">
        <v>329</v>
      </c>
      <c r="B1" s="117"/>
      <c r="C1" s="117"/>
      <c r="D1" s="117"/>
      <c r="E1" s="117"/>
      <c r="F1" s="117"/>
      <c r="G1" s="117"/>
      <c r="H1" s="117"/>
    </row>
    <row r="2" spans="1:8" ht="15" customHeight="1" x14ac:dyDescent="0.25">
      <c r="A2" s="118" t="s">
        <v>4</v>
      </c>
      <c r="B2" s="118" t="s">
        <v>5</v>
      </c>
      <c r="C2" s="118" t="s">
        <v>6</v>
      </c>
      <c r="D2" s="118" t="s">
        <v>7</v>
      </c>
      <c r="E2" s="118" t="s">
        <v>8</v>
      </c>
      <c r="F2" s="119" t="s">
        <v>9</v>
      </c>
      <c r="G2" s="119"/>
      <c r="H2" s="118" t="s">
        <v>10</v>
      </c>
    </row>
    <row r="3" spans="1:8" ht="15" customHeight="1" x14ac:dyDescent="0.25">
      <c r="A3" s="118"/>
      <c r="B3" s="118"/>
      <c r="C3" s="118"/>
      <c r="D3" s="118"/>
      <c r="E3" s="118"/>
      <c r="F3" s="13" t="s">
        <v>11</v>
      </c>
      <c r="G3" s="13" t="s">
        <v>12</v>
      </c>
      <c r="H3" s="118"/>
    </row>
    <row r="4" spans="1:8" s="1" customFormat="1" ht="20.25" customHeight="1" x14ac:dyDescent="0.25">
      <c r="A4" s="48" t="s">
        <v>324</v>
      </c>
      <c r="B4" s="120" t="s">
        <v>197</v>
      </c>
      <c r="C4" s="120"/>
      <c r="D4" s="120"/>
      <c r="E4" s="120"/>
      <c r="F4" s="120"/>
      <c r="G4" s="120"/>
      <c r="H4" s="120"/>
    </row>
    <row r="5" spans="1:8" ht="65.25" customHeight="1" x14ac:dyDescent="0.25">
      <c r="A5" s="31" t="s">
        <v>325</v>
      </c>
      <c r="B5" s="31" t="s">
        <v>316</v>
      </c>
      <c r="C5" s="33" t="s">
        <v>326</v>
      </c>
      <c r="D5" s="31" t="s">
        <v>125</v>
      </c>
      <c r="E5" s="38">
        <v>50848</v>
      </c>
      <c r="F5" s="35">
        <v>250</v>
      </c>
      <c r="G5" s="35">
        <v>314.58</v>
      </c>
      <c r="H5" s="35">
        <f>G5*E5</f>
        <v>15995763.84</v>
      </c>
    </row>
    <row r="6" spans="1:8" ht="29.25" customHeight="1" x14ac:dyDescent="0.25">
      <c r="A6" s="216"/>
      <c r="B6" s="216"/>
      <c r="C6" s="216"/>
      <c r="D6" s="216"/>
      <c r="E6" s="123" t="s">
        <v>330</v>
      </c>
      <c r="F6" s="123"/>
      <c r="G6" s="123"/>
      <c r="H6" s="41">
        <f>SUM(H5)</f>
        <v>15995763.84</v>
      </c>
    </row>
    <row r="7" spans="1:8" x14ac:dyDescent="0.25">
      <c r="A7" s="227"/>
      <c r="B7" s="227"/>
      <c r="C7" s="227"/>
      <c r="D7" s="227"/>
      <c r="E7" s="227"/>
      <c r="F7" s="227"/>
      <c r="G7" s="227"/>
      <c r="H7" s="227"/>
    </row>
    <row r="8" spans="1:8" ht="36" customHeight="1" x14ac:dyDescent="0.25">
      <c r="A8" s="228" t="s">
        <v>328</v>
      </c>
      <c r="B8" s="229"/>
      <c r="C8" s="229"/>
      <c r="D8" s="229"/>
      <c r="E8" s="229"/>
      <c r="F8" s="229"/>
      <c r="G8" s="230"/>
      <c r="H8" s="65">
        <f>SUM('7.1 MÓDULOS FOTOVOLTAICAS'!H6+'7.2 INVERSORES'!H6+'7.3 ESTRUTURA DE SUPORTE METÁLI'!H6)</f>
        <v>123703737.84</v>
      </c>
    </row>
  </sheetData>
  <mergeCells count="13">
    <mergeCell ref="A1:H1"/>
    <mergeCell ref="A2:A3"/>
    <mergeCell ref="B2:B3"/>
    <mergeCell ref="C2:C3"/>
    <mergeCell ref="D2:D3"/>
    <mergeCell ref="E2:E3"/>
    <mergeCell ref="F2:G2"/>
    <mergeCell ref="H2:H3"/>
    <mergeCell ref="B4:H4"/>
    <mergeCell ref="A6:D6"/>
    <mergeCell ref="A7:H7"/>
    <mergeCell ref="E6:G6"/>
    <mergeCell ref="A8:G8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D70AC-9441-43EE-8874-FA5B0B04B0B9}">
  <dimension ref="A1:H9"/>
  <sheetViews>
    <sheetView topLeftCell="A4" zoomScale="80" zoomScaleNormal="80" workbookViewId="0">
      <selection activeCell="J7" sqref="J7"/>
    </sheetView>
  </sheetViews>
  <sheetFormatPr defaultRowHeight="15" x14ac:dyDescent="0.25"/>
  <cols>
    <col min="1" max="1" width="12.85546875" customWidth="1"/>
    <col min="2" max="2" width="19.7109375" customWidth="1"/>
    <col min="3" max="3" width="58.42578125" customWidth="1"/>
    <col min="4" max="4" width="18.85546875" customWidth="1"/>
    <col min="5" max="5" width="17.7109375" customWidth="1"/>
    <col min="6" max="6" width="14.85546875" customWidth="1"/>
    <col min="7" max="7" width="15.42578125" customWidth="1"/>
    <col min="8" max="8" width="28.42578125" customWidth="1"/>
  </cols>
  <sheetData>
    <row r="1" spans="1:8" ht="42" customHeight="1" x14ac:dyDescent="0.25">
      <c r="A1" s="117" t="s">
        <v>341</v>
      </c>
      <c r="B1" s="117"/>
      <c r="C1" s="117"/>
      <c r="D1" s="117"/>
      <c r="E1" s="117"/>
      <c r="F1" s="117"/>
      <c r="G1" s="117"/>
      <c r="H1" s="117"/>
    </row>
    <row r="2" spans="1:8" ht="15" customHeight="1" x14ac:dyDescent="0.25">
      <c r="A2" s="118" t="s">
        <v>4</v>
      </c>
      <c r="B2" s="118" t="s">
        <v>5</v>
      </c>
      <c r="C2" s="118" t="s">
        <v>6</v>
      </c>
      <c r="D2" s="118" t="s">
        <v>7</v>
      </c>
      <c r="E2" s="118" t="s">
        <v>8</v>
      </c>
      <c r="F2" s="209" t="s">
        <v>9</v>
      </c>
      <c r="G2" s="210"/>
      <c r="H2" s="163" t="s">
        <v>10</v>
      </c>
    </row>
    <row r="3" spans="1:8" ht="15" customHeight="1" x14ac:dyDescent="0.25">
      <c r="A3" s="118"/>
      <c r="B3" s="118"/>
      <c r="C3" s="118"/>
      <c r="D3" s="118"/>
      <c r="E3" s="118"/>
      <c r="F3" s="13" t="s">
        <v>11</v>
      </c>
      <c r="G3" s="13" t="s">
        <v>12</v>
      </c>
      <c r="H3" s="164"/>
    </row>
    <row r="4" spans="1:8" s="1" customFormat="1" ht="20.25" customHeight="1" x14ac:dyDescent="0.25">
      <c r="A4" s="48" t="s">
        <v>339</v>
      </c>
      <c r="B4" s="120" t="s">
        <v>338</v>
      </c>
      <c r="C4" s="120"/>
      <c r="D4" s="120"/>
      <c r="E4" s="120"/>
      <c r="F4" s="120"/>
      <c r="G4" s="120"/>
      <c r="H4" s="120"/>
    </row>
    <row r="5" spans="1:8" ht="104.25" customHeight="1" x14ac:dyDescent="0.25">
      <c r="A5" s="31" t="s">
        <v>339</v>
      </c>
      <c r="B5" s="31">
        <v>102302</v>
      </c>
      <c r="C5" s="32" t="s">
        <v>340</v>
      </c>
      <c r="D5" s="31"/>
      <c r="E5" s="37">
        <v>62256.5</v>
      </c>
      <c r="F5" s="35">
        <v>6.57</v>
      </c>
      <c r="G5" s="35">
        <v>8.26</v>
      </c>
      <c r="H5" s="35">
        <f>G5*E5</f>
        <v>514238.69</v>
      </c>
    </row>
    <row r="6" spans="1:8" ht="104.25" customHeight="1" x14ac:dyDescent="0.25">
      <c r="A6" s="31" t="s">
        <v>342</v>
      </c>
      <c r="B6" s="31">
        <v>93368</v>
      </c>
      <c r="C6" s="32" t="s">
        <v>343</v>
      </c>
      <c r="D6" s="31"/>
      <c r="E6" s="37">
        <v>62256.5</v>
      </c>
      <c r="F6" s="35">
        <v>11.6</v>
      </c>
      <c r="G6" s="35">
        <v>14.59</v>
      </c>
      <c r="H6" s="35">
        <f>G6*E6</f>
        <v>908322.33499999996</v>
      </c>
    </row>
    <row r="7" spans="1:8" ht="39.75" customHeight="1" x14ac:dyDescent="0.25">
      <c r="A7" s="233"/>
      <c r="B7" s="233"/>
      <c r="C7" s="233"/>
      <c r="D7" s="233"/>
      <c r="E7" s="233"/>
      <c r="F7" s="231" t="s">
        <v>345</v>
      </c>
      <c r="G7" s="232"/>
      <c r="H7" s="41">
        <f>SUM(H5:H6)</f>
        <v>1422561.0249999999</v>
      </c>
    </row>
    <row r="8" spans="1:8" x14ac:dyDescent="0.25">
      <c r="A8" s="124"/>
      <c r="B8" s="124"/>
      <c r="C8" s="124"/>
      <c r="D8" s="124"/>
      <c r="E8" s="124"/>
      <c r="F8" s="124"/>
      <c r="G8" s="124"/>
      <c r="H8" s="124"/>
    </row>
    <row r="9" spans="1:8" ht="35.25" customHeight="1" x14ac:dyDescent="0.25">
      <c r="A9" s="234" t="s">
        <v>344</v>
      </c>
      <c r="B9" s="235"/>
      <c r="C9" s="235"/>
      <c r="D9" s="235"/>
      <c r="E9" s="235"/>
      <c r="F9" s="235"/>
      <c r="G9" s="236"/>
      <c r="H9" s="61">
        <f>H7</f>
        <v>1422561.0249999999</v>
      </c>
    </row>
  </sheetData>
  <mergeCells count="13">
    <mergeCell ref="A1:H1"/>
    <mergeCell ref="A2:A3"/>
    <mergeCell ref="B2:B3"/>
    <mergeCell ref="C2:C3"/>
    <mergeCell ref="D2:D3"/>
    <mergeCell ref="E2:E3"/>
    <mergeCell ref="F2:G2"/>
    <mergeCell ref="H2:H3"/>
    <mergeCell ref="F7:G7"/>
    <mergeCell ref="A7:E7"/>
    <mergeCell ref="A8:H8"/>
    <mergeCell ref="A9:G9"/>
    <mergeCell ref="B4:H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D9603-3000-493A-81DF-47A8CC4BCD80}">
  <dimension ref="A1:I9"/>
  <sheetViews>
    <sheetView topLeftCell="B1" workbookViewId="0">
      <selection activeCell="A7" sqref="A7:E7"/>
    </sheetView>
  </sheetViews>
  <sheetFormatPr defaultRowHeight="15" x14ac:dyDescent="0.25"/>
  <cols>
    <col min="1" max="1" width="19.85546875" customWidth="1"/>
    <col min="2" max="2" width="21.5703125" customWidth="1"/>
    <col min="3" max="3" width="31.140625" customWidth="1"/>
    <col min="4" max="4" width="14.28515625" customWidth="1"/>
    <col min="5" max="5" width="16.5703125" customWidth="1"/>
    <col min="6" max="7" width="26.28515625" bestFit="1" customWidth="1"/>
    <col min="8" max="8" width="32.7109375" customWidth="1"/>
  </cols>
  <sheetData>
    <row r="1" spans="1:9" ht="42" customHeight="1" x14ac:dyDescent="0.25">
      <c r="A1" s="117" t="s">
        <v>347</v>
      </c>
      <c r="B1" s="117"/>
      <c r="C1" s="117"/>
      <c r="D1" s="117"/>
      <c r="E1" s="117"/>
      <c r="F1" s="117"/>
      <c r="G1" s="117"/>
      <c r="H1" s="117"/>
      <c r="I1" s="20"/>
    </row>
    <row r="2" spans="1:9" s="27" customFormat="1" ht="15" customHeight="1" x14ac:dyDescent="0.25">
      <c r="A2" s="118" t="s">
        <v>4</v>
      </c>
      <c r="B2" s="118" t="s">
        <v>5</v>
      </c>
      <c r="C2" s="118" t="s">
        <v>6</v>
      </c>
      <c r="D2" s="118" t="s">
        <v>7</v>
      </c>
      <c r="E2" s="118" t="s">
        <v>8</v>
      </c>
      <c r="F2" s="119" t="s">
        <v>9</v>
      </c>
      <c r="G2" s="119"/>
      <c r="H2" s="118" t="s">
        <v>10</v>
      </c>
      <c r="I2" s="54"/>
    </row>
    <row r="3" spans="1:9" s="27" customFormat="1" ht="15" customHeight="1" x14ac:dyDescent="0.25">
      <c r="A3" s="118"/>
      <c r="B3" s="118"/>
      <c r="C3" s="118"/>
      <c r="D3" s="118"/>
      <c r="E3" s="118"/>
      <c r="F3" s="13" t="s">
        <v>11</v>
      </c>
      <c r="G3" s="13" t="s">
        <v>12</v>
      </c>
      <c r="H3" s="118"/>
      <c r="I3" s="54"/>
    </row>
    <row r="4" spans="1:9" s="1" customFormat="1" ht="20.25" customHeight="1" x14ac:dyDescent="0.25">
      <c r="A4" s="48" t="s">
        <v>346</v>
      </c>
      <c r="B4" s="120" t="s">
        <v>338</v>
      </c>
      <c r="C4" s="120"/>
      <c r="D4" s="120"/>
      <c r="E4" s="120"/>
      <c r="F4" s="120"/>
      <c r="G4" s="120"/>
      <c r="H4" s="120"/>
      <c r="I4" s="52"/>
    </row>
    <row r="5" spans="1:9" s="1" customFormat="1" ht="62.25" customHeight="1" x14ac:dyDescent="0.25">
      <c r="A5" s="31" t="s">
        <v>346</v>
      </c>
      <c r="B5" s="31" t="s">
        <v>316</v>
      </c>
      <c r="C5" s="33" t="s">
        <v>369</v>
      </c>
      <c r="D5" s="31" t="s">
        <v>67</v>
      </c>
      <c r="E5" s="31">
        <v>10</v>
      </c>
      <c r="F5" s="35">
        <v>700000</v>
      </c>
      <c r="G5" s="35">
        <v>880778.54</v>
      </c>
      <c r="H5" s="35">
        <f>G5*E5</f>
        <v>8807785.4000000004</v>
      </c>
      <c r="I5" s="52"/>
    </row>
    <row r="6" spans="1:9" ht="63" customHeight="1" x14ac:dyDescent="0.25">
      <c r="A6" s="31" t="s">
        <v>368</v>
      </c>
      <c r="B6" s="31" t="s">
        <v>316</v>
      </c>
      <c r="C6" s="33" t="s">
        <v>370</v>
      </c>
      <c r="D6" s="31" t="s">
        <v>67</v>
      </c>
      <c r="E6" s="31">
        <v>1</v>
      </c>
      <c r="F6" s="24">
        <v>16000000</v>
      </c>
      <c r="G6" s="24">
        <v>20128000</v>
      </c>
      <c r="H6" s="35">
        <f>G6*E6</f>
        <v>20128000</v>
      </c>
      <c r="I6" s="20"/>
    </row>
    <row r="7" spans="1:9" ht="36.75" customHeight="1" x14ac:dyDescent="0.25">
      <c r="A7" s="191"/>
      <c r="B7" s="191"/>
      <c r="C7" s="191"/>
      <c r="D7" s="191"/>
      <c r="E7" s="192"/>
      <c r="F7" s="237" t="s">
        <v>348</v>
      </c>
      <c r="G7" s="237"/>
      <c r="H7" s="53">
        <f>SUM(H5:H6)</f>
        <v>28935785.399999999</v>
      </c>
      <c r="I7" s="20"/>
    </row>
    <row r="8" spans="1:9" x14ac:dyDescent="0.25">
      <c r="A8" s="20"/>
      <c r="B8" s="20"/>
      <c r="C8" s="20"/>
      <c r="D8" s="20"/>
      <c r="E8" s="20"/>
      <c r="F8" s="20"/>
      <c r="G8" s="20"/>
      <c r="H8" s="20"/>
      <c r="I8" s="20"/>
    </row>
    <row r="9" spans="1:9" x14ac:dyDescent="0.25">
      <c r="A9" s="20"/>
      <c r="B9" s="20"/>
      <c r="C9" s="20"/>
      <c r="D9" s="20"/>
      <c r="E9" s="20"/>
      <c r="F9" s="20"/>
      <c r="G9" s="20"/>
      <c r="H9" s="20"/>
      <c r="I9" s="20"/>
    </row>
  </sheetData>
  <mergeCells count="11">
    <mergeCell ref="B4:H4"/>
    <mergeCell ref="F7:G7"/>
    <mergeCell ref="A7:E7"/>
    <mergeCell ref="A1:H1"/>
    <mergeCell ref="A2:A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F74FB-7233-43D8-A209-12B5855433F0}">
  <dimension ref="A1:I11"/>
  <sheetViews>
    <sheetView workbookViewId="0">
      <selection activeCell="G15" sqref="G15"/>
    </sheetView>
  </sheetViews>
  <sheetFormatPr defaultRowHeight="15" x14ac:dyDescent="0.25"/>
  <cols>
    <col min="1" max="1" width="17" customWidth="1"/>
    <col min="2" max="2" width="25.42578125" customWidth="1"/>
    <col min="3" max="3" width="38.42578125" customWidth="1"/>
    <col min="4" max="4" width="14" customWidth="1"/>
    <col min="5" max="5" width="17.140625" customWidth="1"/>
    <col min="6" max="6" width="22" customWidth="1"/>
    <col min="7" max="7" width="20.85546875" customWidth="1"/>
    <col min="8" max="8" width="25.140625" customWidth="1"/>
  </cols>
  <sheetData>
    <row r="1" spans="1:9" ht="42" customHeight="1" x14ac:dyDescent="0.25">
      <c r="A1" s="117" t="s">
        <v>358</v>
      </c>
      <c r="B1" s="117"/>
      <c r="C1" s="117"/>
      <c r="D1" s="117"/>
      <c r="E1" s="117"/>
      <c r="F1" s="117"/>
      <c r="G1" s="117"/>
      <c r="H1" s="117"/>
      <c r="I1" s="20"/>
    </row>
    <row r="2" spans="1:9" s="27" customFormat="1" ht="15" customHeight="1" x14ac:dyDescent="0.25">
      <c r="A2" s="118" t="s">
        <v>4</v>
      </c>
      <c r="B2" s="118" t="s">
        <v>5</v>
      </c>
      <c r="C2" s="118" t="s">
        <v>6</v>
      </c>
      <c r="D2" s="118" t="s">
        <v>7</v>
      </c>
      <c r="E2" s="118" t="s">
        <v>8</v>
      </c>
      <c r="F2" s="119" t="s">
        <v>9</v>
      </c>
      <c r="G2" s="119"/>
      <c r="H2" s="118" t="s">
        <v>10</v>
      </c>
      <c r="I2" s="54"/>
    </row>
    <row r="3" spans="1:9" s="27" customFormat="1" ht="15" customHeight="1" x14ac:dyDescent="0.25">
      <c r="A3" s="118"/>
      <c r="B3" s="118"/>
      <c r="C3" s="118"/>
      <c r="D3" s="118"/>
      <c r="E3" s="118"/>
      <c r="F3" s="13" t="s">
        <v>11</v>
      </c>
      <c r="G3" s="13" t="s">
        <v>12</v>
      </c>
      <c r="H3" s="118"/>
      <c r="I3" s="54"/>
    </row>
    <row r="4" spans="1:9" s="1" customFormat="1" ht="20.25" customHeight="1" x14ac:dyDescent="0.25">
      <c r="A4" s="48">
        <v>10</v>
      </c>
      <c r="B4" s="120" t="s">
        <v>359</v>
      </c>
      <c r="C4" s="120"/>
      <c r="D4" s="120"/>
      <c r="E4" s="120"/>
      <c r="F4" s="120"/>
      <c r="G4" s="120"/>
      <c r="H4" s="120"/>
      <c r="I4" s="52"/>
    </row>
    <row r="5" spans="1:9" ht="44.25" customHeight="1" x14ac:dyDescent="0.25">
      <c r="A5" s="31" t="s">
        <v>349</v>
      </c>
      <c r="B5" s="31">
        <v>93567</v>
      </c>
      <c r="C5" s="32" t="s">
        <v>350</v>
      </c>
      <c r="D5" s="31" t="s">
        <v>353</v>
      </c>
      <c r="E5" s="31">
        <v>8</v>
      </c>
      <c r="F5" s="35">
        <v>20000</v>
      </c>
      <c r="G5" s="35">
        <v>25160</v>
      </c>
      <c r="H5" s="35">
        <f>G5*E5</f>
        <v>201280</v>
      </c>
    </row>
    <row r="6" spans="1:9" ht="35.25" customHeight="1" x14ac:dyDescent="0.25">
      <c r="A6" s="31" t="s">
        <v>351</v>
      </c>
      <c r="B6" s="31">
        <v>90780</v>
      </c>
      <c r="C6" s="32" t="s">
        <v>352</v>
      </c>
      <c r="D6" s="31" t="s">
        <v>353</v>
      </c>
      <c r="E6" s="31">
        <v>8</v>
      </c>
      <c r="F6" s="35">
        <v>10000</v>
      </c>
      <c r="G6" s="35">
        <v>12580</v>
      </c>
      <c r="H6" s="35">
        <f>G6*E6</f>
        <v>100640</v>
      </c>
    </row>
    <row r="7" spans="1:9" ht="34.5" customHeight="1" x14ac:dyDescent="0.25">
      <c r="A7" s="31" t="s">
        <v>354</v>
      </c>
      <c r="B7" s="31">
        <v>88326</v>
      </c>
      <c r="C7" s="32" t="s">
        <v>355</v>
      </c>
      <c r="D7" s="31" t="s">
        <v>353</v>
      </c>
      <c r="E7" s="31">
        <v>8</v>
      </c>
      <c r="F7" s="35">
        <v>38500</v>
      </c>
      <c r="G7" s="35">
        <v>48433</v>
      </c>
      <c r="H7" s="35">
        <f>G7*E7</f>
        <v>387464</v>
      </c>
    </row>
    <row r="8" spans="1:9" ht="42.75" customHeight="1" x14ac:dyDescent="0.25">
      <c r="A8" s="31" t="s">
        <v>356</v>
      </c>
      <c r="B8" s="31">
        <v>94296</v>
      </c>
      <c r="C8" s="32" t="s">
        <v>357</v>
      </c>
      <c r="D8" s="31" t="s">
        <v>353</v>
      </c>
      <c r="E8" s="31">
        <v>8</v>
      </c>
      <c r="F8" s="35">
        <v>8000</v>
      </c>
      <c r="G8" s="35">
        <v>10064</v>
      </c>
      <c r="H8" s="35">
        <f>G8*E8</f>
        <v>80512</v>
      </c>
    </row>
    <row r="9" spans="1:9" ht="27" customHeight="1" x14ac:dyDescent="0.25">
      <c r="A9" s="121"/>
      <c r="B9" s="121"/>
      <c r="C9" s="121"/>
      <c r="D9" s="121"/>
      <c r="E9" s="122"/>
      <c r="F9" s="123" t="s">
        <v>360</v>
      </c>
      <c r="G9" s="123"/>
      <c r="H9" s="40">
        <f>SUM(H5:H8)</f>
        <v>769896</v>
      </c>
    </row>
    <row r="10" spans="1:9" x14ac:dyDescent="0.25">
      <c r="A10" s="124"/>
      <c r="B10" s="124"/>
      <c r="C10" s="124"/>
      <c r="D10" s="124"/>
      <c r="E10" s="124"/>
      <c r="F10" s="124"/>
      <c r="G10" s="124"/>
      <c r="H10" s="124"/>
    </row>
    <row r="11" spans="1:9" ht="39" customHeight="1" x14ac:dyDescent="0.25">
      <c r="A11" s="238" t="s">
        <v>360</v>
      </c>
      <c r="B11" s="239"/>
      <c r="C11" s="239"/>
      <c r="D11" s="239"/>
      <c r="E11" s="239"/>
      <c r="F11" s="239"/>
      <c r="G11" s="240"/>
      <c r="H11" s="62">
        <v>769896</v>
      </c>
    </row>
  </sheetData>
  <mergeCells count="13">
    <mergeCell ref="A1:H1"/>
    <mergeCell ref="A2:A3"/>
    <mergeCell ref="B2:B3"/>
    <mergeCell ref="C2:C3"/>
    <mergeCell ref="D2:D3"/>
    <mergeCell ref="E2:E3"/>
    <mergeCell ref="F2:G2"/>
    <mergeCell ref="H2:H3"/>
    <mergeCell ref="B4:H4"/>
    <mergeCell ref="F9:G9"/>
    <mergeCell ref="A10:H10"/>
    <mergeCell ref="A9:E9"/>
    <mergeCell ref="A11:G1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83721-B4B1-4E32-A175-A5D7CF192156}">
  <dimension ref="A1:H2"/>
  <sheetViews>
    <sheetView workbookViewId="0">
      <selection activeCell="A2" sqref="A2:H2"/>
    </sheetView>
  </sheetViews>
  <sheetFormatPr defaultRowHeight="15" x14ac:dyDescent="0.25"/>
  <cols>
    <col min="8" max="8" width="46.85546875" customWidth="1"/>
  </cols>
  <sheetData>
    <row r="1" spans="1:8" ht="81" customHeight="1" x14ac:dyDescent="0.55000000000000004">
      <c r="A1" s="241" t="s">
        <v>363</v>
      </c>
      <c r="B1" s="241"/>
      <c r="C1" s="241"/>
      <c r="D1" s="241"/>
      <c r="E1" s="241"/>
      <c r="F1" s="241"/>
      <c r="G1" s="241"/>
      <c r="H1" s="241"/>
    </row>
    <row r="2" spans="1:8" ht="102.75" customHeight="1" x14ac:dyDescent="0.25">
      <c r="A2" s="242">
        <f>'PLAN.FIN.CAD02'!C33</f>
        <v>281132818.1372</v>
      </c>
      <c r="B2" s="243"/>
      <c r="C2" s="243"/>
      <c r="D2" s="243"/>
      <c r="E2" s="243"/>
      <c r="F2" s="243"/>
      <c r="G2" s="243"/>
      <c r="H2" s="243"/>
    </row>
  </sheetData>
  <mergeCells count="2">
    <mergeCell ref="A1:H1"/>
    <mergeCell ref="A2:H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C8749-99C4-4435-BC2B-2677ABD99EF3}">
  <dimension ref="A1:M36"/>
  <sheetViews>
    <sheetView topLeftCell="E1" zoomScale="70" zoomScaleNormal="70" workbookViewId="0">
      <pane ySplit="1" topLeftCell="A22" activePane="bottomLeft" state="frozen"/>
      <selection activeCell="B1" sqref="B1"/>
      <selection pane="bottomLeft" sqref="A1:M33"/>
    </sheetView>
  </sheetViews>
  <sheetFormatPr defaultRowHeight="15" x14ac:dyDescent="0.25"/>
  <cols>
    <col min="1" max="1" width="9.42578125" bestFit="1" customWidth="1"/>
    <col min="2" max="2" width="61" bestFit="1" customWidth="1"/>
    <col min="3" max="3" width="30.5703125" bestFit="1" customWidth="1"/>
    <col min="4" max="4" width="29.85546875" bestFit="1" customWidth="1"/>
    <col min="5" max="6" width="31.5703125" bestFit="1" customWidth="1"/>
    <col min="7" max="11" width="23" bestFit="1" customWidth="1"/>
    <col min="12" max="12" width="30.5703125" bestFit="1" customWidth="1"/>
    <col min="13" max="13" width="23" bestFit="1" customWidth="1"/>
    <col min="14" max="15" width="11.7109375" bestFit="1" customWidth="1"/>
  </cols>
  <sheetData>
    <row r="1" spans="1:13" s="66" customFormat="1" ht="36" x14ac:dyDescent="0.15">
      <c r="A1" s="68" t="s">
        <v>364</v>
      </c>
      <c r="B1" s="68" t="s">
        <v>365</v>
      </c>
      <c r="C1" s="68" t="s">
        <v>366</v>
      </c>
      <c r="D1" s="68">
        <v>1</v>
      </c>
      <c r="E1" s="68">
        <v>2</v>
      </c>
      <c r="F1" s="68">
        <v>3</v>
      </c>
      <c r="G1" s="68">
        <v>4</v>
      </c>
      <c r="H1" s="68">
        <v>5</v>
      </c>
      <c r="I1" s="68">
        <v>6</v>
      </c>
      <c r="J1" s="68">
        <v>7</v>
      </c>
      <c r="K1" s="68">
        <v>8</v>
      </c>
      <c r="L1" s="68" t="s">
        <v>366</v>
      </c>
      <c r="M1" s="68" t="s">
        <v>401</v>
      </c>
    </row>
    <row r="2" spans="1:13" ht="29.25" customHeight="1" x14ac:dyDescent="0.25">
      <c r="A2" s="69" t="s">
        <v>372</v>
      </c>
      <c r="B2" s="70" t="s">
        <v>399</v>
      </c>
      <c r="C2" s="71">
        <f>PROJ.VIABILIDADE!G8</f>
        <v>1258000</v>
      </c>
      <c r="D2" s="71">
        <f>C2</f>
        <v>1258000</v>
      </c>
      <c r="E2" s="71" t="s">
        <v>400</v>
      </c>
      <c r="F2" s="71" t="s">
        <v>400</v>
      </c>
      <c r="G2" s="71" t="s">
        <v>400</v>
      </c>
      <c r="H2" s="71" t="s">
        <v>400</v>
      </c>
      <c r="I2" s="71" t="s">
        <v>400</v>
      </c>
      <c r="J2" s="71" t="s">
        <v>400</v>
      </c>
      <c r="K2" s="71" t="s">
        <v>400</v>
      </c>
      <c r="L2" s="71">
        <f>SUM(D2:K2)</f>
        <v>1258000</v>
      </c>
      <c r="M2" s="72">
        <f>L2/L33*100</f>
        <v>0.44747532797329403</v>
      </c>
    </row>
    <row r="3" spans="1:13" ht="31.5" customHeight="1" x14ac:dyDescent="0.25">
      <c r="A3" s="69" t="s">
        <v>375</v>
      </c>
      <c r="B3" s="69" t="s">
        <v>1</v>
      </c>
      <c r="C3" s="71">
        <f>'1.0 PLANILHA ORÇAMENTARIA'!H33</f>
        <v>746403.4</v>
      </c>
      <c r="D3" s="71">
        <f>C3/2</f>
        <v>373201.7</v>
      </c>
      <c r="E3" s="71">
        <f>C3-D3</f>
        <v>373201.7</v>
      </c>
      <c r="F3" s="71" t="s">
        <v>400</v>
      </c>
      <c r="G3" s="71" t="s">
        <v>400</v>
      </c>
      <c r="H3" s="71" t="s">
        <v>400</v>
      </c>
      <c r="I3" s="71" t="s">
        <v>400</v>
      </c>
      <c r="J3" s="71" t="s">
        <v>400</v>
      </c>
      <c r="K3" s="71" t="s">
        <v>400</v>
      </c>
      <c r="L3" s="71">
        <f>SUM(D3:K3)</f>
        <v>746403.4</v>
      </c>
      <c r="M3" s="73">
        <f>L3/L33*100</f>
        <v>0.26549849460682179</v>
      </c>
    </row>
    <row r="4" spans="1:13" ht="30" customHeight="1" x14ac:dyDescent="0.25">
      <c r="A4" s="69" t="s">
        <v>376</v>
      </c>
      <c r="B4" s="69" t="s">
        <v>377</v>
      </c>
      <c r="C4" s="71">
        <f>'2.0 MOVIMENTO DE TERRA E DREN'!H14</f>
        <v>3355370</v>
      </c>
      <c r="D4" s="71" t="s">
        <v>400</v>
      </c>
      <c r="E4" s="71">
        <f>C4</f>
        <v>3355370</v>
      </c>
      <c r="F4" s="71" t="s">
        <v>400</v>
      </c>
      <c r="G4" s="71" t="s">
        <v>400</v>
      </c>
      <c r="H4" s="71" t="s">
        <v>400</v>
      </c>
      <c r="I4" s="71" t="s">
        <v>400</v>
      </c>
      <c r="J4" s="71" t="s">
        <v>400</v>
      </c>
      <c r="K4" s="71" t="s">
        <v>400</v>
      </c>
      <c r="L4" s="71">
        <f>C4</f>
        <v>3355370</v>
      </c>
      <c r="M4" s="73">
        <f>L4/L33*100</f>
        <v>1.1935177195721396</v>
      </c>
    </row>
    <row r="5" spans="1:13" ht="28.5" customHeight="1" x14ac:dyDescent="0.25">
      <c r="A5" s="69" t="s">
        <v>378</v>
      </c>
      <c r="B5" s="69" t="s">
        <v>379</v>
      </c>
      <c r="C5" s="71">
        <f>'3.1 CERCAMENTO DO TERRENO'!H11</f>
        <v>457112.49999999994</v>
      </c>
      <c r="D5" s="71" t="s">
        <v>400</v>
      </c>
      <c r="E5" s="71" t="s">
        <v>400</v>
      </c>
      <c r="F5" s="71">
        <f>C5</f>
        <v>457112.49999999994</v>
      </c>
      <c r="G5" s="71" t="s">
        <v>400</v>
      </c>
      <c r="H5" s="71" t="s">
        <v>400</v>
      </c>
      <c r="I5" s="71" t="s">
        <v>400</v>
      </c>
      <c r="J5" s="71" t="s">
        <v>400</v>
      </c>
      <c r="K5" s="71" t="s">
        <v>400</v>
      </c>
      <c r="L5" s="71">
        <f>SUM(F5:K5)</f>
        <v>457112.49999999994</v>
      </c>
      <c r="M5" s="73">
        <f>L5/L33*100</f>
        <v>0.1625966342274979</v>
      </c>
    </row>
    <row r="6" spans="1:13" ht="26.25" customHeight="1" x14ac:dyDescent="0.25">
      <c r="A6" s="69" t="s">
        <v>380</v>
      </c>
      <c r="B6" s="69" t="s">
        <v>382</v>
      </c>
      <c r="C6" s="71">
        <f>'4.1 FUNDAÇÃO ESTRUTURAS PAINEIS'!H10</f>
        <v>12074842</v>
      </c>
      <c r="D6" s="71" t="s">
        <v>400</v>
      </c>
      <c r="E6" s="71">
        <f>C6/2</f>
        <v>6037421</v>
      </c>
      <c r="F6" s="71">
        <f>C6-E6</f>
        <v>6037421</v>
      </c>
      <c r="G6" s="71" t="s">
        <v>400</v>
      </c>
      <c r="H6" s="71" t="s">
        <v>400</v>
      </c>
      <c r="I6" s="71" t="s">
        <v>400</v>
      </c>
      <c r="J6" s="71" t="s">
        <v>400</v>
      </c>
      <c r="K6" s="71" t="s">
        <v>400</v>
      </c>
      <c r="L6" s="71">
        <f>SUM(E6:K6)</f>
        <v>12074842</v>
      </c>
      <c r="M6" s="73">
        <f>L6/L33*100</f>
        <v>4.2950666805848217</v>
      </c>
    </row>
    <row r="7" spans="1:13" ht="24.75" customHeight="1" x14ac:dyDescent="0.25">
      <c r="A7" s="69" t="s">
        <v>381</v>
      </c>
      <c r="B7" s="69" t="s">
        <v>383</v>
      </c>
      <c r="C7" s="71">
        <f>'5.1 EDIFICIOS ESCRITÓRIO E ALMO'!H24</f>
        <v>51446.075500000006</v>
      </c>
      <c r="D7" s="71" t="s">
        <v>400</v>
      </c>
      <c r="E7" s="71">
        <f>C7</f>
        <v>51446.075500000006</v>
      </c>
      <c r="F7" s="71" t="s">
        <v>400</v>
      </c>
      <c r="G7" s="71" t="s">
        <v>400</v>
      </c>
      <c r="H7" s="71" t="s">
        <v>400</v>
      </c>
      <c r="I7" s="71" t="s">
        <v>400</v>
      </c>
      <c r="J7" s="71" t="s">
        <v>400</v>
      </c>
      <c r="K7" s="71" t="s">
        <v>400</v>
      </c>
      <c r="L7" s="71">
        <f>SUM(E7:K7)</f>
        <v>51446.075500000006</v>
      </c>
      <c r="M7" s="73">
        <f>L7/L33*100</f>
        <v>1.8299562406439866E-2</v>
      </c>
    </row>
    <row r="8" spans="1:13" ht="24.75" customHeight="1" x14ac:dyDescent="0.25">
      <c r="A8" s="69" t="s">
        <v>86</v>
      </c>
      <c r="B8" s="69" t="s">
        <v>87</v>
      </c>
      <c r="C8" s="71">
        <f>'5.2 REVESTIMENTO DE PAREDES'!H14</f>
        <v>7079.2379999999994</v>
      </c>
      <c r="D8" s="71" t="s">
        <v>400</v>
      </c>
      <c r="E8" s="71">
        <f>C8</f>
        <v>7079.2379999999994</v>
      </c>
      <c r="F8" s="71" t="s">
        <v>400</v>
      </c>
      <c r="G8" s="71" t="s">
        <v>400</v>
      </c>
      <c r="H8" s="71" t="s">
        <v>400</v>
      </c>
      <c r="I8" s="71" t="s">
        <v>400</v>
      </c>
      <c r="J8" s="71" t="s">
        <v>400</v>
      </c>
      <c r="K8" s="71" t="s">
        <v>400</v>
      </c>
      <c r="L8" s="71">
        <f>SUM(E8:K8)</f>
        <v>7079.2379999999994</v>
      </c>
      <c r="M8" s="73">
        <f>L8/L33*100</f>
        <v>2.518111562679655E-3</v>
      </c>
    </row>
    <row r="9" spans="1:13" ht="24.75" customHeight="1" x14ac:dyDescent="0.25">
      <c r="A9" s="69" t="s">
        <v>103</v>
      </c>
      <c r="B9" s="69" t="s">
        <v>393</v>
      </c>
      <c r="C9" s="71">
        <f>'5.3 ESQUADRIAS DE MADEIRA'!H21</f>
        <v>5964.9475999999995</v>
      </c>
      <c r="D9" s="71" t="s">
        <v>400</v>
      </c>
      <c r="E9" s="71">
        <f t="shared" ref="E9:E26" si="0">C9</f>
        <v>5964.9475999999995</v>
      </c>
      <c r="F9" s="71" t="s">
        <v>400</v>
      </c>
      <c r="G9" s="71" t="s">
        <v>400</v>
      </c>
      <c r="H9" s="71" t="s">
        <v>400</v>
      </c>
      <c r="I9" s="71" t="s">
        <v>400</v>
      </c>
      <c r="J9" s="71" t="s">
        <v>400</v>
      </c>
      <c r="K9" s="71" t="s">
        <v>400</v>
      </c>
      <c r="L9" s="71">
        <f>SUM(E9:K9)</f>
        <v>5964.9475999999995</v>
      </c>
      <c r="M9" s="73">
        <f>L9/L33*100</f>
        <v>2.1217542795337941E-3</v>
      </c>
    </row>
    <row r="10" spans="1:13" ht="24.75" customHeight="1" x14ac:dyDescent="0.25">
      <c r="A10" s="69" t="s">
        <v>108</v>
      </c>
      <c r="B10" s="69" t="s">
        <v>398</v>
      </c>
      <c r="C10" s="71">
        <f>'5.4 PINTURA ACABAMENTO'!H14</f>
        <v>14625.6335</v>
      </c>
      <c r="D10" s="71" t="s">
        <v>400</v>
      </c>
      <c r="E10" s="71">
        <f t="shared" si="0"/>
        <v>14625.6335</v>
      </c>
      <c r="F10" s="71" t="s">
        <v>400</v>
      </c>
      <c r="G10" s="71" t="s">
        <v>400</v>
      </c>
      <c r="H10" s="71" t="s">
        <v>400</v>
      </c>
      <c r="I10" s="71" t="s">
        <v>400</v>
      </c>
      <c r="J10" s="71" t="s">
        <v>400</v>
      </c>
      <c r="K10" s="71" t="s">
        <v>400</v>
      </c>
      <c r="L10" s="71">
        <f t="shared" ref="L10:L30" si="1">SUM(E10:K10)</f>
        <v>14625.6335</v>
      </c>
      <c r="M10" s="73">
        <f>L10/L33*100</f>
        <v>5.2023928038391863E-3</v>
      </c>
    </row>
    <row r="11" spans="1:13" ht="24.75" customHeight="1" x14ac:dyDescent="0.25">
      <c r="A11" s="69" t="s">
        <v>121</v>
      </c>
      <c r="B11" s="69" t="s">
        <v>120</v>
      </c>
      <c r="C11" s="71">
        <f>'5.5 COBERTURA'!H13</f>
        <v>40196.823299999996</v>
      </c>
      <c r="D11" s="71" t="s">
        <v>400</v>
      </c>
      <c r="E11" s="71">
        <f t="shared" si="0"/>
        <v>40196.823299999996</v>
      </c>
      <c r="F11" s="71" t="s">
        <v>400</v>
      </c>
      <c r="G11" s="71" t="s">
        <v>400</v>
      </c>
      <c r="H11" s="71" t="s">
        <v>400</v>
      </c>
      <c r="I11" s="71" t="s">
        <v>400</v>
      </c>
      <c r="J11" s="71" t="s">
        <v>400</v>
      </c>
      <c r="K11" s="71" t="s">
        <v>400</v>
      </c>
      <c r="L11" s="71">
        <f t="shared" si="1"/>
        <v>40196.823299999996</v>
      </c>
      <c r="M11" s="73">
        <f>L11/L33*100</f>
        <v>1.4298161120550117E-2</v>
      </c>
    </row>
    <row r="12" spans="1:13" ht="24" customHeight="1" x14ac:dyDescent="0.25">
      <c r="A12" s="69" t="s">
        <v>126</v>
      </c>
      <c r="B12" s="69" t="s">
        <v>127</v>
      </c>
      <c r="C12" s="71">
        <f>'5.6 FORROS E DIVISORIAS'!H8</f>
        <v>6314.6970000000001</v>
      </c>
      <c r="D12" s="71" t="s">
        <v>400</v>
      </c>
      <c r="E12" s="71">
        <f t="shared" si="0"/>
        <v>6314.6970000000001</v>
      </c>
      <c r="F12" s="71" t="s">
        <v>400</v>
      </c>
      <c r="G12" s="71" t="s">
        <v>400</v>
      </c>
      <c r="H12" s="71" t="s">
        <v>400</v>
      </c>
      <c r="I12" s="71" t="s">
        <v>400</v>
      </c>
      <c r="J12" s="71" t="s">
        <v>400</v>
      </c>
      <c r="K12" s="71" t="s">
        <v>400</v>
      </c>
      <c r="L12" s="71">
        <f t="shared" si="1"/>
        <v>6314.6970000000001</v>
      </c>
      <c r="M12" s="73">
        <f>L12/L33*100</f>
        <v>2.2461614555858316E-3</v>
      </c>
    </row>
    <row r="13" spans="1:13" ht="36" x14ac:dyDescent="0.25">
      <c r="A13" s="69" t="s">
        <v>135</v>
      </c>
      <c r="B13" s="69" t="s">
        <v>136</v>
      </c>
      <c r="C13" s="71">
        <f>'5.7 INSTALACOES HIDRAULICAS'!H24</f>
        <v>10956.28</v>
      </c>
      <c r="D13" s="71" t="s">
        <v>400</v>
      </c>
      <c r="E13" s="71">
        <f t="shared" si="0"/>
        <v>10956.28</v>
      </c>
      <c r="F13" s="71" t="s">
        <v>400</v>
      </c>
      <c r="G13" s="71" t="s">
        <v>400</v>
      </c>
      <c r="H13" s="71" t="s">
        <v>400</v>
      </c>
      <c r="I13" s="71" t="s">
        <v>400</v>
      </c>
      <c r="J13" s="71" t="s">
        <v>400</v>
      </c>
      <c r="K13" s="71" t="s">
        <v>400</v>
      </c>
      <c r="L13" s="71">
        <f t="shared" si="1"/>
        <v>10956.28</v>
      </c>
      <c r="M13" s="73">
        <f>L13/L33*100</f>
        <v>3.8971899732648985E-3</v>
      </c>
    </row>
    <row r="14" spans="1:13" ht="36" x14ac:dyDescent="0.25">
      <c r="A14" s="69" t="s">
        <v>157</v>
      </c>
      <c r="B14" s="69" t="s">
        <v>155</v>
      </c>
      <c r="C14" s="71">
        <f>'5.8 INSTALACOES SANITARIAS PLU'!H14</f>
        <v>13870.047000000002</v>
      </c>
      <c r="D14" s="71" t="s">
        <v>400</v>
      </c>
      <c r="E14" s="71">
        <f t="shared" si="0"/>
        <v>13870.047000000002</v>
      </c>
      <c r="F14" s="71" t="s">
        <v>400</v>
      </c>
      <c r="G14" s="71" t="s">
        <v>400</v>
      </c>
      <c r="H14" s="71" t="s">
        <v>400</v>
      </c>
      <c r="I14" s="71" t="s">
        <v>400</v>
      </c>
      <c r="J14" s="71" t="s">
        <v>400</v>
      </c>
      <c r="K14" s="71" t="s">
        <v>400</v>
      </c>
      <c r="L14" s="71">
        <f t="shared" si="1"/>
        <v>13870.047000000002</v>
      </c>
      <c r="M14" s="73">
        <f>L14/L33*100</f>
        <v>4.9336278460492882E-3</v>
      </c>
    </row>
    <row r="15" spans="1:13" ht="18" x14ac:dyDescent="0.25">
      <c r="A15" s="69" t="s">
        <v>169</v>
      </c>
      <c r="B15" s="69" t="s">
        <v>170</v>
      </c>
      <c r="C15" s="71">
        <f>'5.9 INSTALAÇÓES ELÉTRICAS'!H17</f>
        <v>20467.008500000004</v>
      </c>
      <c r="D15" s="71" t="s">
        <v>400</v>
      </c>
      <c r="E15" s="71">
        <f t="shared" si="0"/>
        <v>20467.008500000004</v>
      </c>
      <c r="F15" s="71" t="s">
        <v>400</v>
      </c>
      <c r="G15" s="71" t="s">
        <v>400</v>
      </c>
      <c r="H15" s="71" t="s">
        <v>400</v>
      </c>
      <c r="I15" s="71" t="s">
        <v>400</v>
      </c>
      <c r="J15" s="71" t="s">
        <v>400</v>
      </c>
      <c r="K15" s="71" t="s">
        <v>400</v>
      </c>
      <c r="L15" s="71">
        <f t="shared" si="1"/>
        <v>20467.008500000004</v>
      </c>
      <c r="M15" s="73">
        <f>L15/L33*100</f>
        <v>7.2801918451269459E-3</v>
      </c>
    </row>
    <row r="16" spans="1:13" ht="27.75" customHeight="1" x14ac:dyDescent="0.25">
      <c r="A16" s="69" t="s">
        <v>198</v>
      </c>
      <c r="B16" s="69" t="s">
        <v>197</v>
      </c>
      <c r="C16" s="71" cm="1">
        <f t="array" ref="C16">'5.10 CALÇADA EXTERNA'!H11:H11</f>
        <v>280988.94260000007</v>
      </c>
      <c r="D16" s="71" t="s">
        <v>400</v>
      </c>
      <c r="E16" s="71">
        <f t="shared" si="0"/>
        <v>280988.94260000007</v>
      </c>
      <c r="F16" s="71" t="s">
        <v>400</v>
      </c>
      <c r="G16" s="71" t="s">
        <v>400</v>
      </c>
      <c r="H16" s="71" t="s">
        <v>400</v>
      </c>
      <c r="I16" s="71" t="s">
        <v>400</v>
      </c>
      <c r="J16" s="71" t="s">
        <v>400</v>
      </c>
      <c r="K16" s="71" t="s">
        <v>400</v>
      </c>
      <c r="L16" s="71">
        <f t="shared" si="1"/>
        <v>280988.94260000007</v>
      </c>
      <c r="M16" s="73">
        <f>L16/L33*100</f>
        <v>9.9948822930686909E-2</v>
      </c>
    </row>
    <row r="17" spans="1:13" ht="18" x14ac:dyDescent="0.25">
      <c r="A17" s="69" t="s">
        <v>209</v>
      </c>
      <c r="B17" s="69" t="s">
        <v>225</v>
      </c>
      <c r="C17" s="71">
        <f>'6.1 EDIFÍCIO CASA DE FORÇA'!H11</f>
        <v>26749.748500000002</v>
      </c>
      <c r="D17" s="71" t="s">
        <v>400</v>
      </c>
      <c r="E17" s="71">
        <f t="shared" si="0"/>
        <v>26749.748500000002</v>
      </c>
      <c r="F17" s="71" t="s">
        <v>400</v>
      </c>
      <c r="G17" s="71" t="s">
        <v>400</v>
      </c>
      <c r="H17" s="71" t="s">
        <v>400</v>
      </c>
      <c r="I17" s="71" t="s">
        <v>400</v>
      </c>
      <c r="J17" s="71" t="s">
        <v>400</v>
      </c>
      <c r="K17" s="71" t="s">
        <v>400</v>
      </c>
      <c r="L17" s="71">
        <f t="shared" si="1"/>
        <v>26749.748500000002</v>
      </c>
      <c r="M17" s="73">
        <f>L17/L33*100</f>
        <v>9.5149860757079742E-3</v>
      </c>
    </row>
    <row r="18" spans="1:13" ht="36" x14ac:dyDescent="0.25">
      <c r="A18" s="69" t="s">
        <v>227</v>
      </c>
      <c r="B18" s="69" t="s">
        <v>87</v>
      </c>
      <c r="C18" s="71">
        <f>'6.2 REVESTIMENTO DE PAREDES'!H6</f>
        <v>2293.92</v>
      </c>
      <c r="D18" s="71" t="s">
        <v>400</v>
      </c>
      <c r="E18" s="71">
        <f t="shared" si="0"/>
        <v>2293.92</v>
      </c>
      <c r="F18" s="71" t="s">
        <v>400</v>
      </c>
      <c r="G18" s="71" t="s">
        <v>400</v>
      </c>
      <c r="H18" s="71" t="s">
        <v>400</v>
      </c>
      <c r="I18" s="71" t="s">
        <v>400</v>
      </c>
      <c r="J18" s="71" t="s">
        <v>400</v>
      </c>
      <c r="K18" s="71" t="s">
        <v>400</v>
      </c>
      <c r="L18" s="71">
        <f t="shared" si="1"/>
        <v>2293.92</v>
      </c>
      <c r="M18" s="73">
        <f>L18/L33*100</f>
        <v>8.1595596529769371E-4</v>
      </c>
    </row>
    <row r="19" spans="1:13" ht="29.25" customHeight="1" x14ac:dyDescent="0.25">
      <c r="A19" s="69" t="s">
        <v>232</v>
      </c>
      <c r="B19" s="69" t="s">
        <v>396</v>
      </c>
      <c r="C19" s="71">
        <f>'6.3 ESQUADRIAS DE VIDROS'!H7</f>
        <v>3399.0479999999998</v>
      </c>
      <c r="D19" s="71" t="s">
        <v>400</v>
      </c>
      <c r="E19" s="71">
        <f t="shared" si="0"/>
        <v>3399.0479999999998</v>
      </c>
      <c r="F19" s="71" t="s">
        <v>400</v>
      </c>
      <c r="G19" s="71" t="s">
        <v>400</v>
      </c>
      <c r="H19" s="71" t="s">
        <v>400</v>
      </c>
      <c r="I19" s="71" t="s">
        <v>400</v>
      </c>
      <c r="J19" s="71" t="s">
        <v>400</v>
      </c>
      <c r="K19" s="71" t="s">
        <v>400</v>
      </c>
      <c r="L19" s="71">
        <f t="shared" si="1"/>
        <v>3399.0479999999998</v>
      </c>
      <c r="M19" s="73">
        <f>L19/L33*100</f>
        <v>1.2090541483282743E-3</v>
      </c>
    </row>
    <row r="20" spans="1:13" ht="33" customHeight="1" x14ac:dyDescent="0.25">
      <c r="A20" s="69" t="s">
        <v>246</v>
      </c>
      <c r="B20" s="69" t="s">
        <v>384</v>
      </c>
      <c r="C20" s="71">
        <f>'6.4 PINTURA'!H8</f>
        <v>17733.856500000002</v>
      </c>
      <c r="D20" s="71" t="s">
        <v>400</v>
      </c>
      <c r="E20" s="71">
        <f t="shared" si="0"/>
        <v>17733.856500000002</v>
      </c>
      <c r="F20" s="71" t="s">
        <v>400</v>
      </c>
      <c r="G20" s="71" t="s">
        <v>400</v>
      </c>
      <c r="H20" s="71" t="s">
        <v>400</v>
      </c>
      <c r="I20" s="71" t="s">
        <v>400</v>
      </c>
      <c r="J20" s="71" t="s">
        <v>400</v>
      </c>
      <c r="K20" s="71" t="s">
        <v>400</v>
      </c>
      <c r="L20" s="71">
        <f t="shared" si="1"/>
        <v>17733.856500000002</v>
      </c>
      <c r="M20" s="73">
        <f>L20/L33*100</f>
        <v>6.3079994066524911E-3</v>
      </c>
    </row>
    <row r="21" spans="1:13" ht="36" x14ac:dyDescent="0.25">
      <c r="A21" s="69" t="s">
        <v>247</v>
      </c>
      <c r="B21" s="69" t="s">
        <v>385</v>
      </c>
      <c r="C21" s="71">
        <f>'6.5 COBERTURA'!H7</f>
        <v>36972.678</v>
      </c>
      <c r="D21" s="71" t="s">
        <v>400</v>
      </c>
      <c r="E21" s="71">
        <f t="shared" si="0"/>
        <v>36972.678</v>
      </c>
      <c r="F21" s="71" t="s">
        <v>400</v>
      </c>
      <c r="G21" s="71" t="s">
        <v>400</v>
      </c>
      <c r="H21" s="71" t="s">
        <v>400</v>
      </c>
      <c r="I21" s="71" t="s">
        <v>400</v>
      </c>
      <c r="J21" s="71" t="s">
        <v>400</v>
      </c>
      <c r="K21" s="71" t="s">
        <v>400</v>
      </c>
      <c r="L21" s="71">
        <f t="shared" si="1"/>
        <v>36972.678</v>
      </c>
      <c r="M21" s="73">
        <f>L21/L33*100</f>
        <v>1.3151320519953096E-2</v>
      </c>
    </row>
    <row r="22" spans="1:13" ht="18" x14ac:dyDescent="0.25">
      <c r="A22" s="69" t="s">
        <v>258</v>
      </c>
      <c r="B22" s="69" t="s">
        <v>386</v>
      </c>
      <c r="C22" s="71">
        <f>'6.6 DIVISÓRIAS ACARTONADA'!H6</f>
        <v>6179.52</v>
      </c>
      <c r="D22" s="71" t="s">
        <v>400</v>
      </c>
      <c r="E22" s="71">
        <f t="shared" si="0"/>
        <v>6179.52</v>
      </c>
      <c r="F22" s="71" t="s">
        <v>400</v>
      </c>
      <c r="G22" s="71" t="s">
        <v>400</v>
      </c>
      <c r="H22" s="71" t="s">
        <v>400</v>
      </c>
      <c r="I22" s="71" t="s">
        <v>400</v>
      </c>
      <c r="J22" s="71" t="s">
        <v>400</v>
      </c>
      <c r="K22" s="71" t="s">
        <v>400</v>
      </c>
      <c r="L22" s="71">
        <f t="shared" si="1"/>
        <v>6179.52</v>
      </c>
      <c r="M22" s="73">
        <f>L22/L33*100</f>
        <v>2.1980784886466856E-3</v>
      </c>
    </row>
    <row r="23" spans="1:13" ht="18" x14ac:dyDescent="0.25">
      <c r="A23" s="69" t="s">
        <v>267</v>
      </c>
      <c r="B23" s="69" t="s">
        <v>266</v>
      </c>
      <c r="C23" s="71">
        <f>'6.7 INSTALAÇÕES AR CONDICIONADO'!H7</f>
        <v>15339.800000000001</v>
      </c>
      <c r="D23" s="71" t="s">
        <v>400</v>
      </c>
      <c r="E23" s="71">
        <f t="shared" si="0"/>
        <v>15339.800000000001</v>
      </c>
      <c r="F23" s="71" t="s">
        <v>400</v>
      </c>
      <c r="G23" s="71" t="s">
        <v>400</v>
      </c>
      <c r="H23" s="71" t="s">
        <v>400</v>
      </c>
      <c r="I23" s="71" t="s">
        <v>400</v>
      </c>
      <c r="J23" s="71" t="s">
        <v>400</v>
      </c>
      <c r="K23" s="71" t="s">
        <v>400</v>
      </c>
      <c r="L23" s="71">
        <f t="shared" si="1"/>
        <v>15339.800000000001</v>
      </c>
      <c r="M23" s="73">
        <f>L23/L33*100</f>
        <v>5.4564245119592498E-3</v>
      </c>
    </row>
    <row r="24" spans="1:13" ht="18" x14ac:dyDescent="0.25">
      <c r="A24" s="69" t="s">
        <v>279</v>
      </c>
      <c r="B24" s="69" t="s">
        <v>278</v>
      </c>
      <c r="C24" s="71">
        <f>'6.8 INSTALAÇÕES SANITÁRIAS PLUV'!H9</f>
        <v>3152.4917999999998</v>
      </c>
      <c r="D24" s="71" t="s">
        <v>400</v>
      </c>
      <c r="E24" s="71">
        <f t="shared" si="0"/>
        <v>3152.4917999999998</v>
      </c>
      <c r="F24" s="71" t="s">
        <v>400</v>
      </c>
      <c r="G24" s="71" t="s">
        <v>400</v>
      </c>
      <c r="H24" s="71" t="s">
        <v>400</v>
      </c>
      <c r="I24" s="71" t="s">
        <v>400</v>
      </c>
      <c r="J24" s="71" t="s">
        <v>400</v>
      </c>
      <c r="K24" s="71" t="s">
        <v>400</v>
      </c>
      <c r="L24" s="71">
        <f t="shared" si="1"/>
        <v>3152.4917999999998</v>
      </c>
      <c r="M24" s="73">
        <f>L24/L33*100</f>
        <v>1.1213531813498569E-3</v>
      </c>
    </row>
    <row r="25" spans="1:13" ht="18" x14ac:dyDescent="0.25">
      <c r="A25" s="69" t="s">
        <v>282</v>
      </c>
      <c r="B25" s="69" t="s">
        <v>387</v>
      </c>
      <c r="C25" s="71">
        <f>'6.9 INSTALAÇÕES ELÉTRICAS'!H17</f>
        <v>10736.248800000001</v>
      </c>
      <c r="D25" s="71" t="s">
        <v>400</v>
      </c>
      <c r="E25" s="71">
        <f t="shared" si="0"/>
        <v>10736.248800000001</v>
      </c>
      <c r="F25" s="71" t="s">
        <v>400</v>
      </c>
      <c r="G25" s="71" t="s">
        <v>400</v>
      </c>
      <c r="H25" s="71" t="s">
        <v>400</v>
      </c>
      <c r="I25" s="71" t="s">
        <v>400</v>
      </c>
      <c r="J25" s="71" t="s">
        <v>400</v>
      </c>
      <c r="K25" s="71" t="s">
        <v>400</v>
      </c>
      <c r="L25" s="71">
        <f t="shared" si="1"/>
        <v>10736.248800000001</v>
      </c>
      <c r="M25" s="73">
        <f>L25/L33*100</f>
        <v>3.8189240484760613E-3</v>
      </c>
    </row>
    <row r="26" spans="1:13" ht="31.5" customHeight="1" x14ac:dyDescent="0.25">
      <c r="A26" s="69" t="s">
        <v>312</v>
      </c>
      <c r="B26" s="69" t="s">
        <v>197</v>
      </c>
      <c r="C26" s="71" cm="1">
        <f t="array" ref="C26">'6.10 CALÇADA EXTERNA'!H8:H8</f>
        <v>126668.96759999999</v>
      </c>
      <c r="D26" s="71" t="s">
        <v>400</v>
      </c>
      <c r="E26" s="71">
        <f t="shared" si="0"/>
        <v>126668.96759999999</v>
      </c>
      <c r="F26" s="71" t="s">
        <v>400</v>
      </c>
      <c r="G26" s="71" t="s">
        <v>400</v>
      </c>
      <c r="H26" s="71" t="s">
        <v>400</v>
      </c>
      <c r="I26" s="71" t="s">
        <v>400</v>
      </c>
      <c r="J26" s="71" t="s">
        <v>400</v>
      </c>
      <c r="K26" s="71" t="s">
        <v>400</v>
      </c>
      <c r="L26" s="71">
        <f t="shared" si="1"/>
        <v>126668.96759999999</v>
      </c>
      <c r="M26" s="73">
        <f>L26/L33*100</f>
        <v>4.5056627838512359E-2</v>
      </c>
    </row>
    <row r="27" spans="1:13" ht="18" x14ac:dyDescent="0.25">
      <c r="A27" s="69" t="s">
        <v>314</v>
      </c>
      <c r="B27" s="69" t="s">
        <v>388</v>
      </c>
      <c r="C27" s="71">
        <f>'7.1 MÓDULOS FOTOVOLTAICAS'!H6</f>
        <v>102951600</v>
      </c>
      <c r="D27" s="71" t="s">
        <v>400</v>
      </c>
      <c r="E27" s="71" t="s">
        <v>400</v>
      </c>
      <c r="F27" s="71">
        <f>C27</f>
        <v>102951600</v>
      </c>
      <c r="G27" s="71" t="s">
        <v>400</v>
      </c>
      <c r="H27" s="71" t="s">
        <v>400</v>
      </c>
      <c r="I27" s="71" t="s">
        <v>400</v>
      </c>
      <c r="J27" s="71" t="s">
        <v>400</v>
      </c>
      <c r="K27" s="71" t="s">
        <v>400</v>
      </c>
      <c r="L27" s="71">
        <f t="shared" si="1"/>
        <v>102951600</v>
      </c>
      <c r="M27" s="72">
        <f>L27/L33*100</f>
        <v>36.620271045608412</v>
      </c>
    </row>
    <row r="28" spans="1:13" ht="35.25" customHeight="1" x14ac:dyDescent="0.25">
      <c r="A28" s="69" t="s">
        <v>320</v>
      </c>
      <c r="B28" s="69" t="s">
        <v>389</v>
      </c>
      <c r="C28" s="71">
        <f>'7.2 INVERSORES'!H6</f>
        <v>4756374</v>
      </c>
      <c r="D28" s="71" t="s">
        <v>400</v>
      </c>
      <c r="E28" s="71">
        <f>C28</f>
        <v>4756374</v>
      </c>
      <c r="F28" s="71" t="s">
        <v>400</v>
      </c>
      <c r="G28" s="71" t="s">
        <v>400</v>
      </c>
      <c r="H28" s="71" t="s">
        <v>400</v>
      </c>
      <c r="I28" s="71" t="s">
        <v>400</v>
      </c>
      <c r="J28" s="71" t="s">
        <v>400</v>
      </c>
      <c r="K28" s="71" t="s">
        <v>400</v>
      </c>
      <c r="L28" s="71">
        <f t="shared" si="1"/>
        <v>4756374</v>
      </c>
      <c r="M28" s="72">
        <f>L28/L33*100</f>
        <v>1.6918601078009923</v>
      </c>
    </row>
    <row r="29" spans="1:13" ht="36" x14ac:dyDescent="0.25">
      <c r="A29" s="69" t="s">
        <v>324</v>
      </c>
      <c r="B29" s="69" t="s">
        <v>390</v>
      </c>
      <c r="C29" s="71" cm="1">
        <f t="array" ref="C29">'7.3 ESTRUTURA DE SUPORTE METÁLI'!H8:H8</f>
        <v>123703737.84</v>
      </c>
      <c r="D29" s="71" t="s">
        <v>400</v>
      </c>
      <c r="E29" s="71">
        <f>C29</f>
        <v>123703737.84</v>
      </c>
      <c r="F29" s="71" t="s">
        <v>400</v>
      </c>
      <c r="G29" s="71" t="s">
        <v>400</v>
      </c>
      <c r="H29" s="71" t="s">
        <v>400</v>
      </c>
      <c r="I29" s="71" t="s">
        <v>400</v>
      </c>
      <c r="J29" s="71" t="s">
        <v>400</v>
      </c>
      <c r="K29" s="71" t="s">
        <v>400</v>
      </c>
      <c r="L29" s="71">
        <f t="shared" si="1"/>
        <v>123703737.84</v>
      </c>
      <c r="M29" s="72">
        <f>L29/L33*100</f>
        <v>44.001884468582183</v>
      </c>
    </row>
    <row r="30" spans="1:13" ht="18" x14ac:dyDescent="0.25">
      <c r="A30" s="69" t="s">
        <v>339</v>
      </c>
      <c r="B30" s="69" t="s">
        <v>338</v>
      </c>
      <c r="C30" s="71">
        <f>'8.1 INSTALAÇÕES ELÉTRICAS EXTER'!H9</f>
        <v>1422561.0249999999</v>
      </c>
      <c r="D30" s="71" t="s">
        <v>400</v>
      </c>
      <c r="E30" s="71">
        <f>C30</f>
        <v>1422561.0249999999</v>
      </c>
      <c r="F30" s="71" t="s">
        <v>400</v>
      </c>
      <c r="G30" s="71" t="s">
        <v>400</v>
      </c>
      <c r="H30" s="71" t="s">
        <v>400</v>
      </c>
      <c r="I30" s="71" t="s">
        <v>400</v>
      </c>
      <c r="J30" s="71" t="s">
        <v>400</v>
      </c>
      <c r="K30" s="71" t="s">
        <v>400</v>
      </c>
      <c r="L30" s="71">
        <f t="shared" si="1"/>
        <v>1422561.0249999999</v>
      </c>
      <c r="M30" s="72">
        <f>L30/L33*100</f>
        <v>0.50601030303966643</v>
      </c>
    </row>
    <row r="31" spans="1:13" ht="25.5" customHeight="1" x14ac:dyDescent="0.25">
      <c r="A31" s="69">
        <v>9</v>
      </c>
      <c r="B31" s="69" t="s">
        <v>391</v>
      </c>
      <c r="C31" s="71">
        <f>'9 SUBESTAÇÃO		'!H7</f>
        <v>28935785.399999999</v>
      </c>
      <c r="D31" s="71">
        <f>C31</f>
        <v>28935785.399999999</v>
      </c>
      <c r="E31" s="71" t="s">
        <v>400</v>
      </c>
      <c r="F31" s="71" t="s">
        <v>400</v>
      </c>
      <c r="G31" s="71" t="s">
        <v>400</v>
      </c>
      <c r="H31" s="71" t="s">
        <v>400</v>
      </c>
      <c r="I31" s="71" t="s">
        <v>400</v>
      </c>
      <c r="J31" s="71" t="s">
        <v>400</v>
      </c>
      <c r="K31" s="71" t="s">
        <v>400</v>
      </c>
      <c r="L31" s="71">
        <f>D31</f>
        <v>28935785.399999999</v>
      </c>
      <c r="M31" s="72">
        <f>L31/L33*100</f>
        <v>10.292567616875877</v>
      </c>
    </row>
    <row r="32" spans="1:13" ht="25.5" customHeight="1" x14ac:dyDescent="0.25">
      <c r="A32" s="69">
        <v>10</v>
      </c>
      <c r="B32" s="69" t="s">
        <v>392</v>
      </c>
      <c r="C32" s="71">
        <f>'10 ADMINISTRAÇÃO'!H11</f>
        <v>769896</v>
      </c>
      <c r="D32" s="71">
        <f>C32/8</f>
        <v>96237</v>
      </c>
      <c r="E32" s="71">
        <f>C32/8</f>
        <v>96237</v>
      </c>
      <c r="F32" s="71">
        <f>C32/8</f>
        <v>96237</v>
      </c>
      <c r="G32" s="71">
        <f>C32/8</f>
        <v>96237</v>
      </c>
      <c r="H32" s="71">
        <f>C32/8</f>
        <v>96237</v>
      </c>
      <c r="I32" s="71">
        <f>C32/8</f>
        <v>96237</v>
      </c>
      <c r="J32" s="71">
        <f>C32/8</f>
        <v>96237</v>
      </c>
      <c r="K32" s="71">
        <f>C32-D32-E32-F32-G32-H32-I32-J32</f>
        <v>96237</v>
      </c>
      <c r="L32" s="71">
        <f>SUM(D32:K32)</f>
        <v>769896</v>
      </c>
      <c r="M32" s="72">
        <f>L32/L33*100</f>
        <v>0.27385490071965596</v>
      </c>
    </row>
    <row r="33" spans="1:13" s="67" customFormat="1" ht="39.75" customHeight="1" x14ac:dyDescent="0.15">
      <c r="A33" s="244" t="s">
        <v>367</v>
      </c>
      <c r="B33" s="245"/>
      <c r="C33" s="74">
        <f t="shared" ref="C33:M33" si="2">SUM(C2:C32)</f>
        <v>281132818.1372</v>
      </c>
      <c r="D33" s="74">
        <f t="shared" si="2"/>
        <v>30663224.099999998</v>
      </c>
      <c r="E33" s="74">
        <f t="shared" si="2"/>
        <v>140446038.5372</v>
      </c>
      <c r="F33" s="74">
        <f t="shared" si="2"/>
        <v>109542370.5</v>
      </c>
      <c r="G33" s="74">
        <f t="shared" si="2"/>
        <v>96237</v>
      </c>
      <c r="H33" s="74">
        <f t="shared" si="2"/>
        <v>96237</v>
      </c>
      <c r="I33" s="74">
        <f t="shared" si="2"/>
        <v>96237</v>
      </c>
      <c r="J33" s="74">
        <f t="shared" si="2"/>
        <v>96237</v>
      </c>
      <c r="K33" s="74">
        <f t="shared" si="2"/>
        <v>96237</v>
      </c>
      <c r="L33" s="74">
        <f t="shared" si="2"/>
        <v>281132818.1372</v>
      </c>
      <c r="M33" s="75">
        <f t="shared" si="2"/>
        <v>100</v>
      </c>
    </row>
    <row r="36" spans="1:13" ht="30" customHeight="1" x14ac:dyDescent="0.25"/>
  </sheetData>
  <mergeCells count="1">
    <mergeCell ref="A33:B33"/>
  </mergeCells>
  <phoneticPr fontId="25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F4721-8EB9-49BC-89FA-4C2C9A0B3D52}">
  <dimension ref="A1:U39"/>
  <sheetViews>
    <sheetView zoomScale="50" zoomScaleNormal="50" workbookViewId="0">
      <selection activeCell="K6" sqref="K6"/>
    </sheetView>
  </sheetViews>
  <sheetFormatPr defaultRowHeight="15" x14ac:dyDescent="0.25"/>
  <cols>
    <col min="1" max="1" width="6.28515625" customWidth="1"/>
    <col min="2" max="2" width="17.42578125" customWidth="1"/>
    <col min="3" max="3" width="8.140625" bestFit="1" customWidth="1"/>
    <col min="4" max="4" width="17.7109375" bestFit="1" customWidth="1"/>
    <col min="5" max="14" width="17.5703125" bestFit="1" customWidth="1"/>
    <col min="15" max="17" width="11.5703125" hidden="1" customWidth="1"/>
    <col min="18" max="21" width="17.5703125" bestFit="1" customWidth="1"/>
  </cols>
  <sheetData>
    <row r="1" spans="1:21" ht="18" x14ac:dyDescent="0.25">
      <c r="A1" s="80" t="s">
        <v>435</v>
      </c>
      <c r="B1" s="77" t="s">
        <v>405</v>
      </c>
      <c r="C1" s="77" t="s">
        <v>422</v>
      </c>
      <c r="D1" s="77" t="s">
        <v>432</v>
      </c>
      <c r="E1" s="77" t="s">
        <v>429</v>
      </c>
      <c r="F1" s="77" t="s">
        <v>406</v>
      </c>
      <c r="G1" s="77" t="s">
        <v>407</v>
      </c>
      <c r="H1" s="77" t="s">
        <v>408</v>
      </c>
      <c r="I1" s="77" t="s">
        <v>409</v>
      </c>
      <c r="J1" s="77" t="s">
        <v>410</v>
      </c>
      <c r="K1" s="77" t="s">
        <v>411</v>
      </c>
      <c r="L1" s="77" t="s">
        <v>412</v>
      </c>
      <c r="M1" s="77" t="s">
        <v>413</v>
      </c>
      <c r="N1" s="77" t="s">
        <v>414</v>
      </c>
      <c r="O1" s="77" t="s">
        <v>415</v>
      </c>
      <c r="P1" s="77" t="s">
        <v>416</v>
      </c>
      <c r="Q1" s="77" t="s">
        <v>417</v>
      </c>
      <c r="R1" s="77" t="s">
        <v>418</v>
      </c>
      <c r="S1" s="77" t="s">
        <v>419</v>
      </c>
      <c r="T1" s="77" t="s">
        <v>420</v>
      </c>
      <c r="U1" s="77" t="s">
        <v>421</v>
      </c>
    </row>
    <row r="2" spans="1:21" s="84" customFormat="1" ht="40.5" customHeight="1" x14ac:dyDescent="0.25">
      <c r="A2" s="98">
        <v>1</v>
      </c>
      <c r="B2" s="32" t="s">
        <v>428</v>
      </c>
      <c r="C2" s="81"/>
      <c r="D2" s="81">
        <v>48000000</v>
      </c>
      <c r="E2" s="87">
        <v>48000000</v>
      </c>
      <c r="F2" s="87">
        <v>48000000</v>
      </c>
      <c r="G2" s="87">
        <v>48000000</v>
      </c>
      <c r="H2" s="87">
        <v>48000000</v>
      </c>
      <c r="I2" s="87">
        <v>48000000</v>
      </c>
      <c r="J2" s="87">
        <v>48000000</v>
      </c>
      <c r="K2" s="87">
        <v>48000000</v>
      </c>
      <c r="L2" s="87">
        <v>48000000</v>
      </c>
      <c r="M2" s="87">
        <v>48000000</v>
      </c>
      <c r="N2" s="87">
        <v>48000000</v>
      </c>
      <c r="O2" s="87">
        <v>48000000</v>
      </c>
      <c r="P2" s="87">
        <v>48000000</v>
      </c>
      <c r="Q2" s="87">
        <v>48000000</v>
      </c>
      <c r="R2" s="87">
        <v>48000000</v>
      </c>
      <c r="S2" s="87">
        <v>48000000</v>
      </c>
      <c r="T2" s="87">
        <v>48000000</v>
      </c>
      <c r="U2" s="87">
        <v>48000000</v>
      </c>
    </row>
    <row r="3" spans="1:21" s="84" customFormat="1" ht="53.25" customHeight="1" x14ac:dyDescent="0.25">
      <c r="A3" s="98">
        <v>2</v>
      </c>
      <c r="B3" s="32" t="s">
        <v>430</v>
      </c>
      <c r="C3" s="88">
        <v>1</v>
      </c>
      <c r="D3" s="88">
        <v>1</v>
      </c>
      <c r="E3" s="89">
        <v>0.99199999999999999</v>
      </c>
      <c r="F3" s="89">
        <v>0.98399999999999999</v>
      </c>
      <c r="G3" s="89">
        <v>0.97599999999999998</v>
      </c>
      <c r="H3" s="89">
        <v>0.96799999999999997</v>
      </c>
      <c r="I3" s="89">
        <v>0.96</v>
      </c>
      <c r="J3" s="89">
        <v>0.95199999999999996</v>
      </c>
      <c r="K3" s="89">
        <v>0.94399999999999995</v>
      </c>
      <c r="L3" s="89">
        <v>0.93600000000000005</v>
      </c>
      <c r="M3" s="89">
        <v>0.92800000000000005</v>
      </c>
      <c r="N3" s="89">
        <v>0.92</v>
      </c>
      <c r="O3" s="89">
        <v>0.91200000000000003</v>
      </c>
      <c r="P3" s="89">
        <v>0.90400000000000003</v>
      </c>
      <c r="Q3" s="89">
        <v>0.89600000000000002</v>
      </c>
      <c r="R3" s="89">
        <v>0.88800000000000001</v>
      </c>
      <c r="S3" s="89">
        <v>0.88</v>
      </c>
      <c r="T3" s="89">
        <v>0.84</v>
      </c>
      <c r="U3" s="89">
        <v>0.8</v>
      </c>
    </row>
    <row r="4" spans="1:21" s="84" customFormat="1" ht="36" customHeight="1" x14ac:dyDescent="0.25">
      <c r="A4" s="98">
        <v>3</v>
      </c>
      <c r="B4" s="32" t="s">
        <v>423</v>
      </c>
      <c r="C4" s="90" t="s">
        <v>431</v>
      </c>
      <c r="D4" s="90">
        <v>48000000</v>
      </c>
      <c r="E4" s="91">
        <f>D4*E3/100</f>
        <v>476160</v>
      </c>
      <c r="F4" s="92">
        <f>D4*F3/100</f>
        <v>472320</v>
      </c>
      <c r="G4" s="92">
        <f>D4*G3/100</f>
        <v>468480</v>
      </c>
      <c r="H4" s="92">
        <f>D4*H3/100</f>
        <v>464640</v>
      </c>
      <c r="I4" s="92">
        <f>D4*I3/100</f>
        <v>460800</v>
      </c>
      <c r="J4" s="92">
        <f>D4*J3/100</f>
        <v>456960</v>
      </c>
      <c r="K4" s="92">
        <f>D4*K3/100</f>
        <v>453120</v>
      </c>
      <c r="L4" s="92">
        <f>D4*L3/100</f>
        <v>449280</v>
      </c>
      <c r="M4" s="92">
        <f>D4*M3/100</f>
        <v>445440</v>
      </c>
      <c r="N4" s="92">
        <f>D4*N3/100</f>
        <v>441600</v>
      </c>
      <c r="O4" s="92">
        <f>D4*O3/100</f>
        <v>437760</v>
      </c>
      <c r="P4" s="92">
        <f>D4*P3/100</f>
        <v>433920</v>
      </c>
      <c r="Q4" s="92">
        <f>D4*Q3/100</f>
        <v>430080</v>
      </c>
      <c r="R4" s="92">
        <f>D4*R3/100</f>
        <v>426240</v>
      </c>
      <c r="S4" s="92">
        <f>D4*S3/100</f>
        <v>422400</v>
      </c>
      <c r="T4" s="92">
        <f>D4*T3/100</f>
        <v>403200</v>
      </c>
      <c r="U4" s="92">
        <f>D4*U3/100</f>
        <v>384000</v>
      </c>
    </row>
    <row r="5" spans="1:21" s="84" customFormat="1" ht="47.25" customHeight="1" x14ac:dyDescent="0.25">
      <c r="A5" s="98">
        <v>4</v>
      </c>
      <c r="B5" s="32" t="s">
        <v>424</v>
      </c>
      <c r="C5" s="81"/>
      <c r="D5" s="88">
        <v>1</v>
      </c>
      <c r="E5" s="93">
        <v>1</v>
      </c>
      <c r="F5" s="93">
        <v>1</v>
      </c>
      <c r="G5" s="93">
        <v>1</v>
      </c>
      <c r="H5" s="93">
        <v>1</v>
      </c>
      <c r="I5" s="93">
        <v>1</v>
      </c>
      <c r="J5" s="93">
        <v>1</v>
      </c>
      <c r="K5" s="93">
        <v>1</v>
      </c>
      <c r="L5" s="93">
        <v>1</v>
      </c>
      <c r="M5" s="93">
        <v>1</v>
      </c>
      <c r="N5" s="93">
        <v>1</v>
      </c>
      <c r="O5" s="93">
        <v>1</v>
      </c>
      <c r="P5" s="93">
        <v>1</v>
      </c>
      <c r="Q5" s="93">
        <v>1</v>
      </c>
      <c r="R5" s="93">
        <v>1</v>
      </c>
      <c r="S5" s="93">
        <v>1</v>
      </c>
      <c r="T5" s="93">
        <v>1</v>
      </c>
      <c r="U5" s="93">
        <v>1</v>
      </c>
    </row>
    <row r="6" spans="1:21" s="84" customFormat="1" ht="45" customHeight="1" x14ac:dyDescent="0.25">
      <c r="A6" s="98">
        <v>5</v>
      </c>
      <c r="B6" s="32" t="s">
        <v>425</v>
      </c>
      <c r="C6" s="83">
        <v>0.88</v>
      </c>
      <c r="D6" s="83">
        <v>0.88</v>
      </c>
      <c r="E6" s="94">
        <v>0.88</v>
      </c>
      <c r="F6" s="94">
        <v>0.88</v>
      </c>
      <c r="G6" s="94">
        <v>0.88</v>
      </c>
      <c r="H6" s="94">
        <v>0.88</v>
      </c>
      <c r="I6" s="94">
        <v>0.88</v>
      </c>
      <c r="J6" s="94">
        <v>0.88</v>
      </c>
      <c r="K6" s="94">
        <v>0.88</v>
      </c>
      <c r="L6" s="94">
        <v>0.88</v>
      </c>
      <c r="M6" s="94">
        <v>0.88</v>
      </c>
      <c r="N6" s="94">
        <v>0.88</v>
      </c>
      <c r="O6" s="94">
        <v>0.88</v>
      </c>
      <c r="P6" s="94">
        <v>0.88</v>
      </c>
      <c r="Q6" s="94">
        <v>0.88</v>
      </c>
      <c r="R6" s="94">
        <v>0.88</v>
      </c>
      <c r="S6" s="94">
        <v>0.88</v>
      </c>
      <c r="T6" s="94">
        <v>0.88</v>
      </c>
      <c r="U6" s="94">
        <v>0.88</v>
      </c>
    </row>
    <row r="7" spans="1:21" s="84" customFormat="1" ht="45.75" customHeight="1" x14ac:dyDescent="0.25">
      <c r="A7" s="98">
        <v>6</v>
      </c>
      <c r="B7" s="97" t="s">
        <v>426</v>
      </c>
      <c r="C7" s="81"/>
      <c r="D7" s="82">
        <f>C6*D4</f>
        <v>42240000</v>
      </c>
      <c r="E7" s="83">
        <v>42240000</v>
      </c>
      <c r="F7" s="83">
        <v>42240000</v>
      </c>
      <c r="G7" s="83">
        <v>42240000</v>
      </c>
      <c r="H7" s="83">
        <v>42240000</v>
      </c>
      <c r="I7" s="83">
        <v>42240000</v>
      </c>
      <c r="J7" s="83">
        <v>42240000</v>
      </c>
      <c r="K7" s="83">
        <v>42240000</v>
      </c>
      <c r="L7" s="83">
        <v>42240000</v>
      </c>
      <c r="M7" s="83">
        <v>42240000</v>
      </c>
      <c r="N7" s="83">
        <v>42240000</v>
      </c>
      <c r="O7" s="83">
        <v>42240000</v>
      </c>
      <c r="P7" s="83">
        <v>42240000</v>
      </c>
      <c r="Q7" s="83">
        <v>42240000</v>
      </c>
      <c r="R7" s="83">
        <v>42240000</v>
      </c>
      <c r="S7" s="83">
        <v>42240000</v>
      </c>
      <c r="T7" s="83">
        <v>42240000</v>
      </c>
      <c r="U7" s="83">
        <v>42240000</v>
      </c>
    </row>
    <row r="8" spans="1:21" s="84" customFormat="1" ht="50.25" customHeight="1" x14ac:dyDescent="0.25">
      <c r="A8" s="98">
        <v>7</v>
      </c>
      <c r="B8" s="32" t="s">
        <v>434</v>
      </c>
      <c r="C8" s="95">
        <v>0.8</v>
      </c>
      <c r="D8" s="95">
        <v>0.8</v>
      </c>
      <c r="E8" s="95">
        <v>0.8</v>
      </c>
      <c r="F8" s="95">
        <v>0.8</v>
      </c>
      <c r="G8" s="95">
        <v>0.8</v>
      </c>
      <c r="H8" s="95">
        <v>0.8</v>
      </c>
      <c r="I8" s="95">
        <v>0.8</v>
      </c>
      <c r="J8" s="95">
        <v>0.8</v>
      </c>
      <c r="K8" s="95">
        <v>0.8</v>
      </c>
      <c r="L8" s="95">
        <v>0.8</v>
      </c>
      <c r="M8" s="95">
        <v>0.8</v>
      </c>
      <c r="N8" s="95">
        <v>0.8</v>
      </c>
      <c r="O8" s="95">
        <v>0.8</v>
      </c>
      <c r="P8" s="95">
        <v>0.8</v>
      </c>
      <c r="Q8" s="95">
        <v>0.8</v>
      </c>
      <c r="R8" s="95">
        <v>0.8</v>
      </c>
      <c r="S8" s="95">
        <v>0.8</v>
      </c>
      <c r="T8" s="95">
        <v>0.8</v>
      </c>
      <c r="U8" s="95">
        <v>0.8</v>
      </c>
    </row>
    <row r="9" spans="1:21" s="84" customFormat="1" ht="38.25" customHeight="1" x14ac:dyDescent="0.25">
      <c r="A9" s="98">
        <v>8</v>
      </c>
      <c r="B9" s="97" t="s">
        <v>427</v>
      </c>
      <c r="C9" s="81" t="s">
        <v>400</v>
      </c>
      <c r="D9" s="81" t="s">
        <v>400</v>
      </c>
      <c r="E9" s="96" t="s">
        <v>400</v>
      </c>
      <c r="F9" s="81" t="s">
        <v>400</v>
      </c>
      <c r="G9" s="81" t="s">
        <v>400</v>
      </c>
      <c r="H9" s="81" t="s">
        <v>400</v>
      </c>
      <c r="I9" s="81" t="s">
        <v>400</v>
      </c>
      <c r="J9" s="81" t="s">
        <v>400</v>
      </c>
      <c r="K9" s="81" t="s">
        <v>400</v>
      </c>
      <c r="L9" s="81" t="s">
        <v>400</v>
      </c>
      <c r="M9" s="81" t="s">
        <v>400</v>
      </c>
      <c r="N9" s="81" t="s">
        <v>400</v>
      </c>
      <c r="O9" s="81" t="s">
        <v>400</v>
      </c>
      <c r="P9" s="81" t="s">
        <v>400</v>
      </c>
      <c r="Q9" s="81" t="s">
        <v>400</v>
      </c>
      <c r="R9" s="81" t="s">
        <v>400</v>
      </c>
      <c r="S9" s="81" t="s">
        <v>400</v>
      </c>
      <c r="T9" s="81" t="s">
        <v>400</v>
      </c>
      <c r="U9" s="81" t="s">
        <v>400</v>
      </c>
    </row>
    <row r="10" spans="1:21" s="84" customFormat="1" ht="49.5" customHeight="1" x14ac:dyDescent="0.25">
      <c r="A10" s="98">
        <v>9</v>
      </c>
      <c r="B10" s="32" t="s">
        <v>433</v>
      </c>
      <c r="C10" s="83">
        <v>0.8</v>
      </c>
      <c r="D10" s="83">
        <f>C10*D4</f>
        <v>38400000</v>
      </c>
      <c r="E10" s="94">
        <v>38400000</v>
      </c>
      <c r="F10" s="94">
        <v>38400000</v>
      </c>
      <c r="G10" s="94">
        <v>38400000</v>
      </c>
      <c r="H10" s="94">
        <v>38400000</v>
      </c>
      <c r="I10" s="94">
        <v>38400000</v>
      </c>
      <c r="J10" s="94">
        <v>38400000</v>
      </c>
      <c r="K10" s="94">
        <v>38400000</v>
      </c>
      <c r="L10" s="94">
        <v>38400000</v>
      </c>
      <c r="M10" s="94">
        <v>38400000</v>
      </c>
      <c r="N10" s="94">
        <v>38400000</v>
      </c>
      <c r="O10" s="94">
        <v>38400000</v>
      </c>
      <c r="P10" s="94">
        <v>38400000</v>
      </c>
      <c r="Q10" s="94">
        <v>38400000</v>
      </c>
      <c r="R10" s="94">
        <v>38400000</v>
      </c>
      <c r="S10" s="94">
        <v>38400000</v>
      </c>
      <c r="T10" s="94">
        <v>38400000</v>
      </c>
      <c r="U10" s="94">
        <v>38400000</v>
      </c>
    </row>
    <row r="11" spans="1:21" s="84" customFormat="1" ht="30.75" customHeight="1" x14ac:dyDescent="0.25">
      <c r="A11" s="98">
        <v>10</v>
      </c>
      <c r="B11" s="32" t="s">
        <v>436</v>
      </c>
      <c r="C11" s="81"/>
      <c r="D11" s="81"/>
      <c r="E11" s="91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</row>
    <row r="12" spans="1:21" s="85" customFormat="1" ht="25.5" customHeight="1" x14ac:dyDescent="0.25">
      <c r="A12" s="86">
        <v>11</v>
      </c>
      <c r="B12" s="246" t="s">
        <v>437</v>
      </c>
      <c r="C12" s="246"/>
      <c r="D12" s="246"/>
      <c r="E12" s="246"/>
      <c r="F12" s="246"/>
      <c r="G12" s="246"/>
      <c r="H12" s="246"/>
      <c r="I12" s="246"/>
      <c r="J12" s="246"/>
      <c r="K12" s="246"/>
      <c r="L12" s="246"/>
      <c r="M12" s="246"/>
      <c r="N12" s="246"/>
      <c r="O12" s="246"/>
      <c r="P12" s="246"/>
      <c r="Q12" s="246"/>
      <c r="R12" s="246"/>
      <c r="S12" s="246"/>
      <c r="T12" s="246"/>
      <c r="U12" s="246"/>
    </row>
    <row r="13" spans="1:21" s="84" customFormat="1" ht="119.25" customHeight="1" x14ac:dyDescent="0.25">
      <c r="A13" s="247" t="s">
        <v>438</v>
      </c>
      <c r="B13" s="248"/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</row>
    <row r="14" spans="1:21" x14ac:dyDescent="0.25">
      <c r="B14" s="76"/>
      <c r="C14" s="76"/>
      <c r="D14" s="76"/>
      <c r="E14" s="78"/>
    </row>
    <row r="15" spans="1:21" x14ac:dyDescent="0.25">
      <c r="B15" s="76"/>
      <c r="C15" s="76"/>
      <c r="D15" s="76"/>
    </row>
    <row r="16" spans="1:21" x14ac:dyDescent="0.25">
      <c r="B16" s="76"/>
      <c r="C16" s="76"/>
      <c r="D16" s="76"/>
    </row>
    <row r="17" spans="2:5" x14ac:dyDescent="0.25">
      <c r="B17" s="76"/>
      <c r="C17" s="76"/>
      <c r="D17" s="76"/>
    </row>
    <row r="18" spans="2:5" x14ac:dyDescent="0.25">
      <c r="B18" s="76"/>
      <c r="C18" s="76"/>
      <c r="D18" s="76"/>
    </row>
    <row r="19" spans="2:5" x14ac:dyDescent="0.25">
      <c r="B19" s="76"/>
      <c r="C19" s="76"/>
      <c r="D19" s="76"/>
    </row>
    <row r="20" spans="2:5" x14ac:dyDescent="0.25">
      <c r="B20" s="76"/>
      <c r="C20" s="76"/>
      <c r="D20" s="76"/>
    </row>
    <row r="21" spans="2:5" x14ac:dyDescent="0.25">
      <c r="B21" s="76"/>
      <c r="C21" s="76"/>
      <c r="D21" s="76"/>
    </row>
    <row r="22" spans="2:5" x14ac:dyDescent="0.25">
      <c r="B22" s="76"/>
      <c r="C22" s="76"/>
      <c r="D22" s="76"/>
    </row>
    <row r="23" spans="2:5" x14ac:dyDescent="0.25">
      <c r="B23" s="76"/>
      <c r="C23" s="76"/>
      <c r="D23" s="76"/>
    </row>
    <row r="24" spans="2:5" x14ac:dyDescent="0.25">
      <c r="B24" s="76"/>
      <c r="C24" s="76"/>
      <c r="D24" s="76"/>
    </row>
    <row r="25" spans="2:5" x14ac:dyDescent="0.25">
      <c r="B25" s="76"/>
      <c r="C25" s="76"/>
      <c r="D25" s="76"/>
    </row>
    <row r="26" spans="2:5" x14ac:dyDescent="0.25">
      <c r="B26" s="76"/>
      <c r="C26" s="76"/>
      <c r="D26" s="76"/>
    </row>
    <row r="27" spans="2:5" x14ac:dyDescent="0.25">
      <c r="B27" s="76"/>
      <c r="C27" s="76"/>
      <c r="D27" s="76"/>
    </row>
    <row r="28" spans="2:5" x14ac:dyDescent="0.25">
      <c r="B28" s="76"/>
      <c r="C28" s="76"/>
      <c r="D28" s="76"/>
    </row>
    <row r="29" spans="2:5" x14ac:dyDescent="0.25">
      <c r="B29" s="76"/>
      <c r="C29" s="76"/>
      <c r="D29" s="76"/>
    </row>
    <row r="30" spans="2:5" x14ac:dyDescent="0.25">
      <c r="B30" s="76"/>
      <c r="C30" s="76"/>
      <c r="D30" s="76"/>
      <c r="E30" s="78"/>
    </row>
    <row r="31" spans="2:5" x14ac:dyDescent="0.25">
      <c r="B31" s="76"/>
      <c r="C31" s="76"/>
      <c r="D31" s="76"/>
      <c r="E31" s="78"/>
    </row>
    <row r="32" spans="2:5" x14ac:dyDescent="0.25">
      <c r="B32" s="76"/>
      <c r="C32" s="76"/>
      <c r="D32" s="76"/>
      <c r="E32" s="78"/>
    </row>
    <row r="33" spans="2:5" x14ac:dyDescent="0.25">
      <c r="B33" s="76"/>
      <c r="C33" s="76"/>
      <c r="D33" s="76"/>
      <c r="E33" s="78"/>
    </row>
    <row r="34" spans="2:5" x14ac:dyDescent="0.25">
      <c r="B34" s="76"/>
      <c r="C34" s="76"/>
      <c r="D34" s="76"/>
    </row>
    <row r="35" spans="2:5" x14ac:dyDescent="0.25">
      <c r="B35" s="76"/>
      <c r="C35" s="76"/>
      <c r="D35" s="76"/>
      <c r="E35" s="78"/>
    </row>
    <row r="36" spans="2:5" x14ac:dyDescent="0.25">
      <c r="B36" s="76"/>
      <c r="C36" s="76"/>
      <c r="D36" s="76"/>
      <c r="E36" s="78"/>
    </row>
    <row r="37" spans="2:5" x14ac:dyDescent="0.25">
      <c r="B37" s="76"/>
      <c r="C37" s="76"/>
      <c r="D37" s="76"/>
      <c r="E37" s="78"/>
    </row>
    <row r="38" spans="2:5" x14ac:dyDescent="0.25">
      <c r="B38" s="76"/>
      <c r="C38" s="76"/>
      <c r="D38" s="76"/>
      <c r="E38" s="78"/>
    </row>
    <row r="39" spans="2:5" x14ac:dyDescent="0.25">
      <c r="B39" s="76"/>
      <c r="C39" s="76"/>
      <c r="D39" s="76"/>
    </row>
  </sheetData>
  <mergeCells count="2">
    <mergeCell ref="B12:U12"/>
    <mergeCell ref="A13:U1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DC109-CBE7-46BA-84B3-D4CC4C30BD53}">
  <dimension ref="A1:C36"/>
  <sheetViews>
    <sheetView topLeftCell="A18" zoomScale="85" zoomScaleNormal="85" workbookViewId="0">
      <selection sqref="A1:C35"/>
    </sheetView>
  </sheetViews>
  <sheetFormatPr defaultRowHeight="15" x14ac:dyDescent="0.25"/>
  <cols>
    <col min="1" max="1" width="53" customWidth="1"/>
    <col min="2" max="2" width="21.7109375" customWidth="1"/>
    <col min="3" max="3" width="20.42578125" customWidth="1"/>
  </cols>
  <sheetData>
    <row r="1" spans="1:3" x14ac:dyDescent="0.25">
      <c r="A1" s="249" t="s">
        <v>472</v>
      </c>
      <c r="B1" s="250"/>
      <c r="C1" s="250"/>
    </row>
    <row r="2" spans="1:3" x14ac:dyDescent="0.25">
      <c r="A2" s="251"/>
      <c r="B2" s="251"/>
      <c r="C2" s="251"/>
    </row>
    <row r="3" spans="1:3" ht="21" customHeight="1" x14ac:dyDescent="0.25">
      <c r="A3" s="100"/>
      <c r="B3" s="101" t="s">
        <v>439</v>
      </c>
      <c r="C3" s="101" t="s">
        <v>440</v>
      </c>
    </row>
    <row r="4" spans="1:3" x14ac:dyDescent="0.25">
      <c r="A4" s="102" t="s">
        <v>441</v>
      </c>
      <c r="B4" s="110">
        <v>1000</v>
      </c>
      <c r="C4" s="108">
        <f>B4*12</f>
        <v>12000</v>
      </c>
    </row>
    <row r="5" spans="1:3" x14ac:dyDescent="0.25">
      <c r="A5" s="102" t="s">
        <v>442</v>
      </c>
      <c r="B5" s="110"/>
      <c r="C5" s="108">
        <f t="shared" ref="C5:C34" si="0">B5*12</f>
        <v>0</v>
      </c>
    </row>
    <row r="6" spans="1:3" x14ac:dyDescent="0.25">
      <c r="A6" s="102" t="s">
        <v>443</v>
      </c>
      <c r="B6" s="110">
        <v>1000</v>
      </c>
      <c r="C6" s="108">
        <f t="shared" si="0"/>
        <v>12000</v>
      </c>
    </row>
    <row r="7" spans="1:3" x14ac:dyDescent="0.25">
      <c r="A7" s="102" t="s">
        <v>444</v>
      </c>
      <c r="B7" s="110">
        <v>2000</v>
      </c>
      <c r="C7" s="108">
        <f t="shared" si="0"/>
        <v>24000</v>
      </c>
    </row>
    <row r="8" spans="1:3" x14ac:dyDescent="0.25">
      <c r="A8" s="102" t="s">
        <v>445</v>
      </c>
      <c r="B8" s="110">
        <v>10000</v>
      </c>
      <c r="C8" s="108">
        <f t="shared" si="0"/>
        <v>120000</v>
      </c>
    </row>
    <row r="9" spans="1:3" x14ac:dyDescent="0.25">
      <c r="A9" s="102" t="s">
        <v>446</v>
      </c>
      <c r="B9" s="110">
        <v>10000</v>
      </c>
      <c r="C9" s="108">
        <f t="shared" si="0"/>
        <v>120000</v>
      </c>
    </row>
    <row r="10" spans="1:3" x14ac:dyDescent="0.25">
      <c r="A10" s="102" t="s">
        <v>447</v>
      </c>
      <c r="B10" s="110">
        <v>500</v>
      </c>
      <c r="C10" s="108">
        <f t="shared" si="0"/>
        <v>6000</v>
      </c>
    </row>
    <row r="11" spans="1:3" x14ac:dyDescent="0.25">
      <c r="A11" s="102" t="s">
        <v>466</v>
      </c>
      <c r="B11" s="110">
        <v>5000</v>
      </c>
      <c r="C11" s="108">
        <f t="shared" si="0"/>
        <v>60000</v>
      </c>
    </row>
    <row r="12" spans="1:3" x14ac:dyDescent="0.25">
      <c r="A12" s="102" t="s">
        <v>448</v>
      </c>
      <c r="B12" s="110">
        <v>10000</v>
      </c>
      <c r="C12" s="108">
        <f t="shared" si="0"/>
        <v>120000</v>
      </c>
    </row>
    <row r="13" spans="1:3" x14ac:dyDescent="0.25">
      <c r="A13" s="102" t="s">
        <v>465</v>
      </c>
      <c r="B13" s="110">
        <v>1000</v>
      </c>
      <c r="C13" s="108">
        <f t="shared" si="0"/>
        <v>12000</v>
      </c>
    </row>
    <row r="14" spans="1:3" x14ac:dyDescent="0.25">
      <c r="A14" s="102" t="s">
        <v>449</v>
      </c>
      <c r="B14" s="110">
        <v>2500</v>
      </c>
      <c r="C14" s="108">
        <f t="shared" si="0"/>
        <v>30000</v>
      </c>
    </row>
    <row r="15" spans="1:3" x14ac:dyDescent="0.25">
      <c r="A15" s="102" t="s">
        <v>450</v>
      </c>
      <c r="B15" s="110"/>
      <c r="C15" s="108">
        <f t="shared" si="0"/>
        <v>0</v>
      </c>
    </row>
    <row r="16" spans="1:3" x14ac:dyDescent="0.25">
      <c r="A16" s="102" t="s">
        <v>451</v>
      </c>
      <c r="B16" s="110">
        <v>50000</v>
      </c>
      <c r="C16" s="108">
        <f>B16*12</f>
        <v>600000</v>
      </c>
    </row>
    <row r="17" spans="1:3" x14ac:dyDescent="0.25">
      <c r="A17" s="102" t="s">
        <v>452</v>
      </c>
      <c r="B17" s="110">
        <v>1200</v>
      </c>
      <c r="C17" s="108">
        <f t="shared" si="0"/>
        <v>14400</v>
      </c>
    </row>
    <row r="18" spans="1:3" x14ac:dyDescent="0.25">
      <c r="A18" s="102" t="s">
        <v>467</v>
      </c>
      <c r="B18" s="110">
        <v>1000</v>
      </c>
      <c r="C18" s="108">
        <f t="shared" si="0"/>
        <v>12000</v>
      </c>
    </row>
    <row r="19" spans="1:3" x14ac:dyDescent="0.25">
      <c r="A19" s="102" t="s">
        <v>453</v>
      </c>
      <c r="B19" s="110">
        <v>250</v>
      </c>
      <c r="C19" s="108">
        <f t="shared" si="0"/>
        <v>3000</v>
      </c>
    </row>
    <row r="20" spans="1:3" x14ac:dyDescent="0.25">
      <c r="A20" s="102" t="s">
        <v>454</v>
      </c>
      <c r="B20" s="110">
        <v>250</v>
      </c>
      <c r="C20" s="108">
        <f t="shared" si="0"/>
        <v>3000</v>
      </c>
    </row>
    <row r="21" spans="1:3" x14ac:dyDescent="0.25">
      <c r="A21" s="102" t="s">
        <v>455</v>
      </c>
      <c r="B21" s="110">
        <v>50</v>
      </c>
      <c r="C21" s="108">
        <f t="shared" si="0"/>
        <v>600</v>
      </c>
    </row>
    <row r="22" spans="1:3" x14ac:dyDescent="0.25">
      <c r="A22" s="102" t="s">
        <v>456</v>
      </c>
      <c r="B22" s="110">
        <v>2000</v>
      </c>
      <c r="C22" s="108">
        <f t="shared" si="0"/>
        <v>24000</v>
      </c>
    </row>
    <row r="23" spans="1:3" x14ac:dyDescent="0.25">
      <c r="A23" s="102" t="s">
        <v>457</v>
      </c>
      <c r="B23" s="110">
        <v>4000</v>
      </c>
      <c r="C23" s="108">
        <f t="shared" si="0"/>
        <v>48000</v>
      </c>
    </row>
    <row r="24" spans="1:3" x14ac:dyDescent="0.25">
      <c r="A24" s="102" t="s">
        <v>458</v>
      </c>
      <c r="B24" s="110">
        <v>85</v>
      </c>
      <c r="C24" s="108">
        <f t="shared" si="0"/>
        <v>1020</v>
      </c>
    </row>
    <row r="25" spans="1:3" x14ac:dyDescent="0.25">
      <c r="A25" s="102" t="s">
        <v>459</v>
      </c>
      <c r="B25" s="110">
        <v>416.67</v>
      </c>
      <c r="C25" s="108">
        <f t="shared" si="0"/>
        <v>5000.04</v>
      </c>
    </row>
    <row r="26" spans="1:3" x14ac:dyDescent="0.25">
      <c r="A26" s="102" t="s">
        <v>460</v>
      </c>
      <c r="B26" s="110"/>
      <c r="C26" s="108">
        <f t="shared" si="0"/>
        <v>0</v>
      </c>
    </row>
    <row r="27" spans="1:3" x14ac:dyDescent="0.25">
      <c r="A27" s="102" t="s">
        <v>461</v>
      </c>
      <c r="B27" s="110">
        <v>50</v>
      </c>
      <c r="C27" s="108">
        <f>B27*12</f>
        <v>600</v>
      </c>
    </row>
    <row r="28" spans="1:3" x14ac:dyDescent="0.25">
      <c r="A28" s="102" t="s">
        <v>462</v>
      </c>
      <c r="B28" s="110">
        <v>500</v>
      </c>
      <c r="C28" s="108">
        <f t="shared" si="0"/>
        <v>6000</v>
      </c>
    </row>
    <row r="29" spans="1:3" ht="40.5" x14ac:dyDescent="0.25">
      <c r="A29" s="103" t="s">
        <v>470</v>
      </c>
      <c r="B29" s="110">
        <v>68634</v>
      </c>
      <c r="C29" s="108">
        <f t="shared" si="0"/>
        <v>823608</v>
      </c>
    </row>
    <row r="30" spans="1:3" ht="40.5" x14ac:dyDescent="0.25">
      <c r="A30" s="102" t="s">
        <v>471</v>
      </c>
      <c r="B30" s="110">
        <v>7927.29</v>
      </c>
      <c r="C30" s="108">
        <f t="shared" si="0"/>
        <v>95127.48</v>
      </c>
    </row>
    <row r="31" spans="1:3" x14ac:dyDescent="0.25">
      <c r="A31" s="106" t="s">
        <v>463</v>
      </c>
      <c r="B31" s="104"/>
      <c r="C31" s="109"/>
    </row>
    <row r="32" spans="1:3" x14ac:dyDescent="0.25">
      <c r="A32" s="105" t="s">
        <v>464</v>
      </c>
      <c r="B32" s="110">
        <v>31000</v>
      </c>
      <c r="C32" s="108">
        <f t="shared" si="0"/>
        <v>372000</v>
      </c>
    </row>
    <row r="33" spans="1:3" x14ac:dyDescent="0.25">
      <c r="A33" s="105" t="s">
        <v>469</v>
      </c>
      <c r="B33" s="110"/>
      <c r="C33" s="108">
        <f t="shared" si="0"/>
        <v>0</v>
      </c>
    </row>
    <row r="34" spans="1:3" x14ac:dyDescent="0.25">
      <c r="A34" s="105" t="s">
        <v>468</v>
      </c>
      <c r="B34" s="110">
        <v>24800</v>
      </c>
      <c r="C34" s="108">
        <f t="shared" si="0"/>
        <v>297600</v>
      </c>
    </row>
    <row r="35" spans="1:3" x14ac:dyDescent="0.25">
      <c r="A35" s="79"/>
      <c r="B35" s="111">
        <f>SUM(B4:B34)</f>
        <v>235162.96</v>
      </c>
      <c r="C35" s="111">
        <f>SUM(C4:C34)</f>
        <v>2821955.52</v>
      </c>
    </row>
    <row r="36" spans="1:3" x14ac:dyDescent="0.25">
      <c r="B36" s="124"/>
      <c r="C36" s="124"/>
    </row>
  </sheetData>
  <mergeCells count="3">
    <mergeCell ref="B36:C36"/>
    <mergeCell ref="A1:C1"/>
    <mergeCell ref="A2:C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81C93-AAFF-4751-A03C-00578276BC53}">
  <dimension ref="A1:B17"/>
  <sheetViews>
    <sheetView zoomScale="85" zoomScaleNormal="85" workbookViewId="0">
      <selection activeCell="B2" sqref="B2"/>
    </sheetView>
  </sheetViews>
  <sheetFormatPr defaultRowHeight="15" x14ac:dyDescent="0.25"/>
  <cols>
    <col min="1" max="1" width="69.85546875" customWidth="1"/>
    <col min="2" max="2" width="35" customWidth="1"/>
  </cols>
  <sheetData>
    <row r="1" spans="1:2" x14ac:dyDescent="0.25">
      <c r="A1" s="253" t="s">
        <v>473</v>
      </c>
      <c r="B1" s="253"/>
    </row>
    <row r="2" spans="1:2" x14ac:dyDescent="0.25">
      <c r="A2" s="107" t="s">
        <v>474</v>
      </c>
      <c r="B2" s="107" t="s">
        <v>490</v>
      </c>
    </row>
    <row r="3" spans="1:2" x14ac:dyDescent="0.25">
      <c r="A3" s="112" t="s">
        <v>475</v>
      </c>
      <c r="B3" s="99"/>
    </row>
    <row r="4" spans="1:2" x14ac:dyDescent="0.25">
      <c r="A4" s="112" t="s">
        <v>476</v>
      </c>
      <c r="B4" s="99"/>
    </row>
    <row r="5" spans="1:2" x14ac:dyDescent="0.25">
      <c r="A5" s="112" t="s">
        <v>477</v>
      </c>
      <c r="B5" s="99"/>
    </row>
    <row r="6" spans="1:2" x14ac:dyDescent="0.25">
      <c r="A6" s="112" t="s">
        <v>478</v>
      </c>
      <c r="B6" s="99"/>
    </row>
    <row r="7" spans="1:2" x14ac:dyDescent="0.25">
      <c r="A7" s="112" t="s">
        <v>479</v>
      </c>
      <c r="B7" s="99"/>
    </row>
    <row r="8" spans="1:2" x14ac:dyDescent="0.25">
      <c r="A8" s="112" t="s">
        <v>480</v>
      </c>
      <c r="B8" s="112"/>
    </row>
    <row r="9" spans="1:2" x14ac:dyDescent="0.25">
      <c r="A9" s="112" t="s">
        <v>481</v>
      </c>
      <c r="B9" s="99"/>
    </row>
    <row r="10" spans="1:2" x14ac:dyDescent="0.25">
      <c r="A10" s="115" t="s">
        <v>482</v>
      </c>
      <c r="B10" s="99"/>
    </row>
    <row r="11" spans="1:2" x14ac:dyDescent="0.25">
      <c r="A11" s="252"/>
      <c r="B11" s="252"/>
    </row>
    <row r="12" spans="1:2" x14ac:dyDescent="0.25">
      <c r="A12" s="114" t="s">
        <v>483</v>
      </c>
      <c r="B12" s="114" t="s">
        <v>484</v>
      </c>
    </row>
    <row r="13" spans="1:2" x14ac:dyDescent="0.25">
      <c r="A13" s="112" t="s">
        <v>485</v>
      </c>
      <c r="B13" s="112"/>
    </row>
    <row r="14" spans="1:2" x14ac:dyDescent="0.25">
      <c r="A14" s="112" t="s">
        <v>486</v>
      </c>
      <c r="B14" s="112"/>
    </row>
    <row r="15" spans="1:2" x14ac:dyDescent="0.25">
      <c r="A15" s="112" t="s">
        <v>487</v>
      </c>
      <c r="B15" s="112"/>
    </row>
    <row r="16" spans="1:2" x14ac:dyDescent="0.25">
      <c r="A16" s="112" t="s">
        <v>488</v>
      </c>
      <c r="B16" s="112"/>
    </row>
    <row r="17" spans="1:2" x14ac:dyDescent="0.25">
      <c r="A17" s="116" t="s">
        <v>489</v>
      </c>
      <c r="B17" s="113"/>
    </row>
  </sheetData>
  <mergeCells count="2">
    <mergeCell ref="A11:B11"/>
    <mergeCell ref="A1:B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4A55-968D-456C-B1A6-F3B1B1C12B3B}">
  <dimension ref="A1:H27"/>
  <sheetViews>
    <sheetView tabSelected="1" topLeftCell="A10" workbookViewId="0">
      <selection activeCell="J26" sqref="J26"/>
    </sheetView>
  </sheetViews>
  <sheetFormatPr defaultRowHeight="15" x14ac:dyDescent="0.25"/>
  <cols>
    <col min="2" max="2" width="11.140625" bestFit="1" customWidth="1"/>
    <col min="3" max="3" width="14.7109375" bestFit="1" customWidth="1"/>
    <col min="4" max="4" width="13.7109375" bestFit="1" customWidth="1"/>
    <col min="5" max="5" width="11.140625" bestFit="1" customWidth="1"/>
    <col min="6" max="6" width="11.85546875" bestFit="1" customWidth="1"/>
    <col min="7" max="7" width="12.28515625" bestFit="1" customWidth="1"/>
    <col min="8" max="8" width="14.42578125" bestFit="1" customWidth="1"/>
  </cols>
  <sheetData>
    <row r="1" spans="1:8" x14ac:dyDescent="0.25">
      <c r="A1" s="256"/>
      <c r="B1" s="259" t="s">
        <v>502</v>
      </c>
      <c r="C1" s="259" t="s">
        <v>504</v>
      </c>
      <c r="D1" s="259" t="s">
        <v>506</v>
      </c>
      <c r="E1" s="262" t="s">
        <v>491</v>
      </c>
      <c r="F1" s="262" t="s">
        <v>492</v>
      </c>
      <c r="G1" s="259" t="s">
        <v>509</v>
      </c>
      <c r="H1" s="264" t="s">
        <v>511</v>
      </c>
    </row>
    <row r="2" spans="1:8" x14ac:dyDescent="0.25">
      <c r="A2" s="257"/>
      <c r="B2" s="260" t="s">
        <v>503</v>
      </c>
      <c r="C2" s="266" t="s">
        <v>505</v>
      </c>
      <c r="D2" s="266" t="s">
        <v>507</v>
      </c>
      <c r="E2" s="263"/>
      <c r="F2" s="263"/>
      <c r="G2" s="266" t="s">
        <v>508</v>
      </c>
      <c r="H2" s="265" t="s">
        <v>510</v>
      </c>
    </row>
    <row r="3" spans="1:8" x14ac:dyDescent="0.25">
      <c r="A3" s="258" t="s">
        <v>429</v>
      </c>
      <c r="B3" s="254">
        <v>38400000</v>
      </c>
      <c r="C3" s="254">
        <v>2821955.52</v>
      </c>
      <c r="D3" s="254">
        <v>12983179.439999999</v>
      </c>
      <c r="E3" s="254">
        <v>22594865.039999999</v>
      </c>
      <c r="F3" s="254">
        <v>6552510.8615999985</v>
      </c>
      <c r="G3" s="254">
        <v>16042354.178399989</v>
      </c>
      <c r="H3" s="254">
        <v>14355574.20885906</v>
      </c>
    </row>
    <row r="4" spans="1:8" x14ac:dyDescent="0.25">
      <c r="A4" s="258" t="s">
        <v>406</v>
      </c>
      <c r="B4" s="255">
        <v>38400000</v>
      </c>
      <c r="C4" s="255">
        <v>2821955.52</v>
      </c>
      <c r="D4" s="255">
        <v>12983179.439999999</v>
      </c>
      <c r="E4" s="255">
        <v>22594865.039999999</v>
      </c>
      <c r="F4" s="255">
        <v>6552510.8615999985</v>
      </c>
      <c r="G4" s="255">
        <v>16042354.178399989</v>
      </c>
      <c r="H4" s="255">
        <v>12846151.417323541</v>
      </c>
    </row>
    <row r="5" spans="1:8" x14ac:dyDescent="0.25">
      <c r="A5" s="258" t="s">
        <v>407</v>
      </c>
      <c r="B5" s="255">
        <v>38400000</v>
      </c>
      <c r="C5" s="255">
        <v>2821955.52</v>
      </c>
      <c r="D5" s="255">
        <v>12983179.439999999</v>
      </c>
      <c r="E5" s="255">
        <v>22594865.039999999</v>
      </c>
      <c r="F5" s="255">
        <v>6552510.8615999985</v>
      </c>
      <c r="G5" s="255">
        <v>16042354.178399989</v>
      </c>
      <c r="H5" s="255">
        <v>11495437.509909211</v>
      </c>
    </row>
    <row r="6" spans="1:8" x14ac:dyDescent="0.25">
      <c r="A6" s="258" t="s">
        <v>408</v>
      </c>
      <c r="B6" s="255">
        <v>38400000</v>
      </c>
      <c r="C6" s="255">
        <v>2821955.52</v>
      </c>
      <c r="D6" s="255">
        <v>12983179.439999999</v>
      </c>
      <c r="E6" s="255">
        <v>22594865.039999999</v>
      </c>
      <c r="F6" s="255">
        <v>6552510.8615999985</v>
      </c>
      <c r="G6" s="255">
        <v>16042354.178399989</v>
      </c>
      <c r="H6" s="255">
        <v>10286744.97531026</v>
      </c>
    </row>
    <row r="7" spans="1:8" x14ac:dyDescent="0.25">
      <c r="A7" s="258" t="s">
        <v>493</v>
      </c>
      <c r="B7" s="255">
        <v>38400000</v>
      </c>
      <c r="C7" s="255">
        <v>2821955.52</v>
      </c>
      <c r="D7" s="255">
        <v>12983179.439999999</v>
      </c>
      <c r="E7" s="255">
        <v>22594865.039999999</v>
      </c>
      <c r="F7" s="255">
        <v>6552510.8615999985</v>
      </c>
      <c r="G7" s="255">
        <v>16042354.178399989</v>
      </c>
      <c r="H7" s="255">
        <v>9205140.9175035842</v>
      </c>
    </row>
    <row r="8" spans="1:8" x14ac:dyDescent="0.25">
      <c r="A8" s="258" t="s">
        <v>410</v>
      </c>
      <c r="B8" s="255">
        <v>38400000</v>
      </c>
      <c r="C8" s="255">
        <v>2821955.52</v>
      </c>
      <c r="D8" s="255">
        <v>12983179.439999999</v>
      </c>
      <c r="E8" s="255">
        <v>22594865.039999999</v>
      </c>
      <c r="F8" s="255">
        <v>6552510.8615999985</v>
      </c>
      <c r="G8" s="255">
        <v>16042354.178399989</v>
      </c>
      <c r="H8" s="255">
        <v>8237262.565998734</v>
      </c>
    </row>
    <row r="9" spans="1:8" x14ac:dyDescent="0.25">
      <c r="A9" s="258" t="s">
        <v>411</v>
      </c>
      <c r="B9" s="255">
        <v>38400000</v>
      </c>
      <c r="C9" s="255">
        <v>2821955.52</v>
      </c>
      <c r="D9" s="255">
        <v>12983179.439999999</v>
      </c>
      <c r="E9" s="255">
        <v>22594865.039999999</v>
      </c>
      <c r="F9" s="255">
        <v>6552510.8615999985</v>
      </c>
      <c r="G9" s="255">
        <v>16042354.178399989</v>
      </c>
      <c r="H9" s="255">
        <v>7371152.1843389124</v>
      </c>
    </row>
    <row r="10" spans="1:8" x14ac:dyDescent="0.25">
      <c r="A10" s="258" t="s">
        <v>412</v>
      </c>
      <c r="B10" s="255">
        <v>38400000</v>
      </c>
      <c r="C10" s="255">
        <v>2821955.52</v>
      </c>
      <c r="D10" s="255">
        <v>12983179.439999999</v>
      </c>
      <c r="E10" s="255">
        <v>22594865.039999999</v>
      </c>
      <c r="F10" s="255">
        <v>6552510.8615999985</v>
      </c>
      <c r="G10" s="255">
        <v>16042354.178399989</v>
      </c>
      <c r="H10" s="255">
        <v>6596109.3372160299</v>
      </c>
    </row>
    <row r="11" spans="1:8" x14ac:dyDescent="0.25">
      <c r="A11" s="258" t="s">
        <v>413</v>
      </c>
      <c r="B11" s="255">
        <v>38400000</v>
      </c>
      <c r="C11" s="255">
        <v>2821955.52</v>
      </c>
      <c r="D11" s="255">
        <v>12983179.439999999</v>
      </c>
      <c r="E11" s="255">
        <v>22594865.039999999</v>
      </c>
      <c r="F11" s="255">
        <v>6552510.8615999985</v>
      </c>
      <c r="G11" s="255">
        <v>16042354.178399989</v>
      </c>
      <c r="H11" s="255">
        <v>5902558.691021055</v>
      </c>
    </row>
    <row r="12" spans="1:8" x14ac:dyDescent="0.25">
      <c r="A12" s="258" t="s">
        <v>414</v>
      </c>
      <c r="B12" s="255">
        <v>38400000</v>
      </c>
      <c r="C12" s="255">
        <v>2821955.52</v>
      </c>
      <c r="D12" s="255">
        <v>12983179.439999999</v>
      </c>
      <c r="E12" s="255">
        <v>22594865.039999999</v>
      </c>
      <c r="F12" s="255">
        <v>6552510.8615999985</v>
      </c>
      <c r="G12" s="255">
        <v>16042354.178399989</v>
      </c>
      <c r="H12" s="255">
        <v>5281931.7145602293</v>
      </c>
    </row>
    <row r="13" spans="1:8" x14ac:dyDescent="0.25">
      <c r="A13" s="258" t="s">
        <v>415</v>
      </c>
      <c r="B13" s="255">
        <v>38400000</v>
      </c>
      <c r="C13" s="255">
        <v>2821955.52</v>
      </c>
      <c r="D13" s="255">
        <v>12983179.439999999</v>
      </c>
      <c r="E13" s="255">
        <v>22594865.039999999</v>
      </c>
      <c r="F13" s="255">
        <v>6552510.8615999985</v>
      </c>
      <c r="G13" s="255">
        <v>16042354.178399989</v>
      </c>
      <c r="H13" s="255">
        <v>4726560.8183984151</v>
      </c>
    </row>
    <row r="14" spans="1:8" x14ac:dyDescent="0.25">
      <c r="A14" s="258" t="s">
        <v>416</v>
      </c>
      <c r="B14" s="255">
        <v>38400000</v>
      </c>
      <c r="C14" s="255">
        <v>2821955.52</v>
      </c>
      <c r="D14" s="255">
        <v>12983179.439999999</v>
      </c>
      <c r="E14" s="255">
        <v>22594865.039999999</v>
      </c>
      <c r="F14" s="255">
        <v>6552510.8615999985</v>
      </c>
      <c r="G14" s="255">
        <v>16042354.178399989</v>
      </c>
      <c r="H14" s="255">
        <v>4229584.6249650251</v>
      </c>
    </row>
    <row r="15" spans="1:8" x14ac:dyDescent="0.25">
      <c r="A15" s="258" t="s">
        <v>417</v>
      </c>
      <c r="B15" s="255">
        <v>38400000</v>
      </c>
      <c r="C15" s="255">
        <v>2821955.52</v>
      </c>
      <c r="D15" s="255">
        <v>12983179.439999999</v>
      </c>
      <c r="E15" s="255">
        <v>22594865.039999999</v>
      </c>
      <c r="F15" s="255">
        <v>6552510.8615999985</v>
      </c>
      <c r="G15" s="255">
        <v>16042354.178399989</v>
      </c>
      <c r="H15" s="255">
        <v>3784863.1990738478</v>
      </c>
    </row>
    <row r="16" spans="1:8" x14ac:dyDescent="0.25">
      <c r="A16" s="258" t="s">
        <v>418</v>
      </c>
      <c r="B16" s="255">
        <v>38400000</v>
      </c>
      <c r="C16" s="255">
        <v>2821955.52</v>
      </c>
      <c r="D16" s="255">
        <v>12983179.439999999</v>
      </c>
      <c r="E16" s="255">
        <v>22594865.039999999</v>
      </c>
      <c r="F16" s="255">
        <v>6552510.8615999985</v>
      </c>
      <c r="G16" s="255">
        <v>16042354.178399989</v>
      </c>
      <c r="H16" s="255">
        <v>3386902.1915649651</v>
      </c>
    </row>
    <row r="17" spans="1:8" x14ac:dyDescent="0.25">
      <c r="A17" s="258" t="s">
        <v>419</v>
      </c>
      <c r="B17" s="255">
        <v>38400000</v>
      </c>
      <c r="C17" s="255">
        <v>2821955.52</v>
      </c>
      <c r="D17" s="255">
        <v>12983179.439999999</v>
      </c>
      <c r="E17" s="255">
        <v>22594865.039999999</v>
      </c>
      <c r="F17" s="255">
        <v>6552510.8615999985</v>
      </c>
      <c r="G17" s="255">
        <v>16042354.178399989</v>
      </c>
      <c r="H17" s="255">
        <v>3030784.9588948241</v>
      </c>
    </row>
    <row r="18" spans="1:8" x14ac:dyDescent="0.25">
      <c r="A18" s="258" t="s">
        <v>494</v>
      </c>
      <c r="B18" s="255">
        <v>38400000</v>
      </c>
      <c r="C18" s="255">
        <v>2821955.52</v>
      </c>
      <c r="D18" s="255">
        <v>12983179.439999999</v>
      </c>
      <c r="E18" s="255">
        <v>22594865.039999999</v>
      </c>
      <c r="F18" s="255">
        <v>6552510.8615999985</v>
      </c>
      <c r="G18" s="255">
        <v>16042354.178399989</v>
      </c>
      <c r="H18" s="255">
        <v>2712111.82004011</v>
      </c>
    </row>
    <row r="19" spans="1:8" x14ac:dyDescent="0.25">
      <c r="A19" s="258" t="s">
        <v>495</v>
      </c>
      <c r="B19" s="255">
        <v>38400000</v>
      </c>
      <c r="C19" s="255">
        <v>2821955.52</v>
      </c>
      <c r="D19" s="255">
        <v>12983179.439999999</v>
      </c>
      <c r="E19" s="255">
        <v>22594865.039999999</v>
      </c>
      <c r="F19" s="255">
        <v>6552510.8615999985</v>
      </c>
      <c r="G19" s="255">
        <v>16042354.178399989</v>
      </c>
      <c r="H19" s="255">
        <v>2426945.7002596068</v>
      </c>
    </row>
    <row r="20" spans="1:8" x14ac:dyDescent="0.25">
      <c r="A20" s="258" t="s">
        <v>496</v>
      </c>
      <c r="B20" s="255">
        <v>38400000</v>
      </c>
      <c r="C20" s="255">
        <v>2821955.52</v>
      </c>
      <c r="D20" s="255">
        <v>12983179.439999999</v>
      </c>
      <c r="E20" s="255">
        <v>22594865.039999999</v>
      </c>
      <c r="F20" s="255">
        <v>6552510.8615999985</v>
      </c>
      <c r="G20" s="255">
        <v>16042354.178399989</v>
      </c>
      <c r="H20" s="255">
        <v>2171763.4901651959</v>
      </c>
    </row>
    <row r="21" spans="1:8" x14ac:dyDescent="0.25">
      <c r="A21" s="258" t="s">
        <v>497</v>
      </c>
      <c r="B21" s="255">
        <v>38400000</v>
      </c>
      <c r="C21" s="255">
        <v>2821955.52</v>
      </c>
      <c r="D21" s="255">
        <v>12983179.439999999</v>
      </c>
      <c r="E21" s="255">
        <v>22594865.039999999</v>
      </c>
      <c r="F21" s="255">
        <v>6552510.8615999985</v>
      </c>
      <c r="G21" s="255">
        <v>16042354.178399989</v>
      </c>
      <c r="H21" s="255">
        <v>1943412.519163487</v>
      </c>
    </row>
    <row r="22" spans="1:8" x14ac:dyDescent="0.25">
      <c r="A22" s="258" t="s">
        <v>420</v>
      </c>
      <c r="B22" s="255">
        <v>38400000</v>
      </c>
      <c r="C22" s="255">
        <v>2821955.52</v>
      </c>
      <c r="D22" s="255">
        <v>12983179.439999999</v>
      </c>
      <c r="E22" s="255">
        <v>22594865.039999999</v>
      </c>
      <c r="F22" s="255">
        <v>6552510.8615999985</v>
      </c>
      <c r="G22" s="255">
        <v>16042354.178399989</v>
      </c>
      <c r="H22" s="255">
        <v>1739071.6055154251</v>
      </c>
    </row>
    <row r="23" spans="1:8" x14ac:dyDescent="0.25">
      <c r="A23" s="258" t="s">
        <v>498</v>
      </c>
      <c r="B23" s="255">
        <v>38400000</v>
      </c>
      <c r="C23" s="255">
        <v>2821955.52</v>
      </c>
      <c r="D23" s="255">
        <v>12983179.439999999</v>
      </c>
      <c r="E23" s="255">
        <v>22594865.039999999</v>
      </c>
      <c r="F23" s="255">
        <v>6552510.8615999985</v>
      </c>
      <c r="G23" s="255">
        <v>16042354.178399989</v>
      </c>
      <c r="H23" s="255">
        <v>1556216.2018035119</v>
      </c>
    </row>
    <row r="24" spans="1:8" x14ac:dyDescent="0.25">
      <c r="A24" s="258" t="s">
        <v>499</v>
      </c>
      <c r="B24" s="255">
        <v>38400000</v>
      </c>
      <c r="C24" s="255">
        <v>2821955.52</v>
      </c>
      <c r="D24" s="255">
        <v>12983179.439999999</v>
      </c>
      <c r="E24" s="255">
        <v>22594865.039999999</v>
      </c>
      <c r="F24" s="255">
        <v>6552510.8615999985</v>
      </c>
      <c r="G24" s="255">
        <v>16042354.178399989</v>
      </c>
      <c r="H24" s="255">
        <v>1392587.2051933</v>
      </c>
    </row>
    <row r="25" spans="1:8" x14ac:dyDescent="0.25">
      <c r="A25" s="258" t="s">
        <v>500</v>
      </c>
      <c r="B25" s="255">
        <v>38400000</v>
      </c>
      <c r="C25" s="255">
        <v>2821955.52</v>
      </c>
      <c r="D25" s="255">
        <v>12983179.439999999</v>
      </c>
      <c r="E25" s="255">
        <v>22594865.039999999</v>
      </c>
      <c r="F25" s="255">
        <v>6552510.8615999985</v>
      </c>
      <c r="G25" s="255">
        <v>16042354.178399989</v>
      </c>
      <c r="H25" s="255">
        <v>1246163.047152841</v>
      </c>
    </row>
    <row r="26" spans="1:8" x14ac:dyDescent="0.25">
      <c r="A26" s="258" t="s">
        <v>501</v>
      </c>
      <c r="B26" s="255">
        <v>38400000</v>
      </c>
      <c r="C26" s="255">
        <v>2821955.52</v>
      </c>
      <c r="D26" s="255">
        <v>12983179.439999999</v>
      </c>
      <c r="E26" s="255">
        <v>22594865.039999999</v>
      </c>
      <c r="F26" s="255">
        <v>6552510.8615999985</v>
      </c>
      <c r="G26" s="255">
        <v>16042354.178399989</v>
      </c>
      <c r="H26" s="255">
        <v>1115134.7178101479</v>
      </c>
    </row>
    <row r="27" spans="1:8" x14ac:dyDescent="0.25">
      <c r="A27" s="258" t="s">
        <v>421</v>
      </c>
      <c r="B27" s="255">
        <v>38400000</v>
      </c>
      <c r="C27" s="255">
        <v>2821955.52</v>
      </c>
      <c r="D27" s="255">
        <v>12983179.439999999</v>
      </c>
      <c r="E27" s="255">
        <v>22594865.039999999</v>
      </c>
      <c r="F27" s="255">
        <v>6552510.8615999985</v>
      </c>
      <c r="G27" s="255">
        <v>16042354.178399989</v>
      </c>
      <c r="H27" s="255">
        <v>997883.41638492036</v>
      </c>
    </row>
  </sheetData>
  <mergeCells count="3">
    <mergeCell ref="A1:A2"/>
    <mergeCell ref="E1:E2"/>
    <mergeCell ref="F1:F2"/>
  </mergeCells>
  <phoneticPr fontId="25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FF165-6035-4363-89C5-9B9D322BE1CF}">
  <dimension ref="A1:E27"/>
  <sheetViews>
    <sheetView workbookViewId="0">
      <selection sqref="A1:E27"/>
    </sheetView>
  </sheetViews>
  <sheetFormatPr defaultRowHeight="15" x14ac:dyDescent="0.25"/>
  <cols>
    <col min="1" max="1" width="4.7109375" bestFit="1" customWidth="1"/>
    <col min="2" max="2" width="13.42578125" bestFit="1" customWidth="1"/>
    <col min="3" max="3" width="11.85546875" bestFit="1" customWidth="1"/>
    <col min="4" max="4" width="16.5703125" bestFit="1" customWidth="1"/>
    <col min="5" max="5" width="14" bestFit="1" customWidth="1"/>
  </cols>
  <sheetData>
    <row r="1" spans="1:5" x14ac:dyDescent="0.25">
      <c r="A1" s="267" t="s">
        <v>512</v>
      </c>
      <c r="B1" s="268" t="s">
        <v>513</v>
      </c>
      <c r="C1" s="259" t="s">
        <v>514</v>
      </c>
      <c r="D1" s="261" t="s">
        <v>515</v>
      </c>
      <c r="E1" s="264" t="s">
        <v>514</v>
      </c>
    </row>
    <row r="2" spans="1:5" x14ac:dyDescent="0.25">
      <c r="A2" s="263"/>
      <c r="B2" s="269"/>
      <c r="C2" s="266" t="s">
        <v>508</v>
      </c>
      <c r="D2" s="270"/>
      <c r="E2" s="265" t="s">
        <v>516</v>
      </c>
    </row>
    <row r="3" spans="1:5" x14ac:dyDescent="0.25">
      <c r="A3" s="271">
        <v>1</v>
      </c>
      <c r="B3" s="255">
        <v>16042354.178399989</v>
      </c>
      <c r="C3" s="255">
        <v>16042354.178399989</v>
      </c>
      <c r="D3" s="255">
        <v>14355574.20885906</v>
      </c>
      <c r="E3" s="255">
        <v>14355574.20885906</v>
      </c>
    </row>
    <row r="4" spans="1:5" x14ac:dyDescent="0.25">
      <c r="A4" s="271">
        <v>2</v>
      </c>
      <c r="B4" s="255">
        <v>16042354.178399989</v>
      </c>
      <c r="C4" s="255">
        <v>32084708.35679999</v>
      </c>
      <c r="D4" s="255">
        <v>12846151.417323541</v>
      </c>
      <c r="E4" s="255">
        <v>27201725.626182601</v>
      </c>
    </row>
    <row r="5" spans="1:5" x14ac:dyDescent="0.25">
      <c r="A5" s="271">
        <v>3</v>
      </c>
      <c r="B5" s="255">
        <v>16042354.178399989</v>
      </c>
      <c r="C5" s="255">
        <v>48127062.535199977</v>
      </c>
      <c r="D5" s="255">
        <v>11495437.509909211</v>
      </c>
      <c r="E5" s="255">
        <v>38697163.136091813</v>
      </c>
    </row>
    <row r="6" spans="1:5" x14ac:dyDescent="0.25">
      <c r="A6" s="271">
        <v>4</v>
      </c>
      <c r="B6" s="255">
        <v>16042354.178399989</v>
      </c>
      <c r="C6" s="255">
        <v>64169416.71359998</v>
      </c>
      <c r="D6" s="255">
        <v>10286744.97531026</v>
      </c>
      <c r="E6" s="255">
        <v>48983908.111402057</v>
      </c>
    </row>
    <row r="7" spans="1:5" x14ac:dyDescent="0.25">
      <c r="A7" s="271">
        <v>5</v>
      </c>
      <c r="B7" s="255">
        <v>16042354.178399989</v>
      </c>
      <c r="C7" s="255">
        <v>80211770.891999975</v>
      </c>
      <c r="D7" s="255">
        <v>9205140.9175035842</v>
      </c>
      <c r="E7" s="255">
        <v>58189049.028905652</v>
      </c>
    </row>
    <row r="8" spans="1:5" x14ac:dyDescent="0.25">
      <c r="A8" s="271">
        <v>6</v>
      </c>
      <c r="B8" s="255">
        <v>16042354.178399989</v>
      </c>
      <c r="C8" s="255">
        <v>96254125.07039997</v>
      </c>
      <c r="D8" s="255">
        <v>8237262.565998734</v>
      </c>
      <c r="E8" s="255">
        <v>66426311.594904378</v>
      </c>
    </row>
    <row r="9" spans="1:5" x14ac:dyDescent="0.25">
      <c r="A9" s="271">
        <v>7</v>
      </c>
      <c r="B9" s="255">
        <v>16042354.178399989</v>
      </c>
      <c r="C9" s="255">
        <v>112296479.24879999</v>
      </c>
      <c r="D9" s="255">
        <v>7371152.1843389124</v>
      </c>
      <c r="E9" s="255">
        <v>73797463.77924329</v>
      </c>
    </row>
    <row r="10" spans="1:5" x14ac:dyDescent="0.25">
      <c r="A10" s="271">
        <v>8</v>
      </c>
      <c r="B10" s="255">
        <v>16042354.178399989</v>
      </c>
      <c r="C10" s="255">
        <v>128338833.4272</v>
      </c>
      <c r="D10" s="255">
        <v>6596109.3372160299</v>
      </c>
      <c r="E10" s="255">
        <v>80393573.116459325</v>
      </c>
    </row>
    <row r="11" spans="1:5" x14ac:dyDescent="0.25">
      <c r="A11" s="271">
        <v>9</v>
      </c>
      <c r="B11" s="255">
        <v>16042354.178399989</v>
      </c>
      <c r="C11" s="255">
        <v>144381187.60559991</v>
      </c>
      <c r="D11" s="255">
        <v>5902558.691021055</v>
      </c>
      <c r="E11" s="255">
        <v>86296131.80748038</v>
      </c>
    </row>
    <row r="12" spans="1:5" x14ac:dyDescent="0.25">
      <c r="A12" s="271">
        <v>10</v>
      </c>
      <c r="B12" s="255">
        <v>16042354.178399989</v>
      </c>
      <c r="C12" s="255">
        <v>160423541.78399989</v>
      </c>
      <c r="D12" s="255">
        <v>5281931.7145602293</v>
      </c>
      <c r="E12" s="255">
        <v>91578063.522040606</v>
      </c>
    </row>
    <row r="13" spans="1:5" x14ac:dyDescent="0.25">
      <c r="A13" s="271">
        <v>11</v>
      </c>
      <c r="B13" s="255">
        <v>16042354.178399989</v>
      </c>
      <c r="C13" s="255">
        <v>176465895.9623999</v>
      </c>
      <c r="D13" s="255">
        <v>4726560.8183984151</v>
      </c>
      <c r="E13" s="255">
        <v>96304624.340439022</v>
      </c>
    </row>
    <row r="14" spans="1:5" x14ac:dyDescent="0.25">
      <c r="A14" s="271">
        <v>12</v>
      </c>
      <c r="B14" s="255">
        <v>16042354.178399989</v>
      </c>
      <c r="C14" s="255">
        <v>192508250.14079991</v>
      </c>
      <c r="D14" s="255">
        <v>4229584.6249650251</v>
      </c>
      <c r="E14" s="255">
        <v>100534208.965404</v>
      </c>
    </row>
    <row r="15" spans="1:5" x14ac:dyDescent="0.25">
      <c r="A15" s="271">
        <v>13</v>
      </c>
      <c r="B15" s="255">
        <v>16042354.178399989</v>
      </c>
      <c r="C15" s="255">
        <v>208550604.31919989</v>
      </c>
      <c r="D15" s="255">
        <v>3784863.1990738478</v>
      </c>
      <c r="E15" s="255">
        <v>104319072.1644779</v>
      </c>
    </row>
    <row r="16" spans="1:5" x14ac:dyDescent="0.25">
      <c r="A16" s="271">
        <v>14</v>
      </c>
      <c r="B16" s="255">
        <v>16042354.178399989</v>
      </c>
      <c r="C16" s="255">
        <v>224592958.49759981</v>
      </c>
      <c r="D16" s="255">
        <v>3386902.1915649651</v>
      </c>
      <c r="E16" s="255">
        <v>107705974.35604291</v>
      </c>
    </row>
    <row r="17" spans="1:5" x14ac:dyDescent="0.25">
      <c r="A17" s="271">
        <v>15</v>
      </c>
      <c r="B17" s="255">
        <v>16042354.178399989</v>
      </c>
      <c r="C17" s="255">
        <v>240635312.67599979</v>
      </c>
      <c r="D17" s="255">
        <v>3030784.9588948241</v>
      </c>
      <c r="E17" s="255">
        <v>110736759.3149377</v>
      </c>
    </row>
    <row r="18" spans="1:5" x14ac:dyDescent="0.25">
      <c r="A18" s="271">
        <v>16</v>
      </c>
      <c r="B18" s="255">
        <v>16042354.178399989</v>
      </c>
      <c r="C18" s="255">
        <v>256677666.8543998</v>
      </c>
      <c r="D18" s="255">
        <v>2712111.82004011</v>
      </c>
      <c r="E18" s="255">
        <v>113448871.1349778</v>
      </c>
    </row>
    <row r="19" spans="1:5" x14ac:dyDescent="0.25">
      <c r="A19" s="271">
        <v>17</v>
      </c>
      <c r="B19" s="255">
        <v>16042354.178399989</v>
      </c>
      <c r="C19" s="255">
        <v>272720021.03279978</v>
      </c>
      <c r="D19" s="255">
        <v>2426945.7002596068</v>
      </c>
      <c r="E19" s="255">
        <v>115875816.8352374</v>
      </c>
    </row>
    <row r="20" spans="1:5" x14ac:dyDescent="0.25">
      <c r="A20" s="271">
        <v>18</v>
      </c>
      <c r="B20" s="255">
        <v>16042354.178399989</v>
      </c>
      <c r="C20" s="255">
        <v>288762375.21119982</v>
      </c>
      <c r="D20" s="255">
        <v>2171763.4901651959</v>
      </c>
      <c r="E20" s="255">
        <v>118047580.3254026</v>
      </c>
    </row>
    <row r="21" spans="1:5" x14ac:dyDescent="0.25">
      <c r="A21" s="271">
        <v>19</v>
      </c>
      <c r="B21" s="255">
        <v>16042354.178399989</v>
      </c>
      <c r="C21" s="255">
        <v>304804729.38959968</v>
      </c>
      <c r="D21" s="255">
        <v>1943412.519163487</v>
      </c>
      <c r="E21" s="255">
        <v>119990992.84456611</v>
      </c>
    </row>
    <row r="22" spans="1:5" x14ac:dyDescent="0.25">
      <c r="A22" s="271">
        <v>20</v>
      </c>
      <c r="B22" s="255">
        <v>16042354.178399989</v>
      </c>
      <c r="C22" s="255">
        <v>320847083.56799972</v>
      </c>
      <c r="D22" s="255">
        <v>1739071.6055154251</v>
      </c>
      <c r="E22" s="255">
        <v>121730064.4500815</v>
      </c>
    </row>
    <row r="23" spans="1:5" x14ac:dyDescent="0.25">
      <c r="A23" s="271">
        <v>21</v>
      </c>
      <c r="B23" s="255">
        <v>16042354.178399989</v>
      </c>
      <c r="C23" s="255">
        <v>336889437.7463997</v>
      </c>
      <c r="D23" s="255">
        <v>1556216.2018035119</v>
      </c>
      <c r="E23" s="255">
        <v>123286280.651885</v>
      </c>
    </row>
    <row r="24" spans="1:5" x14ac:dyDescent="0.25">
      <c r="A24" s="271">
        <v>22</v>
      </c>
      <c r="B24" s="255">
        <v>16042354.178399989</v>
      </c>
      <c r="C24" s="255">
        <v>352931791.92479968</v>
      </c>
      <c r="D24" s="255">
        <v>1392587.2051933</v>
      </c>
      <c r="E24" s="255">
        <v>124678867.8570783</v>
      </c>
    </row>
    <row r="25" spans="1:5" x14ac:dyDescent="0.25">
      <c r="A25" s="271">
        <v>23</v>
      </c>
      <c r="B25" s="255">
        <v>16042354.178399989</v>
      </c>
      <c r="C25" s="255">
        <v>368974146.10319972</v>
      </c>
      <c r="D25" s="255">
        <v>1246163.047152841</v>
      </c>
      <c r="E25" s="255">
        <v>125925030.9042311</v>
      </c>
    </row>
    <row r="26" spans="1:5" x14ac:dyDescent="0.25">
      <c r="A26" s="271">
        <v>24</v>
      </c>
      <c r="B26" s="255">
        <v>16042354.178399989</v>
      </c>
      <c r="C26" s="255">
        <v>385016500.28159958</v>
      </c>
      <c r="D26" s="255">
        <v>1115134.7178101479</v>
      </c>
      <c r="E26" s="255">
        <v>127040165.6220413</v>
      </c>
    </row>
    <row r="27" spans="1:5" x14ac:dyDescent="0.25">
      <c r="A27" s="271">
        <v>25</v>
      </c>
      <c r="B27" s="255">
        <v>16042354.178399989</v>
      </c>
      <c r="C27" s="255">
        <v>401058854.45999962</v>
      </c>
      <c r="D27" s="255">
        <v>997883.41638492036</v>
      </c>
      <c r="E27" s="255">
        <v>128038049.03842621</v>
      </c>
    </row>
  </sheetData>
  <mergeCells count="3">
    <mergeCell ref="A1:A2"/>
    <mergeCell ref="B1:B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PROJ.VIABILIDADE</vt:lpstr>
      <vt:lpstr>1.0 PLANILHA ORÇAMENTARIA</vt:lpstr>
      <vt:lpstr>2.0 MOVIMENTO DE TERRA E DREN</vt:lpstr>
      <vt:lpstr>3.1 CERCAMENTO DO TERRENO</vt:lpstr>
      <vt:lpstr>4.1 FUNDAÇÃO ESTRUTURAS PAINEIS</vt:lpstr>
      <vt:lpstr>5.1 EDIFICIOS ESCRITÓRIO E ALMO</vt:lpstr>
      <vt:lpstr>5.2 REVESTIMENTO DE PAREDES</vt:lpstr>
      <vt:lpstr>5.3 ESQUADRIAS DE MADEIRA</vt:lpstr>
      <vt:lpstr>5.4 PINTURA ACABAMENTO</vt:lpstr>
      <vt:lpstr>5.5 COBERTURA</vt:lpstr>
      <vt:lpstr>5.6 FORROS E DIVISORIAS</vt:lpstr>
      <vt:lpstr>5.7 INSTALACOES HIDRAULICAS</vt:lpstr>
      <vt:lpstr>5.8 INSTALACOES SANITARIAS PLU</vt:lpstr>
      <vt:lpstr>5.9 INSTALAÇÓES ELÉTRICAS</vt:lpstr>
      <vt:lpstr>5.10 CALÇADA EXTERNA</vt:lpstr>
      <vt:lpstr>6.1 EDIFÍCIO CASA DE FORÇA</vt:lpstr>
      <vt:lpstr>6.2 REVESTIMENTO DE PAREDES</vt:lpstr>
      <vt:lpstr>6.3 ESQUADRIAS DE VIDROS</vt:lpstr>
      <vt:lpstr>6.4 PINTURA</vt:lpstr>
      <vt:lpstr>6.5 COBERTURA</vt:lpstr>
      <vt:lpstr>6.6 DIVISÓRIAS ACARTONADA</vt:lpstr>
      <vt:lpstr>6.7 INSTALAÇÕES AR CONDICIONADO</vt:lpstr>
      <vt:lpstr>6.8 INSTALAÇÕES SANITÁRIAS PLUV</vt:lpstr>
      <vt:lpstr>6.9 INSTALAÇÕES ELÉTRICAS</vt:lpstr>
      <vt:lpstr>6.10 CALÇADA EXTERNA</vt:lpstr>
      <vt:lpstr>7.1 MÓDULOS FOTOVOLTAICAS</vt:lpstr>
      <vt:lpstr>7.2 INVERSORES</vt:lpstr>
      <vt:lpstr>7.3 ESTRUTURA DE SUPORTE METÁLI</vt:lpstr>
      <vt:lpstr>8.1 INSTALAÇÕES ELÉTRICAS EXTER</vt:lpstr>
      <vt:lpstr>9 SUBESTAÇÃO		</vt:lpstr>
      <vt:lpstr>10 ADMINISTRAÇÃO</vt:lpstr>
      <vt:lpstr>TOTAL GERAL</vt:lpstr>
      <vt:lpstr>PLAN.FIN.CAD02</vt:lpstr>
      <vt:lpstr>QUADRO DE RECEITAS</vt:lpstr>
      <vt:lpstr>CUSTOS E DESPESAS ADM-OPER.</vt:lpstr>
      <vt:lpstr>FORMAÇÃO CUSTO KWh</vt:lpstr>
      <vt:lpstr>FLUXO CAIXA</vt:lpstr>
      <vt:lpstr>FLUXO CAIXA DESCONTADO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Sun</dc:creator>
  <cp:lastModifiedBy>Emerson Sun</cp:lastModifiedBy>
  <dcterms:created xsi:type="dcterms:W3CDTF">2025-05-30T01:21:20Z</dcterms:created>
  <dcterms:modified xsi:type="dcterms:W3CDTF">2025-06-06T02:12:32Z</dcterms:modified>
</cp:coreProperties>
</file>